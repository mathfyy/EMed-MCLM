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G:\PHD\paper\baiduNet\脑肿瘤基因预测_修稿\"/>
    </mc:Choice>
  </mc:AlternateContent>
  <xr:revisionPtr revIDLastSave="0" documentId="13_ncr:1_{582399E0-8784-4BB3-AF2B-AD53E80E7A1B}" xr6:coauthVersionLast="47" xr6:coauthVersionMax="47" xr10:uidLastSave="{00000000-0000-0000-0000-000000000000}"/>
  <bookViews>
    <workbookView xWindow="2028" yWindow="540" windowWidth="18336" windowHeight="10704" tabRatio="844" activeTab="7" xr2:uid="{00000000-000D-0000-FFFF-FFFF00000000}"/>
  </bookViews>
  <sheets>
    <sheet name="plot_pic" sheetId="24" r:id="rId1"/>
    <sheet name="chest_CE_C3" sheetId="15" r:id="rId2"/>
    <sheet name="chest_CE" sheetId="16" r:id="rId3"/>
    <sheet name="gene_CE_C3" sheetId="18" r:id="rId4"/>
    <sheet name="gene_CE" sheetId="17" r:id="rId5"/>
    <sheet name="ae_001_000_010_100" sheetId="22" r:id="rId6"/>
    <sheet name="param_lamda_a_b_ER" sheetId="19" r:id="rId7"/>
    <sheet name="param_r_ER" sheetId="21" r:id="rId8"/>
  </sheets>
  <externalReferences>
    <externalReference r:id="rId9"/>
  </externalReferences>
  <definedNames>
    <definedName name="_xlnm._FilterDatabase" localSheetId="6" hidden="1">[1]location!$T$1:$AJ$8</definedName>
  </definedNames>
  <calcPr calcId="191029"/>
</workbook>
</file>

<file path=xl/calcChain.xml><?xml version="1.0" encoding="utf-8"?>
<calcChain xmlns="http://schemas.openxmlformats.org/spreadsheetml/2006/main">
  <c r="J2" i="16" l="1"/>
  <c r="J4" i="16"/>
  <c r="J5" i="16" s="1"/>
  <c r="J3" i="16"/>
  <c r="J6" i="16"/>
  <c r="J6" i="15"/>
  <c r="J5" i="15"/>
  <c r="J4" i="15"/>
  <c r="J3" i="15"/>
  <c r="J2" i="15"/>
  <c r="I5" i="17"/>
  <c r="J4" i="17"/>
  <c r="I4" i="17"/>
  <c r="J3" i="17"/>
  <c r="I3" i="17"/>
  <c r="J2" i="17"/>
  <c r="J6" i="17" s="1"/>
  <c r="I2" i="17"/>
  <c r="I6" i="17" s="1"/>
  <c r="I2" i="18"/>
  <c r="J6" i="18"/>
  <c r="J5" i="18"/>
  <c r="J2" i="18"/>
  <c r="J3" i="18"/>
  <c r="J4" i="18"/>
  <c r="T148" i="22"/>
  <c r="U148" i="22"/>
  <c r="V148" i="22"/>
  <c r="W148" i="22"/>
  <c r="X148" i="22"/>
  <c r="Y148" i="22"/>
  <c r="Z148" i="22"/>
  <c r="AA148" i="22"/>
  <c r="AB148" i="22"/>
  <c r="AC148" i="22"/>
  <c r="AD148" i="22"/>
  <c r="AE148" i="22"/>
  <c r="AF148" i="22"/>
  <c r="AG148" i="22"/>
  <c r="AH148" i="22"/>
  <c r="T149" i="22"/>
  <c r="U149" i="22"/>
  <c r="V149" i="22"/>
  <c r="W149" i="22"/>
  <c r="X149" i="22"/>
  <c r="Y149" i="22"/>
  <c r="Z149" i="22"/>
  <c r="AA149" i="22"/>
  <c r="AB149" i="22"/>
  <c r="AC149" i="22"/>
  <c r="AD149" i="22"/>
  <c r="AE149" i="22"/>
  <c r="AF149" i="22"/>
  <c r="AG149" i="22"/>
  <c r="AH149" i="22"/>
  <c r="S149" i="22"/>
  <c r="S148" i="22"/>
  <c r="AE119" i="22"/>
  <c r="AE120" i="22"/>
  <c r="AE121" i="22"/>
  <c r="AE122" i="22"/>
  <c r="AE123" i="22"/>
  <c r="AE118" i="22"/>
  <c r="AE130" i="22"/>
  <c r="AE131" i="22"/>
  <c r="AE132" i="22"/>
  <c r="AE133" i="22"/>
  <c r="AE134" i="22"/>
  <c r="AE135" i="22" s="1"/>
  <c r="AE129" i="22"/>
  <c r="T135" i="22"/>
  <c r="U135" i="22"/>
  <c r="V135" i="22"/>
  <c r="W135" i="22"/>
  <c r="X135" i="22"/>
  <c r="Y135" i="22"/>
  <c r="Z135" i="22"/>
  <c r="AA135" i="22"/>
  <c r="AB135" i="22"/>
  <c r="AC135" i="22"/>
  <c r="AD135" i="22"/>
  <c r="AF135" i="22"/>
  <c r="AG135" i="22"/>
  <c r="AH135" i="22"/>
  <c r="S135" i="22"/>
  <c r="S146" i="22"/>
  <c r="AE141" i="22"/>
  <c r="AE142" i="22"/>
  <c r="AE143" i="22"/>
  <c r="AE144" i="22"/>
  <c r="AE145" i="22"/>
  <c r="AE140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Q148" i="22"/>
  <c r="P148" i="22"/>
  <c r="O148" i="22"/>
  <c r="N148" i="22"/>
  <c r="M148" i="22"/>
  <c r="L148" i="22"/>
  <c r="K148" i="22"/>
  <c r="J148" i="22"/>
  <c r="I148" i="22"/>
  <c r="H148" i="22"/>
  <c r="G148" i="22"/>
  <c r="F148" i="22"/>
  <c r="E148" i="22"/>
  <c r="D148" i="22"/>
  <c r="C148" i="22"/>
  <c r="B148" i="22"/>
  <c r="N137" i="22"/>
  <c r="N138" i="22"/>
  <c r="N139" i="22"/>
  <c r="N140" i="22"/>
  <c r="N141" i="22"/>
  <c r="N142" i="22"/>
  <c r="N143" i="22"/>
  <c r="N144" i="22"/>
  <c r="N145" i="22"/>
  <c r="N136" i="22"/>
  <c r="N126" i="22"/>
  <c r="N127" i="22"/>
  <c r="N128" i="22"/>
  <c r="N129" i="22"/>
  <c r="N130" i="22"/>
  <c r="N131" i="22"/>
  <c r="N132" i="22"/>
  <c r="N133" i="22"/>
  <c r="N134" i="22"/>
  <c r="N135" i="22" s="1"/>
  <c r="N125" i="22"/>
  <c r="C135" i="22"/>
  <c r="D135" i="22"/>
  <c r="E135" i="22"/>
  <c r="F135" i="22"/>
  <c r="G135" i="22"/>
  <c r="H135" i="22"/>
  <c r="I135" i="22"/>
  <c r="J135" i="22"/>
  <c r="K135" i="22"/>
  <c r="L135" i="22"/>
  <c r="M135" i="22"/>
  <c r="O135" i="22"/>
  <c r="P135" i="22"/>
  <c r="Q135" i="22"/>
  <c r="B135" i="22"/>
  <c r="N115" i="22"/>
  <c r="N116" i="22"/>
  <c r="N117" i="22"/>
  <c r="N118" i="22"/>
  <c r="N119" i="22"/>
  <c r="N120" i="22"/>
  <c r="N121" i="22"/>
  <c r="N122" i="22"/>
  <c r="N123" i="22"/>
  <c r="N114" i="22"/>
  <c r="T111" i="22"/>
  <c r="U111" i="22"/>
  <c r="V111" i="22"/>
  <c r="W111" i="22"/>
  <c r="X111" i="22"/>
  <c r="Y111" i="22"/>
  <c r="Z111" i="22"/>
  <c r="AA111" i="22"/>
  <c r="AB111" i="22"/>
  <c r="AC111" i="22"/>
  <c r="AD111" i="22"/>
  <c r="AE111" i="22"/>
  <c r="AF111" i="22"/>
  <c r="AG111" i="22"/>
  <c r="AH111" i="22"/>
  <c r="T112" i="22"/>
  <c r="U112" i="22"/>
  <c r="V112" i="22"/>
  <c r="W112" i="22"/>
  <c r="X112" i="22"/>
  <c r="Y112" i="22"/>
  <c r="Z112" i="22"/>
  <c r="AA112" i="22"/>
  <c r="AB112" i="22"/>
  <c r="AC112" i="22"/>
  <c r="AD112" i="22"/>
  <c r="AE112" i="22"/>
  <c r="AF112" i="22"/>
  <c r="AG112" i="22"/>
  <c r="AH112" i="22"/>
  <c r="S112" i="22"/>
  <c r="S111" i="22"/>
  <c r="T109" i="22"/>
  <c r="U109" i="22"/>
  <c r="V109" i="22"/>
  <c r="W109" i="22"/>
  <c r="X109" i="22"/>
  <c r="Y109" i="22"/>
  <c r="Z109" i="22"/>
  <c r="AA109" i="22"/>
  <c r="AB109" i="22"/>
  <c r="AC109" i="22"/>
  <c r="AD109" i="22"/>
  <c r="AE109" i="22"/>
  <c r="AF109" i="22"/>
  <c r="AG109" i="22"/>
  <c r="AH109" i="22"/>
  <c r="S109" i="22"/>
  <c r="AE104" i="22"/>
  <c r="AE105" i="22"/>
  <c r="AE106" i="22"/>
  <c r="AE107" i="22"/>
  <c r="AE108" i="22"/>
  <c r="AE103" i="22"/>
  <c r="T98" i="22"/>
  <c r="U98" i="22"/>
  <c r="V98" i="22"/>
  <c r="W98" i="22"/>
  <c r="X98" i="22"/>
  <c r="Y98" i="22"/>
  <c r="Z98" i="22"/>
  <c r="AA98" i="22"/>
  <c r="AB98" i="22"/>
  <c r="AC98" i="22"/>
  <c r="AD98" i="22"/>
  <c r="AE98" i="22"/>
  <c r="AF98" i="22"/>
  <c r="AG98" i="22"/>
  <c r="AH98" i="22"/>
  <c r="S98" i="22"/>
  <c r="AE93" i="22"/>
  <c r="AE94" i="22"/>
  <c r="AE95" i="22"/>
  <c r="AE96" i="22"/>
  <c r="AE97" i="22"/>
  <c r="AE92" i="22"/>
  <c r="AE82" i="22"/>
  <c r="AE83" i="22"/>
  <c r="AE84" i="22"/>
  <c r="AE85" i="22"/>
  <c r="AE86" i="22"/>
  <c r="AE81" i="22"/>
  <c r="Q112" i="22"/>
  <c r="P112" i="22"/>
  <c r="O112" i="22"/>
  <c r="N112" i="22"/>
  <c r="M112" i="22"/>
  <c r="L112" i="22"/>
  <c r="K112" i="22"/>
  <c r="J112" i="22"/>
  <c r="I112" i="22"/>
  <c r="H112" i="22"/>
  <c r="G112" i="22"/>
  <c r="F112" i="22"/>
  <c r="E112" i="22"/>
  <c r="D112" i="22"/>
  <c r="C112" i="22"/>
  <c r="B112" i="22"/>
  <c r="Q111" i="22"/>
  <c r="P111" i="22"/>
  <c r="O111" i="22"/>
  <c r="N111" i="22"/>
  <c r="M111" i="22"/>
  <c r="L111" i="22"/>
  <c r="K111" i="22"/>
  <c r="J111" i="22"/>
  <c r="I111" i="22"/>
  <c r="H111" i="22"/>
  <c r="G111" i="22"/>
  <c r="F111" i="22"/>
  <c r="E111" i="22"/>
  <c r="D111" i="22"/>
  <c r="C111" i="22"/>
  <c r="B111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B109" i="22"/>
  <c r="N100" i="22"/>
  <c r="N101" i="22"/>
  <c r="N102" i="22"/>
  <c r="N103" i="22"/>
  <c r="N104" i="22"/>
  <c r="N105" i="22"/>
  <c r="N106" i="22"/>
  <c r="N107" i="22"/>
  <c r="N108" i="22"/>
  <c r="N99" i="22"/>
  <c r="N89" i="22"/>
  <c r="N90" i="22"/>
  <c r="N91" i="22"/>
  <c r="N92" i="22"/>
  <c r="N93" i="22"/>
  <c r="N94" i="22"/>
  <c r="N95" i="22"/>
  <c r="N96" i="22"/>
  <c r="N97" i="22"/>
  <c r="N88" i="22"/>
  <c r="J5" i="17" l="1"/>
  <c r="BR161" i="18"/>
  <c r="BQ161" i="18"/>
  <c r="BP161" i="18"/>
  <c r="BR160" i="18"/>
  <c r="BQ160" i="18"/>
  <c r="BP160" i="18"/>
  <c r="BR159" i="18"/>
  <c r="BQ159" i="18"/>
  <c r="BP159" i="18"/>
  <c r="BR158" i="18"/>
  <c r="BQ158" i="18"/>
  <c r="BP158" i="18"/>
  <c r="BR157" i="18"/>
  <c r="BQ157" i="18"/>
  <c r="BP157" i="18"/>
  <c r="BR156" i="18"/>
  <c r="BQ156" i="18"/>
  <c r="BP156" i="18"/>
  <c r="BR155" i="18"/>
  <c r="BQ155" i="18"/>
  <c r="BP155" i="18"/>
  <c r="BR154" i="18"/>
  <c r="BQ154" i="18"/>
  <c r="BP154" i="18"/>
  <c r="BR153" i="18"/>
  <c r="BQ153" i="18"/>
  <c r="BP153" i="18"/>
  <c r="BP162" i="18" s="1"/>
  <c r="BR152" i="18"/>
  <c r="BR162" i="18" s="1"/>
  <c r="BQ152" i="18"/>
  <c r="BQ162" i="18" s="1"/>
  <c r="BP152" i="18"/>
  <c r="BR148" i="18"/>
  <c r="BQ148" i="18"/>
  <c r="BP148" i="18"/>
  <c r="BR147" i="18"/>
  <c r="BQ147" i="18"/>
  <c r="BP147" i="18"/>
  <c r="BR146" i="18"/>
  <c r="BQ146" i="18"/>
  <c r="BP146" i="18"/>
  <c r="BR145" i="18"/>
  <c r="BQ145" i="18"/>
  <c r="BP145" i="18"/>
  <c r="BR144" i="18"/>
  <c r="BQ144" i="18"/>
  <c r="BP144" i="18"/>
  <c r="BR143" i="18"/>
  <c r="BQ143" i="18"/>
  <c r="BP143" i="18"/>
  <c r="BR142" i="18"/>
  <c r="BQ142" i="18"/>
  <c r="BP142" i="18"/>
  <c r="BR141" i="18"/>
  <c r="BQ141" i="18"/>
  <c r="BP141" i="18"/>
  <c r="BR140" i="18"/>
  <c r="BQ140" i="18"/>
  <c r="BP140" i="18"/>
  <c r="BP149" i="18" s="1"/>
  <c r="BR139" i="18"/>
  <c r="BR149" i="18" s="1"/>
  <c r="BQ139" i="18"/>
  <c r="BQ149" i="18" s="1"/>
  <c r="BP139" i="18"/>
  <c r="BR122" i="18"/>
  <c r="BQ122" i="18"/>
  <c r="BP122" i="18"/>
  <c r="BR121" i="18"/>
  <c r="BQ121" i="18"/>
  <c r="BP121" i="18"/>
  <c r="BR120" i="18"/>
  <c r="BQ120" i="18"/>
  <c r="BP120" i="18"/>
  <c r="BR119" i="18"/>
  <c r="BQ119" i="18"/>
  <c r="BP119" i="18"/>
  <c r="BR118" i="18"/>
  <c r="BQ118" i="18"/>
  <c r="BP118" i="18"/>
  <c r="BR117" i="18"/>
  <c r="BQ117" i="18"/>
  <c r="BP117" i="18"/>
  <c r="BR116" i="18"/>
  <c r="BQ116" i="18"/>
  <c r="BP116" i="18"/>
  <c r="BR115" i="18"/>
  <c r="BQ115" i="18"/>
  <c r="BP115" i="18"/>
  <c r="BR114" i="18"/>
  <c r="BQ114" i="18"/>
  <c r="BP114" i="18"/>
  <c r="BP123" i="18" s="1"/>
  <c r="BR113" i="18"/>
  <c r="BR123" i="18" s="1"/>
  <c r="BQ113" i="18"/>
  <c r="BQ123" i="18" s="1"/>
  <c r="BP113" i="18"/>
  <c r="BR109" i="18"/>
  <c r="BQ109" i="18"/>
  <c r="BP109" i="18"/>
  <c r="BR108" i="18"/>
  <c r="BQ108" i="18"/>
  <c r="BP108" i="18"/>
  <c r="BR107" i="18"/>
  <c r="BQ107" i="18"/>
  <c r="BP107" i="18"/>
  <c r="BR106" i="18"/>
  <c r="BQ106" i="18"/>
  <c r="BP106" i="18"/>
  <c r="BR105" i="18"/>
  <c r="BQ105" i="18"/>
  <c r="BP105" i="18"/>
  <c r="BR104" i="18"/>
  <c r="BQ104" i="18"/>
  <c r="BP104" i="18"/>
  <c r="BR103" i="18"/>
  <c r="BQ103" i="18"/>
  <c r="BP103" i="18"/>
  <c r="BP110" i="18" s="1"/>
  <c r="BR102" i="18"/>
  <c r="BQ102" i="18"/>
  <c r="BP102" i="18"/>
  <c r="BR101" i="18"/>
  <c r="BQ101" i="18"/>
  <c r="BP101" i="18"/>
  <c r="BR100" i="18"/>
  <c r="BR110" i="18" s="1"/>
  <c r="BQ100" i="18"/>
  <c r="BQ110" i="18" s="1"/>
  <c r="BP100" i="18"/>
  <c r="BR96" i="18"/>
  <c r="BQ96" i="18"/>
  <c r="BP96" i="18"/>
  <c r="BR95" i="18"/>
  <c r="BQ95" i="18"/>
  <c r="BP95" i="18"/>
  <c r="BR94" i="18"/>
  <c r="BQ94" i="18"/>
  <c r="BP94" i="18"/>
  <c r="BR93" i="18"/>
  <c r="BQ93" i="18"/>
  <c r="BP93" i="18"/>
  <c r="BR92" i="18"/>
  <c r="BQ92" i="18"/>
  <c r="BP92" i="18"/>
  <c r="BR91" i="18"/>
  <c r="BQ91" i="18"/>
  <c r="BP91" i="18"/>
  <c r="BR90" i="18"/>
  <c r="BQ90" i="18"/>
  <c r="BP90" i="18"/>
  <c r="BR89" i="18"/>
  <c r="BQ89" i="18"/>
  <c r="BP89" i="18"/>
  <c r="BR88" i="18"/>
  <c r="BQ88" i="18"/>
  <c r="BP88" i="18"/>
  <c r="BR87" i="18"/>
  <c r="BR97" i="18" s="1"/>
  <c r="BQ87" i="18"/>
  <c r="BQ97" i="18" s="1"/>
  <c r="BP87" i="18"/>
  <c r="BP97" i="18" s="1"/>
  <c r="BR113" i="17"/>
  <c r="BQ113" i="17"/>
  <c r="BP113" i="17"/>
  <c r="BR112" i="17"/>
  <c r="BQ112" i="17"/>
  <c r="BP112" i="17"/>
  <c r="BR111" i="17"/>
  <c r="BQ111" i="17"/>
  <c r="BP111" i="17"/>
  <c r="BR110" i="17"/>
  <c r="BQ110" i="17"/>
  <c r="BP110" i="17"/>
  <c r="BR109" i="17"/>
  <c r="BQ109" i="17"/>
  <c r="BP109" i="17"/>
  <c r="BR108" i="17"/>
  <c r="BR114" i="17" s="1"/>
  <c r="BQ108" i="17"/>
  <c r="BQ114" i="17" s="1"/>
  <c r="BP108" i="17"/>
  <c r="BP114" i="17" s="1"/>
  <c r="BR104" i="17"/>
  <c r="BQ104" i="17"/>
  <c r="BP104" i="17"/>
  <c r="BR103" i="17"/>
  <c r="BQ103" i="17"/>
  <c r="BP103" i="17"/>
  <c r="BR102" i="17"/>
  <c r="BQ102" i="17"/>
  <c r="BP102" i="17"/>
  <c r="BR101" i="17"/>
  <c r="BQ101" i="17"/>
  <c r="BP101" i="17"/>
  <c r="BR100" i="17"/>
  <c r="BQ100" i="17"/>
  <c r="BP100" i="17"/>
  <c r="BR99" i="17"/>
  <c r="BR105" i="17" s="1"/>
  <c r="BQ99" i="17"/>
  <c r="BQ105" i="17" s="1"/>
  <c r="BP99" i="17"/>
  <c r="BP105" i="17" s="1"/>
  <c r="BR86" i="17"/>
  <c r="BQ86" i="17"/>
  <c r="BP86" i="17"/>
  <c r="BR85" i="17"/>
  <c r="BQ85" i="17"/>
  <c r="BP85" i="17"/>
  <c r="BR84" i="17"/>
  <c r="BQ84" i="17"/>
  <c r="BP84" i="17"/>
  <c r="BR83" i="17"/>
  <c r="BQ83" i="17"/>
  <c r="BP83" i="17"/>
  <c r="BR82" i="17"/>
  <c r="BQ82" i="17"/>
  <c r="BP82" i="17"/>
  <c r="BR81" i="17"/>
  <c r="BR87" i="17" s="1"/>
  <c r="BQ81" i="17"/>
  <c r="BQ87" i="17" s="1"/>
  <c r="BP81" i="17"/>
  <c r="BP87" i="17" s="1"/>
  <c r="BR77" i="17"/>
  <c r="BQ77" i="17"/>
  <c r="BP77" i="17"/>
  <c r="BR76" i="17"/>
  <c r="BQ76" i="17"/>
  <c r="BP76" i="17"/>
  <c r="BR75" i="17"/>
  <c r="BQ75" i="17"/>
  <c r="BP75" i="17"/>
  <c r="BR74" i="17"/>
  <c r="BQ74" i="17"/>
  <c r="BP74" i="17"/>
  <c r="BR73" i="17"/>
  <c r="BQ73" i="17"/>
  <c r="BP73" i="17"/>
  <c r="BP78" i="17" s="1"/>
  <c r="BR72" i="17"/>
  <c r="BR78" i="17" s="1"/>
  <c r="BQ72" i="17"/>
  <c r="BQ78" i="17" s="1"/>
  <c r="BP72" i="17"/>
  <c r="BR68" i="17"/>
  <c r="BQ68" i="17"/>
  <c r="BP68" i="17"/>
  <c r="BR67" i="17"/>
  <c r="BQ67" i="17"/>
  <c r="BP67" i="17"/>
  <c r="BR66" i="17"/>
  <c r="BQ66" i="17"/>
  <c r="BP66" i="17"/>
  <c r="BR65" i="17"/>
  <c r="BQ65" i="17"/>
  <c r="BP65" i="17"/>
  <c r="BR64" i="17"/>
  <c r="BQ64" i="17"/>
  <c r="BP64" i="17"/>
  <c r="BP69" i="17" s="1"/>
  <c r="BR63" i="17"/>
  <c r="BR69" i="17" s="1"/>
  <c r="BQ63" i="17"/>
  <c r="BQ69" i="17" s="1"/>
  <c r="BP63" i="17"/>
  <c r="BP113" i="16"/>
  <c r="BP109" i="16"/>
  <c r="BP114" i="16" s="1"/>
  <c r="BP110" i="16"/>
  <c r="BP111" i="16"/>
  <c r="BP112" i="16"/>
  <c r="BP108" i="16"/>
  <c r="BR113" i="16"/>
  <c r="BQ113" i="16"/>
  <c r="BR112" i="16"/>
  <c r="BQ112" i="16"/>
  <c r="BR111" i="16"/>
  <c r="BQ111" i="16"/>
  <c r="BR110" i="16"/>
  <c r="BQ110" i="16"/>
  <c r="BR109" i="16"/>
  <c r="BQ109" i="16"/>
  <c r="BR108" i="16"/>
  <c r="BR114" i="16" s="1"/>
  <c r="BQ108" i="16"/>
  <c r="BQ114" i="16" s="1"/>
  <c r="BP105" i="16"/>
  <c r="BR104" i="16"/>
  <c r="BQ104" i="16"/>
  <c r="BP104" i="16"/>
  <c r="BR103" i="16"/>
  <c r="BQ103" i="16"/>
  <c r="BP103" i="16"/>
  <c r="BR102" i="16"/>
  <c r="BQ102" i="16"/>
  <c r="BP102" i="16"/>
  <c r="BR101" i="16"/>
  <c r="BQ101" i="16"/>
  <c r="BP101" i="16"/>
  <c r="BR100" i="16"/>
  <c r="BQ100" i="16"/>
  <c r="BP100" i="16"/>
  <c r="BR99" i="16"/>
  <c r="BR105" i="16" s="1"/>
  <c r="BQ99" i="16"/>
  <c r="BQ105" i="16" s="1"/>
  <c r="BP99" i="16"/>
  <c r="BR86" i="16"/>
  <c r="BQ86" i="16"/>
  <c r="BP86" i="16"/>
  <c r="BR85" i="16"/>
  <c r="BQ85" i="16"/>
  <c r="BP85" i="16"/>
  <c r="BR84" i="16"/>
  <c r="BQ84" i="16"/>
  <c r="BP84" i="16"/>
  <c r="BR83" i="16"/>
  <c r="BQ83" i="16"/>
  <c r="BP83" i="16"/>
  <c r="BR82" i="16"/>
  <c r="BQ82" i="16"/>
  <c r="BP82" i="16"/>
  <c r="BR81" i="16"/>
  <c r="BR87" i="16" s="1"/>
  <c r="BQ81" i="16"/>
  <c r="BQ87" i="16" s="1"/>
  <c r="BP81" i="16"/>
  <c r="BP87" i="16" s="1"/>
  <c r="BR77" i="16"/>
  <c r="BQ77" i="16"/>
  <c r="BP77" i="16"/>
  <c r="BR76" i="16"/>
  <c r="BQ76" i="16"/>
  <c r="BP76" i="16"/>
  <c r="BR75" i="16"/>
  <c r="BQ75" i="16"/>
  <c r="BP75" i="16"/>
  <c r="BR74" i="16"/>
  <c r="BQ74" i="16"/>
  <c r="BP74" i="16"/>
  <c r="BR73" i="16"/>
  <c r="BQ73" i="16"/>
  <c r="BP73" i="16"/>
  <c r="BR72" i="16"/>
  <c r="BR78" i="16" s="1"/>
  <c r="BQ72" i="16"/>
  <c r="BQ78" i="16" s="1"/>
  <c r="BP72" i="16"/>
  <c r="BP78" i="16" s="1"/>
  <c r="BP63" i="16"/>
  <c r="BP64" i="16"/>
  <c r="BP65" i="16"/>
  <c r="BP66" i="16"/>
  <c r="BP67" i="16"/>
  <c r="BP69" i="16" s="1"/>
  <c r="BP68" i="16"/>
  <c r="BR68" i="16"/>
  <c r="BQ68" i="16"/>
  <c r="BR67" i="16"/>
  <c r="BQ67" i="16"/>
  <c r="BR66" i="16"/>
  <c r="BQ66" i="16"/>
  <c r="BR65" i="16"/>
  <c r="BQ65" i="16"/>
  <c r="BR64" i="16"/>
  <c r="BR69" i="16" s="1"/>
  <c r="BQ64" i="16"/>
  <c r="BR63" i="16"/>
  <c r="BQ63" i="16"/>
  <c r="BQ69" i="16" s="1"/>
  <c r="BR162" i="15"/>
  <c r="BQ162" i="15"/>
  <c r="BP162" i="15"/>
  <c r="BR149" i="15"/>
  <c r="BQ149" i="15"/>
  <c r="BP149" i="15"/>
  <c r="BR123" i="15"/>
  <c r="BQ123" i="15"/>
  <c r="BP123" i="15"/>
  <c r="BR110" i="15"/>
  <c r="BQ110" i="15"/>
  <c r="BP110" i="15"/>
  <c r="BR97" i="15"/>
  <c r="BQ97" i="15"/>
  <c r="BP97" i="15"/>
  <c r="BR161" i="15"/>
  <c r="BQ161" i="15"/>
  <c r="BP161" i="15"/>
  <c r="BR160" i="15"/>
  <c r="BQ160" i="15"/>
  <c r="BP160" i="15"/>
  <c r="BR159" i="15"/>
  <c r="BQ159" i="15"/>
  <c r="BP159" i="15"/>
  <c r="BR158" i="15"/>
  <c r="BQ158" i="15"/>
  <c r="BP158" i="15"/>
  <c r="BR157" i="15"/>
  <c r="BQ157" i="15"/>
  <c r="BP157" i="15"/>
  <c r="BR156" i="15"/>
  <c r="BQ156" i="15"/>
  <c r="BP156" i="15"/>
  <c r="BR155" i="15"/>
  <c r="BQ155" i="15"/>
  <c r="BP155" i="15"/>
  <c r="BR154" i="15"/>
  <c r="BQ154" i="15"/>
  <c r="BP154" i="15"/>
  <c r="BR153" i="15"/>
  <c r="BQ153" i="15"/>
  <c r="BP153" i="15"/>
  <c r="BR152" i="15"/>
  <c r="BQ152" i="15"/>
  <c r="BP152" i="15"/>
  <c r="BR148" i="15"/>
  <c r="BQ148" i="15"/>
  <c r="BP148" i="15"/>
  <c r="BR147" i="15"/>
  <c r="BQ147" i="15"/>
  <c r="BP147" i="15"/>
  <c r="BR146" i="15"/>
  <c r="BQ146" i="15"/>
  <c r="BP146" i="15"/>
  <c r="BR145" i="15"/>
  <c r="BQ145" i="15"/>
  <c r="BP145" i="15"/>
  <c r="BR144" i="15"/>
  <c r="BQ144" i="15"/>
  <c r="BP144" i="15"/>
  <c r="BR143" i="15"/>
  <c r="BQ143" i="15"/>
  <c r="BP143" i="15"/>
  <c r="BR142" i="15"/>
  <c r="BQ142" i="15"/>
  <c r="BP142" i="15"/>
  <c r="BR141" i="15"/>
  <c r="BQ141" i="15"/>
  <c r="BP141" i="15"/>
  <c r="BR140" i="15"/>
  <c r="BQ140" i="15"/>
  <c r="BP140" i="15"/>
  <c r="BR139" i="15"/>
  <c r="BQ139" i="15"/>
  <c r="BP139" i="15"/>
  <c r="BP113" i="15"/>
  <c r="BQ113" i="15"/>
  <c r="BR113" i="15"/>
  <c r="BP114" i="15"/>
  <c r="BQ114" i="15"/>
  <c r="BR114" i="15"/>
  <c r="BP115" i="15"/>
  <c r="BQ115" i="15"/>
  <c r="BR115" i="15"/>
  <c r="BP116" i="15"/>
  <c r="BQ116" i="15"/>
  <c r="BR116" i="15"/>
  <c r="BP117" i="15"/>
  <c r="BQ117" i="15"/>
  <c r="BR117" i="15"/>
  <c r="BP118" i="15"/>
  <c r="BQ118" i="15"/>
  <c r="BR118" i="15"/>
  <c r="BP119" i="15"/>
  <c r="BQ119" i="15"/>
  <c r="BR119" i="15"/>
  <c r="BP120" i="15"/>
  <c r="BQ120" i="15"/>
  <c r="BR120" i="15"/>
  <c r="BP121" i="15"/>
  <c r="BQ121" i="15"/>
  <c r="BR121" i="15"/>
  <c r="BP122" i="15"/>
  <c r="BQ122" i="15"/>
  <c r="BR122" i="15"/>
  <c r="BR109" i="15"/>
  <c r="BQ109" i="15"/>
  <c r="BP109" i="15"/>
  <c r="BR108" i="15"/>
  <c r="BQ108" i="15"/>
  <c r="BP108" i="15"/>
  <c r="BR107" i="15"/>
  <c r="BQ107" i="15"/>
  <c r="BP107" i="15"/>
  <c r="BR106" i="15"/>
  <c r="BQ106" i="15"/>
  <c r="BP106" i="15"/>
  <c r="BR105" i="15"/>
  <c r="BQ105" i="15"/>
  <c r="BP105" i="15"/>
  <c r="BR104" i="15"/>
  <c r="BQ104" i="15"/>
  <c r="BP104" i="15"/>
  <c r="BR103" i="15"/>
  <c r="BQ103" i="15"/>
  <c r="BP103" i="15"/>
  <c r="BR102" i="15"/>
  <c r="BQ102" i="15"/>
  <c r="BP102" i="15"/>
  <c r="BR101" i="15"/>
  <c r="BQ101" i="15"/>
  <c r="BP101" i="15"/>
  <c r="BR100" i="15"/>
  <c r="BQ100" i="15"/>
  <c r="BP100" i="15"/>
  <c r="BR96" i="15"/>
  <c r="BQ96" i="15"/>
  <c r="BP96" i="15"/>
  <c r="BR95" i="15"/>
  <c r="BQ95" i="15"/>
  <c r="BP95" i="15"/>
  <c r="BR94" i="15"/>
  <c r="BQ94" i="15"/>
  <c r="BP94" i="15"/>
  <c r="BR93" i="15"/>
  <c r="BQ93" i="15"/>
  <c r="BP93" i="15"/>
  <c r="BR92" i="15"/>
  <c r="BQ92" i="15"/>
  <c r="BP92" i="15"/>
  <c r="BR91" i="15"/>
  <c r="BQ91" i="15"/>
  <c r="BP91" i="15"/>
  <c r="BR90" i="15"/>
  <c r="BQ90" i="15"/>
  <c r="BP90" i="15"/>
  <c r="BR89" i="15"/>
  <c r="BQ89" i="15"/>
  <c r="BP89" i="15"/>
  <c r="BR88" i="15"/>
  <c r="BQ88" i="15"/>
  <c r="BP88" i="15"/>
  <c r="BR87" i="15"/>
  <c r="BQ87" i="15"/>
  <c r="BP87" i="15"/>
  <c r="C98" i="22"/>
  <c r="D98" i="22"/>
  <c r="E98" i="22"/>
  <c r="F98" i="22"/>
  <c r="G98" i="22"/>
  <c r="H98" i="22"/>
  <c r="I98" i="22"/>
  <c r="J98" i="22"/>
  <c r="K98" i="22"/>
  <c r="L98" i="22"/>
  <c r="M98" i="22"/>
  <c r="N98" i="22"/>
  <c r="O98" i="22"/>
  <c r="P98" i="22"/>
  <c r="Q98" i="22"/>
  <c r="B98" i="22"/>
  <c r="T87" i="22"/>
  <c r="U87" i="22"/>
  <c r="V87" i="22"/>
  <c r="W87" i="22"/>
  <c r="X87" i="22"/>
  <c r="Y87" i="22"/>
  <c r="Z87" i="22"/>
  <c r="AA87" i="22"/>
  <c r="AB87" i="22"/>
  <c r="AC87" i="22"/>
  <c r="AD87" i="22"/>
  <c r="AE87" i="22"/>
  <c r="AF87" i="22"/>
  <c r="AG87" i="22"/>
  <c r="AH87" i="22"/>
  <c r="S87" i="22"/>
  <c r="N78" i="22"/>
  <c r="N79" i="22"/>
  <c r="N80" i="22"/>
  <c r="N81" i="22"/>
  <c r="N82" i="22"/>
  <c r="N83" i="22"/>
  <c r="N84" i="22"/>
  <c r="N85" i="22"/>
  <c r="N87" i="22" s="1"/>
  <c r="N86" i="22"/>
  <c r="N77" i="22"/>
  <c r="C87" i="22"/>
  <c r="D87" i="22"/>
  <c r="E87" i="22"/>
  <c r="F87" i="22"/>
  <c r="G87" i="22"/>
  <c r="H87" i="22"/>
  <c r="I87" i="22"/>
  <c r="J87" i="22"/>
  <c r="K87" i="22"/>
  <c r="L87" i="22"/>
  <c r="M87" i="22"/>
  <c r="O87" i="22"/>
  <c r="P87" i="22"/>
  <c r="Q87" i="22"/>
  <c r="B87" i="22"/>
  <c r="Y74" i="22"/>
  <c r="AH74" i="22"/>
  <c r="N59" i="22"/>
  <c r="N58" i="22"/>
  <c r="N57" i="22"/>
  <c r="N56" i="22"/>
  <c r="N55" i="22"/>
  <c r="N54" i="22"/>
  <c r="N53" i="22"/>
  <c r="N52" i="22"/>
  <c r="N51" i="22"/>
  <c r="N50" i="22"/>
  <c r="N48" i="22"/>
  <c r="N47" i="22"/>
  <c r="N46" i="22"/>
  <c r="N45" i="22"/>
  <c r="N44" i="22"/>
  <c r="N43" i="22"/>
  <c r="N42" i="22"/>
  <c r="N41" i="22"/>
  <c r="N40" i="22"/>
  <c r="N39" i="22"/>
  <c r="C124" i="22"/>
  <c r="D124" i="22"/>
  <c r="E124" i="22"/>
  <c r="F124" i="22"/>
  <c r="G124" i="22"/>
  <c r="H124" i="22"/>
  <c r="I124" i="22"/>
  <c r="J124" i="22"/>
  <c r="K124" i="22"/>
  <c r="L124" i="22"/>
  <c r="M124" i="22"/>
  <c r="N124" i="22"/>
  <c r="O124" i="22"/>
  <c r="P124" i="22"/>
  <c r="Q124" i="22"/>
  <c r="B124" i="22"/>
  <c r="B49" i="22"/>
  <c r="T124" i="22"/>
  <c r="U124" i="22"/>
  <c r="V124" i="22"/>
  <c r="W124" i="22"/>
  <c r="X124" i="22"/>
  <c r="Y124" i="22"/>
  <c r="Z124" i="22"/>
  <c r="AA124" i="22"/>
  <c r="AB124" i="22"/>
  <c r="AC124" i="22"/>
  <c r="AD124" i="22"/>
  <c r="AE124" i="22"/>
  <c r="AF124" i="22"/>
  <c r="AG124" i="22"/>
  <c r="AH124" i="22"/>
  <c r="S124" i="22"/>
  <c r="AE18" i="22"/>
  <c r="AE19" i="22"/>
  <c r="AE20" i="22"/>
  <c r="AE21" i="22"/>
  <c r="AE22" i="22"/>
  <c r="AE17" i="22"/>
  <c r="N62" i="22"/>
  <c r="N63" i="22"/>
  <c r="N64" i="22"/>
  <c r="N65" i="22"/>
  <c r="N66" i="22"/>
  <c r="N67" i="22"/>
  <c r="N68" i="22"/>
  <c r="N69" i="22"/>
  <c r="N70" i="22"/>
  <c r="N61" i="22"/>
  <c r="T12" i="22"/>
  <c r="U12" i="22"/>
  <c r="U37" i="22" s="1"/>
  <c r="V12" i="22"/>
  <c r="W12" i="22"/>
  <c r="X12" i="22"/>
  <c r="Y12" i="22"/>
  <c r="Y37" i="22" s="1"/>
  <c r="Z12" i="22"/>
  <c r="AA12" i="22"/>
  <c r="AB12" i="22"/>
  <c r="AC12" i="22"/>
  <c r="AD12" i="22"/>
  <c r="AF12" i="22"/>
  <c r="AG12" i="22"/>
  <c r="AH12" i="22"/>
  <c r="S12" i="22"/>
  <c r="S37" i="22" s="1"/>
  <c r="S49" i="22"/>
  <c r="S74" i="22" s="1"/>
  <c r="AE7" i="22"/>
  <c r="AE8" i="22"/>
  <c r="AE9" i="22"/>
  <c r="AE10" i="22"/>
  <c r="AE11" i="22"/>
  <c r="AE6" i="22"/>
  <c r="AE43" i="22"/>
  <c r="Q49" i="22"/>
  <c r="P49" i="22"/>
  <c r="O49" i="22"/>
  <c r="M49" i="22"/>
  <c r="L49" i="22"/>
  <c r="K49" i="22"/>
  <c r="J49" i="22"/>
  <c r="I49" i="22"/>
  <c r="H49" i="22"/>
  <c r="G49" i="22"/>
  <c r="F49" i="22"/>
  <c r="E49" i="22"/>
  <c r="D49" i="22"/>
  <c r="C49" i="22"/>
  <c r="C60" i="22"/>
  <c r="D60" i="22"/>
  <c r="E60" i="22"/>
  <c r="F60" i="22"/>
  <c r="G60" i="22"/>
  <c r="H60" i="22"/>
  <c r="I60" i="22"/>
  <c r="J60" i="22"/>
  <c r="K60" i="22"/>
  <c r="L60" i="22"/>
  <c r="M60" i="22"/>
  <c r="O60" i="22"/>
  <c r="P60" i="22"/>
  <c r="Q60" i="22"/>
  <c r="B60" i="22"/>
  <c r="T49" i="22"/>
  <c r="U49" i="22"/>
  <c r="U73" i="22" s="1"/>
  <c r="V49" i="22"/>
  <c r="W49" i="22"/>
  <c r="X49" i="22"/>
  <c r="Y49" i="22"/>
  <c r="Y73" i="22" s="1"/>
  <c r="Z49" i="22"/>
  <c r="Z74" i="22" s="1"/>
  <c r="AA49" i="22"/>
  <c r="AB49" i="22"/>
  <c r="AC49" i="22"/>
  <c r="AD49" i="22"/>
  <c r="AF49" i="22"/>
  <c r="AG49" i="22"/>
  <c r="AG73" i="22" s="1"/>
  <c r="AH49" i="22"/>
  <c r="AH73" i="22" s="1"/>
  <c r="AE44" i="22"/>
  <c r="AE45" i="22"/>
  <c r="AE46" i="22"/>
  <c r="AE47" i="22"/>
  <c r="AE48" i="22"/>
  <c r="AH146" i="22"/>
  <c r="AG146" i="22"/>
  <c r="AF146" i="22"/>
  <c r="AE146" i="22"/>
  <c r="AD146" i="22"/>
  <c r="AC146" i="22"/>
  <c r="AB146" i="22"/>
  <c r="AA146" i="22"/>
  <c r="Z146" i="22"/>
  <c r="Y146" i="22"/>
  <c r="X146" i="22"/>
  <c r="W146" i="22"/>
  <c r="V146" i="22"/>
  <c r="U146" i="22"/>
  <c r="T146" i="22"/>
  <c r="Q146" i="22"/>
  <c r="P146" i="22"/>
  <c r="O146" i="22"/>
  <c r="N146" i="22"/>
  <c r="M146" i="22"/>
  <c r="L146" i="22"/>
  <c r="K146" i="22"/>
  <c r="J146" i="22"/>
  <c r="I146" i="22"/>
  <c r="H146" i="22"/>
  <c r="G146" i="22"/>
  <c r="F146" i="22"/>
  <c r="E146" i="22"/>
  <c r="D146" i="22"/>
  <c r="C146" i="22"/>
  <c r="B146" i="22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AI22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AI11" i="19"/>
  <c r="AH11" i="19"/>
  <c r="AG11" i="19"/>
  <c r="AF11" i="19"/>
  <c r="AE11" i="19"/>
  <c r="AD11" i="19"/>
  <c r="AC11" i="19"/>
  <c r="AB11" i="19"/>
  <c r="AA11" i="19"/>
  <c r="Z11" i="19"/>
  <c r="Y11" i="19"/>
  <c r="X11" i="19"/>
  <c r="W11" i="19"/>
  <c r="V11" i="19"/>
  <c r="U11" i="19"/>
  <c r="T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C11" i="19"/>
  <c r="B11" i="19"/>
  <c r="AI10" i="19"/>
  <c r="AH10" i="19"/>
  <c r="AG10" i="19"/>
  <c r="AF10" i="19"/>
  <c r="AE10" i="19"/>
  <c r="AD10" i="19"/>
  <c r="AC10" i="19"/>
  <c r="AB10" i="19"/>
  <c r="AA10" i="19"/>
  <c r="Z10" i="19"/>
  <c r="Y10" i="19"/>
  <c r="X10" i="19"/>
  <c r="W10" i="19"/>
  <c r="V10" i="19"/>
  <c r="U10" i="19"/>
  <c r="T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B10" i="19"/>
  <c r="AI5" i="19"/>
  <c r="AH5" i="19"/>
  <c r="AG5" i="19"/>
  <c r="AF5" i="19"/>
  <c r="AE5" i="19"/>
  <c r="AD5" i="19"/>
  <c r="AC5" i="19"/>
  <c r="AB5" i="19"/>
  <c r="AA5" i="19"/>
  <c r="Z5" i="19"/>
  <c r="Y5" i="19"/>
  <c r="X5" i="19"/>
  <c r="W5" i="19"/>
  <c r="V5" i="19"/>
  <c r="U5" i="19"/>
  <c r="T5" i="19"/>
  <c r="Q5" i="19"/>
  <c r="P5" i="19"/>
  <c r="O5" i="19"/>
  <c r="N5" i="19"/>
  <c r="M5" i="19"/>
  <c r="L5" i="19"/>
  <c r="K5" i="19"/>
  <c r="J5" i="19"/>
  <c r="I5" i="19"/>
  <c r="H5" i="19"/>
  <c r="G5" i="19"/>
  <c r="F5" i="19"/>
  <c r="E5" i="19"/>
  <c r="D5" i="19"/>
  <c r="C5" i="19"/>
  <c r="B5" i="19"/>
  <c r="AI4" i="19"/>
  <c r="AH4" i="19"/>
  <c r="AG4" i="19"/>
  <c r="AF4" i="19"/>
  <c r="AE4" i="19"/>
  <c r="AD4" i="19"/>
  <c r="AC4" i="19"/>
  <c r="AB4" i="19"/>
  <c r="AA4" i="19"/>
  <c r="Z4" i="19"/>
  <c r="Y4" i="19"/>
  <c r="X4" i="19"/>
  <c r="W4" i="19"/>
  <c r="V4" i="19"/>
  <c r="U4" i="19"/>
  <c r="T4" i="19"/>
  <c r="Q4" i="19"/>
  <c r="P4" i="19"/>
  <c r="O4" i="19"/>
  <c r="N4" i="19"/>
  <c r="M4" i="19"/>
  <c r="L4" i="19"/>
  <c r="K4" i="19"/>
  <c r="J4" i="19"/>
  <c r="I4" i="19"/>
  <c r="H4" i="19"/>
  <c r="G4" i="19"/>
  <c r="F4" i="19"/>
  <c r="E4" i="19"/>
  <c r="D4" i="19"/>
  <c r="C4" i="19"/>
  <c r="B4" i="19"/>
  <c r="AI59" i="19"/>
  <c r="AH59" i="19"/>
  <c r="AG59" i="19"/>
  <c r="AF59" i="19"/>
  <c r="AE59" i="19"/>
  <c r="AD59" i="19"/>
  <c r="AC59" i="19"/>
  <c r="AB59" i="19"/>
  <c r="AA59" i="19"/>
  <c r="Z59" i="19"/>
  <c r="Y59" i="19"/>
  <c r="X59" i="19"/>
  <c r="W59" i="19"/>
  <c r="V59" i="19"/>
  <c r="U59" i="19"/>
  <c r="T59" i="19"/>
  <c r="Q59" i="19"/>
  <c r="P59" i="19"/>
  <c r="O59" i="19"/>
  <c r="N59" i="19"/>
  <c r="M59" i="19"/>
  <c r="L59" i="19"/>
  <c r="K59" i="19"/>
  <c r="J59" i="19"/>
  <c r="I59" i="19"/>
  <c r="H59" i="19"/>
  <c r="G59" i="19"/>
  <c r="F59" i="19"/>
  <c r="E59" i="19"/>
  <c r="D59" i="19"/>
  <c r="C59" i="19"/>
  <c r="B59" i="19"/>
  <c r="AI58" i="19"/>
  <c r="AH58" i="19"/>
  <c r="AG58" i="19"/>
  <c r="AF58" i="19"/>
  <c r="AE58" i="19"/>
  <c r="AD58" i="19"/>
  <c r="AC58" i="19"/>
  <c r="AB58" i="19"/>
  <c r="AA58" i="19"/>
  <c r="Z58" i="19"/>
  <c r="Y58" i="19"/>
  <c r="X58" i="19"/>
  <c r="W58" i="19"/>
  <c r="V58" i="19"/>
  <c r="U58" i="19"/>
  <c r="T58" i="19"/>
  <c r="Q58" i="19"/>
  <c r="P58" i="19"/>
  <c r="O58" i="19"/>
  <c r="N58" i="19"/>
  <c r="M58" i="19"/>
  <c r="L58" i="19"/>
  <c r="K58" i="19"/>
  <c r="J58" i="19"/>
  <c r="I58" i="19"/>
  <c r="H58" i="19"/>
  <c r="G58" i="19"/>
  <c r="F58" i="19"/>
  <c r="E58" i="19"/>
  <c r="D58" i="19"/>
  <c r="C58" i="19"/>
  <c r="B58" i="19"/>
  <c r="AI53" i="19"/>
  <c r="AH53" i="19"/>
  <c r="AG53" i="19"/>
  <c r="AF53" i="19"/>
  <c r="AE53" i="19"/>
  <c r="AD53" i="19"/>
  <c r="AC53" i="19"/>
  <c r="AB53" i="19"/>
  <c r="AA53" i="19"/>
  <c r="Z53" i="19"/>
  <c r="Y53" i="19"/>
  <c r="X53" i="19"/>
  <c r="W53" i="19"/>
  <c r="V53" i="19"/>
  <c r="U53" i="19"/>
  <c r="T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AI52" i="19"/>
  <c r="AH52" i="19"/>
  <c r="AG52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AI47" i="19"/>
  <c r="AH47" i="19"/>
  <c r="AG47" i="19"/>
  <c r="AF47" i="19"/>
  <c r="AE47" i="19"/>
  <c r="AD47" i="19"/>
  <c r="AC47" i="19"/>
  <c r="AB47" i="19"/>
  <c r="AA47" i="19"/>
  <c r="Z47" i="19"/>
  <c r="Y47" i="19"/>
  <c r="X47" i="19"/>
  <c r="W47" i="19"/>
  <c r="V47" i="19"/>
  <c r="U47" i="19"/>
  <c r="T47" i="19"/>
  <c r="Q47" i="19"/>
  <c r="P47" i="19"/>
  <c r="O47" i="19"/>
  <c r="N47" i="19"/>
  <c r="M47" i="19"/>
  <c r="L47" i="19"/>
  <c r="K47" i="19"/>
  <c r="J47" i="19"/>
  <c r="I47" i="19"/>
  <c r="H47" i="19"/>
  <c r="G47" i="19"/>
  <c r="F47" i="19"/>
  <c r="E47" i="19"/>
  <c r="D47" i="19"/>
  <c r="C47" i="19"/>
  <c r="B47" i="19"/>
  <c r="AI46" i="19"/>
  <c r="AH46" i="19"/>
  <c r="AG46" i="19"/>
  <c r="AF46" i="19"/>
  <c r="AE46" i="19"/>
  <c r="AD46" i="19"/>
  <c r="AC46" i="19"/>
  <c r="AB46" i="19"/>
  <c r="AA46" i="19"/>
  <c r="Z46" i="19"/>
  <c r="Y46" i="19"/>
  <c r="X46" i="19"/>
  <c r="W46" i="19"/>
  <c r="V46" i="19"/>
  <c r="U46" i="19"/>
  <c r="T46" i="19"/>
  <c r="Q46" i="19"/>
  <c r="P46" i="19"/>
  <c r="O46" i="19"/>
  <c r="N46" i="19"/>
  <c r="M46" i="19"/>
  <c r="L46" i="19"/>
  <c r="K46" i="19"/>
  <c r="J46" i="19"/>
  <c r="I46" i="19"/>
  <c r="H46" i="19"/>
  <c r="G46" i="19"/>
  <c r="F46" i="19"/>
  <c r="E46" i="19"/>
  <c r="D46" i="19"/>
  <c r="C46" i="19"/>
  <c r="B46" i="19"/>
  <c r="AI41" i="19"/>
  <c r="AH41" i="19"/>
  <c r="AG41" i="19"/>
  <c r="AF41" i="19"/>
  <c r="AE41" i="19"/>
  <c r="AD41" i="19"/>
  <c r="AC41" i="19"/>
  <c r="AB41" i="19"/>
  <c r="AA41" i="19"/>
  <c r="Z41" i="19"/>
  <c r="Y41" i="19"/>
  <c r="X41" i="19"/>
  <c r="W41" i="19"/>
  <c r="V41" i="19"/>
  <c r="U41" i="19"/>
  <c r="T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AI40" i="19"/>
  <c r="AH40" i="19"/>
  <c r="AG40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AI35" i="19"/>
  <c r="AH35" i="19"/>
  <c r="AG35" i="19"/>
  <c r="AF35" i="19"/>
  <c r="AE35" i="19"/>
  <c r="AD35" i="19"/>
  <c r="AC35" i="19"/>
  <c r="AB35" i="19"/>
  <c r="AA35" i="19"/>
  <c r="Z35" i="19"/>
  <c r="Y35" i="19"/>
  <c r="X35" i="19"/>
  <c r="W35" i="19"/>
  <c r="V35" i="19"/>
  <c r="U35" i="19"/>
  <c r="T35" i="19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10" i="16"/>
  <c r="C114" i="16"/>
  <c r="D114" i="16"/>
  <c r="E114" i="16"/>
  <c r="F114" i="16"/>
  <c r="G114" i="16"/>
  <c r="H114" i="16"/>
  <c r="I114" i="16"/>
  <c r="J114" i="16"/>
  <c r="K114" i="16"/>
  <c r="L114" i="16"/>
  <c r="M114" i="16"/>
  <c r="O114" i="16"/>
  <c r="P114" i="16"/>
  <c r="Q114" i="16"/>
  <c r="B114" i="16"/>
  <c r="N108" i="16"/>
  <c r="N114" i="16" s="1"/>
  <c r="N113" i="16"/>
  <c r="N112" i="16"/>
  <c r="N111" i="16"/>
  <c r="N110" i="16"/>
  <c r="N109" i="16"/>
  <c r="L82" i="19"/>
  <c r="J82" i="19"/>
  <c r="H83" i="19"/>
  <c r="G82" i="19"/>
  <c r="F83" i="19"/>
  <c r="E82" i="19"/>
  <c r="D83" i="19"/>
  <c r="C83" i="19"/>
  <c r="B83" i="19"/>
  <c r="N83" i="19"/>
  <c r="M83" i="19"/>
  <c r="T76" i="19"/>
  <c r="AI65" i="19"/>
  <c r="AH65" i="19"/>
  <c r="AG65" i="19"/>
  <c r="AF65" i="19"/>
  <c r="AE65" i="19"/>
  <c r="AD65" i="19"/>
  <c r="AC65" i="19"/>
  <c r="AB65" i="19"/>
  <c r="AA65" i="19"/>
  <c r="Z65" i="19"/>
  <c r="Y65" i="19"/>
  <c r="X65" i="19"/>
  <c r="W65" i="19"/>
  <c r="V65" i="19"/>
  <c r="U65" i="19"/>
  <c r="T65" i="19"/>
  <c r="AI64" i="19"/>
  <c r="AH64" i="19"/>
  <c r="AG64" i="19"/>
  <c r="AF64" i="19"/>
  <c r="AE64" i="19"/>
  <c r="AD64" i="19"/>
  <c r="AC64" i="19"/>
  <c r="AB64" i="19"/>
  <c r="AA64" i="19"/>
  <c r="Z64" i="19"/>
  <c r="Y64" i="19"/>
  <c r="X64" i="19"/>
  <c r="W64" i="19"/>
  <c r="V64" i="19"/>
  <c r="U64" i="19"/>
  <c r="T64" i="19"/>
  <c r="AI71" i="19"/>
  <c r="AH71" i="19"/>
  <c r="AG71" i="19"/>
  <c r="AF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AI70" i="19"/>
  <c r="AH70" i="19"/>
  <c r="AG70" i="19"/>
  <c r="AF70" i="19"/>
  <c r="AE70" i="19"/>
  <c r="AD70" i="19"/>
  <c r="AC70" i="19"/>
  <c r="AB70" i="19"/>
  <c r="AA70" i="19"/>
  <c r="Z70" i="19"/>
  <c r="Y70" i="19"/>
  <c r="X70" i="19"/>
  <c r="W70" i="19"/>
  <c r="V70" i="19"/>
  <c r="U70" i="19"/>
  <c r="T70" i="19"/>
  <c r="AI77" i="19"/>
  <c r="AH77" i="19"/>
  <c r="AG77" i="19"/>
  <c r="AF77" i="19"/>
  <c r="AE77" i="19"/>
  <c r="AD77" i="19"/>
  <c r="AC77" i="19"/>
  <c r="AB77" i="19"/>
  <c r="AA77" i="19"/>
  <c r="Z77" i="19"/>
  <c r="Y77" i="19"/>
  <c r="X77" i="19"/>
  <c r="W77" i="19"/>
  <c r="V77" i="19"/>
  <c r="U77" i="19"/>
  <c r="T77" i="19"/>
  <c r="AI76" i="19"/>
  <c r="AH76" i="19"/>
  <c r="AG76" i="19"/>
  <c r="AF76" i="19"/>
  <c r="AE76" i="19"/>
  <c r="AD76" i="19"/>
  <c r="AC76" i="19"/>
  <c r="AB76" i="19"/>
  <c r="AA76" i="19"/>
  <c r="Z76" i="19"/>
  <c r="Y76" i="19"/>
  <c r="X76" i="19"/>
  <c r="W76" i="19"/>
  <c r="V76" i="19"/>
  <c r="U76" i="19"/>
  <c r="AI89" i="19"/>
  <c r="AH89" i="19"/>
  <c r="AG89" i="19"/>
  <c r="AF89" i="19"/>
  <c r="AE89" i="19"/>
  <c r="AD89" i="19"/>
  <c r="AC89" i="19"/>
  <c r="AB89" i="19"/>
  <c r="AA89" i="19"/>
  <c r="Z89" i="19"/>
  <c r="Y89" i="19"/>
  <c r="X89" i="19"/>
  <c r="W89" i="19"/>
  <c r="V89" i="19"/>
  <c r="U89" i="19"/>
  <c r="T89" i="19"/>
  <c r="AI88" i="19"/>
  <c r="AH88" i="19"/>
  <c r="AG88" i="19"/>
  <c r="AF88" i="19"/>
  <c r="AE88" i="19"/>
  <c r="AD88" i="19"/>
  <c r="AC88" i="19"/>
  <c r="AB88" i="19"/>
  <c r="AA88" i="19"/>
  <c r="Z88" i="19"/>
  <c r="Y88" i="19"/>
  <c r="X88" i="19"/>
  <c r="W88" i="19"/>
  <c r="V88" i="19"/>
  <c r="U88" i="19"/>
  <c r="T88" i="19"/>
  <c r="T82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Q70" i="19"/>
  <c r="P70" i="19"/>
  <c r="O70" i="19"/>
  <c r="N70" i="19"/>
  <c r="M70" i="19"/>
  <c r="L70" i="19"/>
  <c r="K70" i="19"/>
  <c r="J70" i="19"/>
  <c r="I70" i="19"/>
  <c r="H70" i="19"/>
  <c r="G70" i="19"/>
  <c r="F70" i="19"/>
  <c r="E70" i="19"/>
  <c r="D70" i="19"/>
  <c r="C70" i="19"/>
  <c r="B70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Q83" i="19"/>
  <c r="P83" i="19"/>
  <c r="O83" i="19"/>
  <c r="L83" i="19"/>
  <c r="K83" i="19"/>
  <c r="J83" i="19"/>
  <c r="I83" i="19"/>
  <c r="G83" i="19"/>
  <c r="E83" i="19"/>
  <c r="Q82" i="19"/>
  <c r="P82" i="19"/>
  <c r="O82" i="19"/>
  <c r="K82" i="19"/>
  <c r="I82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AI83" i="19"/>
  <c r="AH83" i="19"/>
  <c r="AG83" i="19"/>
  <c r="AF83" i="19"/>
  <c r="AE83" i="19"/>
  <c r="AD83" i="19"/>
  <c r="AC83" i="19"/>
  <c r="AB83" i="19"/>
  <c r="AA83" i="19"/>
  <c r="Z83" i="19"/>
  <c r="Y83" i="19"/>
  <c r="X83" i="19"/>
  <c r="W83" i="19"/>
  <c r="V83" i="19"/>
  <c r="U83" i="19"/>
  <c r="T83" i="19"/>
  <c r="AI82" i="19"/>
  <c r="AH82" i="19"/>
  <c r="AG82" i="19"/>
  <c r="AF82" i="19"/>
  <c r="AE82" i="19"/>
  <c r="AD82" i="19"/>
  <c r="AC82" i="19"/>
  <c r="AB82" i="19"/>
  <c r="AA82" i="19"/>
  <c r="Z82" i="19"/>
  <c r="Y82" i="19"/>
  <c r="X82" i="19"/>
  <c r="W82" i="19"/>
  <c r="V82" i="19"/>
  <c r="U82" i="19"/>
  <c r="Q65" i="19"/>
  <c r="P65" i="19"/>
  <c r="O65" i="19"/>
  <c r="N65" i="19"/>
  <c r="M65" i="19"/>
  <c r="L65" i="19"/>
  <c r="K65" i="19"/>
  <c r="J65" i="19"/>
  <c r="I65" i="19"/>
  <c r="H65" i="19"/>
  <c r="G65" i="19"/>
  <c r="F65" i="19"/>
  <c r="E65" i="19"/>
  <c r="D65" i="19"/>
  <c r="C65" i="19"/>
  <c r="B65" i="19"/>
  <c r="Q64" i="19"/>
  <c r="P64" i="19"/>
  <c r="O64" i="19"/>
  <c r="N64" i="19"/>
  <c r="M64" i="19"/>
  <c r="L64" i="19"/>
  <c r="K64" i="19"/>
  <c r="J64" i="19"/>
  <c r="I64" i="19"/>
  <c r="H64" i="19"/>
  <c r="G64" i="19"/>
  <c r="F64" i="19"/>
  <c r="E64" i="19"/>
  <c r="D64" i="19"/>
  <c r="C64" i="19"/>
  <c r="B64" i="19"/>
  <c r="F210" i="16"/>
  <c r="D210" i="16"/>
  <c r="T23" i="22"/>
  <c r="U23" i="22"/>
  <c r="V23" i="22"/>
  <c r="W23" i="22"/>
  <c r="X23" i="22"/>
  <c r="Y23" i="22"/>
  <c r="Z23" i="22"/>
  <c r="AA23" i="22"/>
  <c r="AB23" i="22"/>
  <c r="AC23" i="22"/>
  <c r="AD23" i="22"/>
  <c r="AF23" i="22"/>
  <c r="AG23" i="22"/>
  <c r="AH23" i="22"/>
  <c r="S23" i="22"/>
  <c r="C71" i="22"/>
  <c r="D71" i="22"/>
  <c r="E71" i="22"/>
  <c r="F71" i="22"/>
  <c r="G71" i="22"/>
  <c r="H71" i="22"/>
  <c r="I71" i="22"/>
  <c r="J71" i="22"/>
  <c r="K71" i="22"/>
  <c r="L71" i="22"/>
  <c r="M71" i="22"/>
  <c r="O71" i="22"/>
  <c r="P71" i="22"/>
  <c r="Q71" i="22"/>
  <c r="B71" i="22"/>
  <c r="T60" i="22"/>
  <c r="U60" i="22"/>
  <c r="V60" i="22"/>
  <c r="W60" i="22"/>
  <c r="X60" i="22"/>
  <c r="Y60" i="22"/>
  <c r="Z60" i="22"/>
  <c r="AA60" i="22"/>
  <c r="AB60" i="22"/>
  <c r="AC60" i="22"/>
  <c r="AD60" i="22"/>
  <c r="AF60" i="22"/>
  <c r="AG60" i="22"/>
  <c r="AH60" i="22"/>
  <c r="S60" i="22"/>
  <c r="AE55" i="22"/>
  <c r="AE56" i="22"/>
  <c r="AE57" i="22"/>
  <c r="AE58" i="22"/>
  <c r="AE59" i="22"/>
  <c r="AE54" i="22"/>
  <c r="C34" i="22"/>
  <c r="D34" i="22"/>
  <c r="E34" i="22"/>
  <c r="F34" i="22"/>
  <c r="G34" i="22"/>
  <c r="H34" i="22"/>
  <c r="I34" i="22"/>
  <c r="J34" i="22"/>
  <c r="K34" i="22"/>
  <c r="L34" i="22"/>
  <c r="M34" i="22"/>
  <c r="O34" i="22"/>
  <c r="P34" i="22"/>
  <c r="Q34" i="22"/>
  <c r="B34" i="22"/>
  <c r="N25" i="22"/>
  <c r="N26" i="22"/>
  <c r="N27" i="22"/>
  <c r="N28" i="22"/>
  <c r="N29" i="22"/>
  <c r="N30" i="22"/>
  <c r="N31" i="22"/>
  <c r="N32" i="22"/>
  <c r="N33" i="22"/>
  <c r="N24" i="22"/>
  <c r="T34" i="22"/>
  <c r="U34" i="22"/>
  <c r="U36" i="22" s="1"/>
  <c r="V34" i="22"/>
  <c r="V37" i="22" s="1"/>
  <c r="W34" i="22"/>
  <c r="X34" i="22"/>
  <c r="Y34" i="22"/>
  <c r="Z34" i="22"/>
  <c r="AA34" i="22"/>
  <c r="AB34" i="22"/>
  <c r="AC34" i="22"/>
  <c r="AD34" i="22"/>
  <c r="AF34" i="22"/>
  <c r="AG34" i="22"/>
  <c r="AH34" i="22"/>
  <c r="S34" i="22"/>
  <c r="AE29" i="22"/>
  <c r="AE30" i="22"/>
  <c r="AE31" i="22"/>
  <c r="AE32" i="22"/>
  <c r="AE33" i="22"/>
  <c r="AE28" i="22"/>
  <c r="C23" i="22"/>
  <c r="D23" i="22"/>
  <c r="E23" i="22"/>
  <c r="F23" i="22"/>
  <c r="G23" i="22"/>
  <c r="H23" i="22"/>
  <c r="I23" i="22"/>
  <c r="J23" i="22"/>
  <c r="K23" i="22"/>
  <c r="L23" i="22"/>
  <c r="M23" i="22"/>
  <c r="O23" i="22"/>
  <c r="P23" i="22"/>
  <c r="Q23" i="22"/>
  <c r="B23" i="22"/>
  <c r="N14" i="22"/>
  <c r="N15" i="22"/>
  <c r="N16" i="22"/>
  <c r="N17" i="22"/>
  <c r="N18" i="22"/>
  <c r="N19" i="22"/>
  <c r="N20" i="22"/>
  <c r="N21" i="22"/>
  <c r="N22" i="22"/>
  <c r="N13" i="22"/>
  <c r="C12" i="22"/>
  <c r="D12" i="22"/>
  <c r="E12" i="22"/>
  <c r="F12" i="22"/>
  <c r="G12" i="22"/>
  <c r="H12" i="22"/>
  <c r="I12" i="22"/>
  <c r="I37" i="22" s="1"/>
  <c r="J12" i="22"/>
  <c r="K12" i="22"/>
  <c r="L12" i="22"/>
  <c r="M12" i="22"/>
  <c r="O12" i="22"/>
  <c r="P12" i="22"/>
  <c r="Q12" i="22"/>
  <c r="B12" i="22"/>
  <c r="N3" i="22"/>
  <c r="N4" i="22"/>
  <c r="N5" i="22"/>
  <c r="N6" i="22"/>
  <c r="N7" i="22"/>
  <c r="N8" i="22"/>
  <c r="N9" i="22"/>
  <c r="N10" i="22"/>
  <c r="N11" i="22"/>
  <c r="N2" i="22"/>
  <c r="T71" i="22"/>
  <c r="U71" i="22"/>
  <c r="V71" i="22"/>
  <c r="W71" i="22"/>
  <c r="X71" i="22"/>
  <c r="Y71" i="22"/>
  <c r="Z71" i="22"/>
  <c r="AA71" i="22"/>
  <c r="AB71" i="22"/>
  <c r="AC71" i="22"/>
  <c r="AD71" i="22"/>
  <c r="AD73" i="22" s="1"/>
  <c r="AF71" i="22"/>
  <c r="AF74" i="22" s="1"/>
  <c r="AG71" i="22"/>
  <c r="AG74" i="22" s="1"/>
  <c r="AH71" i="22"/>
  <c r="S71" i="22"/>
  <c r="AE66" i="22"/>
  <c r="AE67" i="22"/>
  <c r="AE68" i="22"/>
  <c r="AE69" i="22"/>
  <c r="AE70" i="22"/>
  <c r="AE65" i="22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H183" i="21"/>
  <c r="S183" i="21"/>
  <c r="AE178" i="21"/>
  <c r="AE179" i="21"/>
  <c r="AE180" i="21"/>
  <c r="AE181" i="21"/>
  <c r="AE182" i="21"/>
  <c r="AE177" i="21"/>
  <c r="AE183" i="21" s="1"/>
  <c r="T172" i="21"/>
  <c r="U172" i="21"/>
  <c r="V172" i="21"/>
  <c r="W172" i="21"/>
  <c r="X172" i="21"/>
  <c r="Y172" i="21"/>
  <c r="Z172" i="21"/>
  <c r="AA172" i="21"/>
  <c r="AB172" i="21"/>
  <c r="AC172" i="21"/>
  <c r="AD172" i="21"/>
  <c r="AF172" i="21"/>
  <c r="AG172" i="21"/>
  <c r="AH172" i="21"/>
  <c r="S172" i="21"/>
  <c r="AE167" i="21"/>
  <c r="AE168" i="21"/>
  <c r="AE169" i="21"/>
  <c r="AE170" i="21"/>
  <c r="AE171" i="21"/>
  <c r="AE166" i="21"/>
  <c r="T161" i="21"/>
  <c r="T186" i="21" s="1"/>
  <c r="U161" i="21"/>
  <c r="U185" i="21" s="1"/>
  <c r="V161" i="21"/>
  <c r="V186" i="21" s="1"/>
  <c r="W161" i="21"/>
  <c r="X161" i="21"/>
  <c r="Y161" i="21"/>
  <c r="Z161" i="21"/>
  <c r="AA161" i="21"/>
  <c r="AB161" i="21"/>
  <c r="AC161" i="21"/>
  <c r="AD161" i="21"/>
  <c r="AF161" i="21"/>
  <c r="AG161" i="21"/>
  <c r="AH161" i="21"/>
  <c r="S161" i="21"/>
  <c r="AE156" i="21"/>
  <c r="AE157" i="21"/>
  <c r="AE158" i="21"/>
  <c r="AE159" i="21"/>
  <c r="AE160" i="21"/>
  <c r="AE155" i="21"/>
  <c r="C183" i="21"/>
  <c r="D183" i="21"/>
  <c r="E183" i="21"/>
  <c r="F183" i="21"/>
  <c r="G183" i="21"/>
  <c r="H183" i="21"/>
  <c r="I183" i="21"/>
  <c r="J183" i="21"/>
  <c r="K183" i="21"/>
  <c r="L183" i="21"/>
  <c r="M183" i="21"/>
  <c r="O183" i="21"/>
  <c r="P183" i="21"/>
  <c r="Q183" i="21"/>
  <c r="B183" i="21"/>
  <c r="N174" i="21"/>
  <c r="N175" i="21"/>
  <c r="N176" i="21"/>
  <c r="N177" i="21"/>
  <c r="N178" i="21"/>
  <c r="N179" i="21"/>
  <c r="N180" i="21"/>
  <c r="N181" i="21"/>
  <c r="N182" i="21"/>
  <c r="N173" i="21"/>
  <c r="C172" i="21"/>
  <c r="D172" i="21"/>
  <c r="E172" i="21"/>
  <c r="F172" i="21"/>
  <c r="G172" i="21"/>
  <c r="H172" i="21"/>
  <c r="I172" i="21"/>
  <c r="J172" i="21"/>
  <c r="K172" i="21"/>
  <c r="L172" i="21"/>
  <c r="M172" i="21"/>
  <c r="O172" i="21"/>
  <c r="P172" i="21"/>
  <c r="Q172" i="21"/>
  <c r="B172" i="21"/>
  <c r="N163" i="21"/>
  <c r="N164" i="21"/>
  <c r="N165" i="21"/>
  <c r="N166" i="21"/>
  <c r="N167" i="21"/>
  <c r="N168" i="21"/>
  <c r="N169" i="21"/>
  <c r="N170" i="21"/>
  <c r="N171" i="21"/>
  <c r="N162" i="21"/>
  <c r="C161" i="21"/>
  <c r="C186" i="21" s="1"/>
  <c r="D161" i="21"/>
  <c r="E161" i="21"/>
  <c r="F161" i="21"/>
  <c r="G161" i="21"/>
  <c r="H161" i="21"/>
  <c r="I161" i="21"/>
  <c r="J161" i="21"/>
  <c r="K161" i="21"/>
  <c r="L161" i="21"/>
  <c r="M161" i="21"/>
  <c r="O161" i="21"/>
  <c r="P161" i="21"/>
  <c r="Q161" i="21"/>
  <c r="B161" i="21"/>
  <c r="N152" i="21"/>
  <c r="N153" i="21"/>
  <c r="N154" i="21"/>
  <c r="N155" i="21"/>
  <c r="N156" i="21"/>
  <c r="N157" i="21"/>
  <c r="N158" i="21"/>
  <c r="N159" i="21"/>
  <c r="N160" i="21"/>
  <c r="N151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H257" i="21"/>
  <c r="S257" i="21"/>
  <c r="AE252" i="21"/>
  <c r="AE253" i="21"/>
  <c r="AE254" i="21"/>
  <c r="AE255" i="21"/>
  <c r="AE256" i="21"/>
  <c r="AE251" i="21"/>
  <c r="T246" i="21"/>
  <c r="U246" i="21"/>
  <c r="V246" i="21"/>
  <c r="W246" i="21"/>
  <c r="X246" i="21"/>
  <c r="Y246" i="21"/>
  <c r="Z246" i="21"/>
  <c r="AA246" i="21"/>
  <c r="AB246" i="21"/>
  <c r="AC246" i="21"/>
  <c r="AD246" i="21"/>
  <c r="AF246" i="21"/>
  <c r="AG246" i="21"/>
  <c r="AH246" i="21"/>
  <c r="S246" i="21"/>
  <c r="AE241" i="21"/>
  <c r="AE242" i="21"/>
  <c r="AE243" i="21"/>
  <c r="AE244" i="21"/>
  <c r="AE245" i="21"/>
  <c r="AE240" i="21"/>
  <c r="T235" i="21"/>
  <c r="U235" i="21"/>
  <c r="U259" i="21" s="1"/>
  <c r="V235" i="21"/>
  <c r="W235" i="21"/>
  <c r="W260" i="21" s="1"/>
  <c r="X235" i="21"/>
  <c r="Y235" i="21"/>
  <c r="Z235" i="21"/>
  <c r="AA235" i="21"/>
  <c r="AB235" i="21"/>
  <c r="AC235" i="21"/>
  <c r="AD235" i="21"/>
  <c r="AF235" i="21"/>
  <c r="AG235" i="21"/>
  <c r="AH235" i="21"/>
  <c r="S235" i="21"/>
  <c r="AE230" i="21"/>
  <c r="AE231" i="21"/>
  <c r="AE232" i="21"/>
  <c r="AE233" i="21"/>
  <c r="AE234" i="21"/>
  <c r="AE229" i="21"/>
  <c r="N229" i="21"/>
  <c r="C257" i="21"/>
  <c r="D257" i="21"/>
  <c r="E257" i="21"/>
  <c r="F257" i="21"/>
  <c r="G257" i="21"/>
  <c r="H257" i="21"/>
  <c r="I257" i="21"/>
  <c r="J257" i="21"/>
  <c r="K257" i="21"/>
  <c r="L257" i="21"/>
  <c r="M257" i="21"/>
  <c r="O257" i="21"/>
  <c r="P257" i="21"/>
  <c r="Q257" i="21"/>
  <c r="B257" i="21"/>
  <c r="N248" i="21"/>
  <c r="N249" i="21"/>
  <c r="N250" i="21"/>
  <c r="N251" i="21"/>
  <c r="N252" i="21"/>
  <c r="N253" i="21"/>
  <c r="N254" i="21"/>
  <c r="N255" i="21"/>
  <c r="N256" i="21"/>
  <c r="N247" i="21"/>
  <c r="C246" i="21"/>
  <c r="D246" i="21"/>
  <c r="E246" i="21"/>
  <c r="F246" i="21"/>
  <c r="G246" i="21"/>
  <c r="H246" i="21"/>
  <c r="I246" i="21"/>
  <c r="J246" i="21"/>
  <c r="K246" i="21"/>
  <c r="L246" i="21"/>
  <c r="M246" i="21"/>
  <c r="O246" i="21"/>
  <c r="P246" i="21"/>
  <c r="Q246" i="21"/>
  <c r="B246" i="21"/>
  <c r="N237" i="21"/>
  <c r="N238" i="21"/>
  <c r="N239" i="21"/>
  <c r="N240" i="21"/>
  <c r="N241" i="21"/>
  <c r="N242" i="21"/>
  <c r="N243" i="21"/>
  <c r="N244" i="21"/>
  <c r="N245" i="21"/>
  <c r="N236" i="21"/>
  <c r="C235" i="21"/>
  <c r="D235" i="21"/>
  <c r="E235" i="21"/>
  <c r="F235" i="21"/>
  <c r="G235" i="21"/>
  <c r="H235" i="21"/>
  <c r="I235" i="21"/>
  <c r="J235" i="21"/>
  <c r="K235" i="21"/>
  <c r="L235" i="21"/>
  <c r="M235" i="21"/>
  <c r="O235" i="21"/>
  <c r="P235" i="21"/>
  <c r="Q235" i="21"/>
  <c r="B235" i="21"/>
  <c r="N226" i="21"/>
  <c r="N227" i="21"/>
  <c r="N228" i="21"/>
  <c r="N230" i="21"/>
  <c r="N231" i="21"/>
  <c r="N232" i="21"/>
  <c r="N233" i="21"/>
  <c r="N234" i="21"/>
  <c r="N225" i="21"/>
  <c r="T220" i="21"/>
  <c r="U220" i="21"/>
  <c r="V220" i="21"/>
  <c r="W220" i="21"/>
  <c r="X220" i="21"/>
  <c r="Y220" i="21"/>
  <c r="Z220" i="21"/>
  <c r="AA220" i="21"/>
  <c r="AB220" i="21"/>
  <c r="AC220" i="21"/>
  <c r="AD220" i="21"/>
  <c r="AF220" i="21"/>
  <c r="AG220" i="21"/>
  <c r="AH220" i="21"/>
  <c r="S220" i="21"/>
  <c r="AE215" i="21"/>
  <c r="AE216" i="21"/>
  <c r="AE217" i="21"/>
  <c r="AE218" i="21"/>
  <c r="AE219" i="21"/>
  <c r="AE214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H209" i="21"/>
  <c r="S209" i="21"/>
  <c r="AE204" i="21"/>
  <c r="AE205" i="21"/>
  <c r="AE206" i="21"/>
  <c r="AE207" i="21"/>
  <c r="AE208" i="21"/>
  <c r="AE203" i="21"/>
  <c r="C220" i="21"/>
  <c r="D220" i="21"/>
  <c r="E220" i="21"/>
  <c r="F220" i="21"/>
  <c r="G220" i="21"/>
  <c r="H220" i="21"/>
  <c r="I220" i="21"/>
  <c r="J220" i="21"/>
  <c r="K220" i="21"/>
  <c r="L220" i="21"/>
  <c r="M220" i="21"/>
  <c r="O220" i="21"/>
  <c r="P220" i="21"/>
  <c r="Q220" i="21"/>
  <c r="B220" i="21"/>
  <c r="N211" i="21"/>
  <c r="N212" i="21"/>
  <c r="N213" i="21"/>
  <c r="N214" i="21"/>
  <c r="N215" i="21"/>
  <c r="N216" i="21"/>
  <c r="N217" i="21"/>
  <c r="N218" i="21"/>
  <c r="N219" i="21"/>
  <c r="N210" i="21"/>
  <c r="C209" i="21"/>
  <c r="D209" i="21"/>
  <c r="E209" i="21"/>
  <c r="F209" i="21"/>
  <c r="G209" i="21"/>
  <c r="H209" i="21"/>
  <c r="I209" i="21"/>
  <c r="J209" i="21"/>
  <c r="K209" i="21"/>
  <c r="L209" i="21"/>
  <c r="M209" i="21"/>
  <c r="O209" i="21"/>
  <c r="P209" i="21"/>
  <c r="Q209" i="21"/>
  <c r="B209" i="21"/>
  <c r="N200" i="21"/>
  <c r="N201" i="21"/>
  <c r="N202" i="21"/>
  <c r="N203" i="21"/>
  <c r="N204" i="21"/>
  <c r="N205" i="21"/>
  <c r="N206" i="21"/>
  <c r="N207" i="21"/>
  <c r="N208" i="21"/>
  <c r="N199" i="21"/>
  <c r="N188" i="21"/>
  <c r="C198" i="21"/>
  <c r="D198" i="21"/>
  <c r="E198" i="21"/>
  <c r="F198" i="21"/>
  <c r="G198" i="21"/>
  <c r="H198" i="21"/>
  <c r="I198" i="21"/>
  <c r="J198" i="21"/>
  <c r="K198" i="21"/>
  <c r="L198" i="21"/>
  <c r="M198" i="21"/>
  <c r="O198" i="21"/>
  <c r="P198" i="21"/>
  <c r="Q198" i="21"/>
  <c r="B198" i="21"/>
  <c r="N189" i="21"/>
  <c r="N190" i="21"/>
  <c r="N191" i="21"/>
  <c r="N192" i="21"/>
  <c r="N193" i="21"/>
  <c r="N194" i="21"/>
  <c r="N195" i="21"/>
  <c r="N196" i="21"/>
  <c r="N197" i="21"/>
  <c r="T198" i="21"/>
  <c r="U198" i="21"/>
  <c r="V198" i="21"/>
  <c r="W198" i="21"/>
  <c r="X198" i="21"/>
  <c r="Y198" i="21"/>
  <c r="Z198" i="21"/>
  <c r="AA198" i="21"/>
  <c r="AB198" i="21"/>
  <c r="AC198" i="21"/>
  <c r="AD198" i="21"/>
  <c r="AD223" i="21" s="1"/>
  <c r="AF198" i="21"/>
  <c r="AG198" i="21"/>
  <c r="AH198" i="21"/>
  <c r="S198" i="21"/>
  <c r="AE193" i="21"/>
  <c r="AE194" i="21"/>
  <c r="AE195" i="21"/>
  <c r="AE196" i="21"/>
  <c r="AE197" i="21"/>
  <c r="AE192" i="21"/>
  <c r="T146" i="21"/>
  <c r="U146" i="21"/>
  <c r="V146" i="21"/>
  <c r="W146" i="21"/>
  <c r="X146" i="21"/>
  <c r="Y146" i="21"/>
  <c r="Z146" i="21"/>
  <c r="AA146" i="21"/>
  <c r="AB146" i="21"/>
  <c r="AC146" i="21"/>
  <c r="AD146" i="21"/>
  <c r="AF146" i="21"/>
  <c r="AG146" i="21"/>
  <c r="AH146" i="21"/>
  <c r="S146" i="21"/>
  <c r="AE141" i="21"/>
  <c r="AE142" i="21"/>
  <c r="AE143" i="21"/>
  <c r="AE144" i="21"/>
  <c r="AE145" i="21"/>
  <c r="AE140" i="21"/>
  <c r="T135" i="21"/>
  <c r="U135" i="21"/>
  <c r="V135" i="21"/>
  <c r="W135" i="21"/>
  <c r="X135" i="21"/>
  <c r="Y135" i="21"/>
  <c r="Z135" i="21"/>
  <c r="AA135" i="21"/>
  <c r="AB135" i="21"/>
  <c r="AC135" i="21"/>
  <c r="AD135" i="21"/>
  <c r="AF135" i="21"/>
  <c r="AG135" i="21"/>
  <c r="AH135" i="21"/>
  <c r="S135" i="21"/>
  <c r="AE130" i="21"/>
  <c r="AE131" i="21"/>
  <c r="AE132" i="21"/>
  <c r="AE133" i="21"/>
  <c r="AE134" i="21"/>
  <c r="AE129" i="21"/>
  <c r="AE119" i="21"/>
  <c r="AE120" i="21"/>
  <c r="AE121" i="21"/>
  <c r="AE122" i="21"/>
  <c r="AE123" i="21"/>
  <c r="AE118" i="21"/>
  <c r="T124" i="21"/>
  <c r="U124" i="21"/>
  <c r="V124" i="21"/>
  <c r="W124" i="21"/>
  <c r="X124" i="21"/>
  <c r="Y124" i="21"/>
  <c r="Z124" i="21"/>
  <c r="AA124" i="21"/>
  <c r="AB124" i="21"/>
  <c r="AC124" i="21"/>
  <c r="AD124" i="21"/>
  <c r="AF124" i="21"/>
  <c r="AG124" i="21"/>
  <c r="AH124" i="21"/>
  <c r="S124" i="21"/>
  <c r="C146" i="21"/>
  <c r="D146" i="21"/>
  <c r="E146" i="21"/>
  <c r="F146" i="21"/>
  <c r="G146" i="21"/>
  <c r="H146" i="21"/>
  <c r="I146" i="21"/>
  <c r="J146" i="21"/>
  <c r="K146" i="21"/>
  <c r="L146" i="21"/>
  <c r="M146" i="21"/>
  <c r="O146" i="21"/>
  <c r="P146" i="21"/>
  <c r="Q146" i="21"/>
  <c r="B146" i="21"/>
  <c r="N137" i="21"/>
  <c r="N138" i="21"/>
  <c r="N139" i="21"/>
  <c r="N140" i="21"/>
  <c r="N141" i="21"/>
  <c r="N142" i="21"/>
  <c r="N143" i="21"/>
  <c r="N144" i="21"/>
  <c r="N145" i="21"/>
  <c r="N136" i="21"/>
  <c r="C135" i="21"/>
  <c r="D135" i="21"/>
  <c r="E135" i="21"/>
  <c r="F135" i="21"/>
  <c r="G135" i="21"/>
  <c r="H135" i="21"/>
  <c r="I135" i="21"/>
  <c r="J135" i="21"/>
  <c r="K135" i="21"/>
  <c r="L135" i="21"/>
  <c r="M135" i="21"/>
  <c r="O135" i="21"/>
  <c r="P135" i="21"/>
  <c r="Q135" i="21"/>
  <c r="B135" i="21"/>
  <c r="N126" i="21"/>
  <c r="N127" i="21"/>
  <c r="N128" i="21"/>
  <c r="N129" i="21"/>
  <c r="N130" i="21"/>
  <c r="N131" i="21"/>
  <c r="N132" i="21"/>
  <c r="N133" i="21"/>
  <c r="N134" i="21"/>
  <c r="N125" i="21"/>
  <c r="C124" i="21"/>
  <c r="D124" i="21"/>
  <c r="E124" i="21"/>
  <c r="F124" i="21"/>
  <c r="G124" i="21"/>
  <c r="H124" i="21"/>
  <c r="I124" i="21"/>
  <c r="J124" i="21"/>
  <c r="K124" i="21"/>
  <c r="L124" i="21"/>
  <c r="M124" i="21"/>
  <c r="O124" i="21"/>
  <c r="P124" i="21"/>
  <c r="Q124" i="21"/>
  <c r="B124" i="21"/>
  <c r="N115" i="21"/>
  <c r="N116" i="21"/>
  <c r="N117" i="21"/>
  <c r="N118" i="21"/>
  <c r="N119" i="21"/>
  <c r="N120" i="21"/>
  <c r="N121" i="21"/>
  <c r="N122" i="21"/>
  <c r="N123" i="21"/>
  <c r="N114" i="21"/>
  <c r="C109" i="21"/>
  <c r="D109" i="21"/>
  <c r="E109" i="21"/>
  <c r="F109" i="21"/>
  <c r="G109" i="21"/>
  <c r="H109" i="21"/>
  <c r="I109" i="21"/>
  <c r="J109" i="21"/>
  <c r="K109" i="21"/>
  <c r="L109" i="21"/>
  <c r="M109" i="21"/>
  <c r="O109" i="21"/>
  <c r="P109" i="21"/>
  <c r="Q109" i="21"/>
  <c r="B109" i="21"/>
  <c r="N100" i="21"/>
  <c r="N101" i="21"/>
  <c r="N102" i="21"/>
  <c r="N103" i="21"/>
  <c r="N104" i="21"/>
  <c r="N105" i="21"/>
  <c r="N106" i="21"/>
  <c r="N107" i="21"/>
  <c r="N108" i="21"/>
  <c r="N99" i="21"/>
  <c r="C98" i="21"/>
  <c r="D98" i="21"/>
  <c r="E98" i="21"/>
  <c r="F98" i="21"/>
  <c r="G98" i="21"/>
  <c r="H98" i="21"/>
  <c r="I98" i="21"/>
  <c r="J98" i="21"/>
  <c r="K98" i="21"/>
  <c r="L98" i="21"/>
  <c r="M98" i="21"/>
  <c r="O98" i="21"/>
  <c r="P98" i="21"/>
  <c r="Q98" i="21"/>
  <c r="B98" i="21"/>
  <c r="N89" i="21"/>
  <c r="N90" i="21"/>
  <c r="N91" i="21"/>
  <c r="N92" i="21"/>
  <c r="N93" i="21"/>
  <c r="N94" i="21"/>
  <c r="N95" i="21"/>
  <c r="N96" i="21"/>
  <c r="N97" i="21"/>
  <c r="N88" i="21"/>
  <c r="C87" i="21"/>
  <c r="D87" i="21"/>
  <c r="E87" i="21"/>
  <c r="F87" i="21"/>
  <c r="G87" i="21"/>
  <c r="H87" i="21"/>
  <c r="I87" i="21"/>
  <c r="J87" i="21"/>
  <c r="K87" i="21"/>
  <c r="L87" i="21"/>
  <c r="M87" i="21"/>
  <c r="O87" i="21"/>
  <c r="P87" i="21"/>
  <c r="Q87" i="21"/>
  <c r="B87" i="21"/>
  <c r="N78" i="21"/>
  <c r="N79" i="21"/>
  <c r="N80" i="21"/>
  <c r="N81" i="21"/>
  <c r="N82" i="21"/>
  <c r="N83" i="21"/>
  <c r="N84" i="21"/>
  <c r="N85" i="21"/>
  <c r="N86" i="21"/>
  <c r="N77" i="21"/>
  <c r="C72" i="21"/>
  <c r="D72" i="21"/>
  <c r="E72" i="21"/>
  <c r="F72" i="21"/>
  <c r="G72" i="21"/>
  <c r="H72" i="21"/>
  <c r="I72" i="21"/>
  <c r="J72" i="21"/>
  <c r="K72" i="21"/>
  <c r="L72" i="21"/>
  <c r="M72" i="21"/>
  <c r="O72" i="21"/>
  <c r="P72" i="21"/>
  <c r="Q72" i="21"/>
  <c r="B72" i="21"/>
  <c r="N63" i="21"/>
  <c r="N64" i="21"/>
  <c r="N65" i="21"/>
  <c r="N66" i="21"/>
  <c r="N67" i="21"/>
  <c r="N68" i="21"/>
  <c r="N69" i="21"/>
  <c r="N70" i="21"/>
  <c r="N71" i="21"/>
  <c r="N62" i="21"/>
  <c r="C61" i="21"/>
  <c r="D61" i="21"/>
  <c r="E61" i="21"/>
  <c r="F61" i="21"/>
  <c r="G61" i="21"/>
  <c r="H61" i="21"/>
  <c r="I61" i="21"/>
  <c r="J61" i="21"/>
  <c r="K61" i="21"/>
  <c r="L61" i="21"/>
  <c r="M61" i="21"/>
  <c r="O61" i="21"/>
  <c r="P61" i="21"/>
  <c r="Q61" i="21"/>
  <c r="B61" i="21"/>
  <c r="N52" i="21"/>
  <c r="N53" i="21"/>
  <c r="N54" i="21"/>
  <c r="N55" i="21"/>
  <c r="N56" i="21"/>
  <c r="N57" i="21"/>
  <c r="N58" i="21"/>
  <c r="N59" i="21"/>
  <c r="N60" i="21"/>
  <c r="N51" i="21"/>
  <c r="C50" i="21"/>
  <c r="D50" i="21"/>
  <c r="E50" i="21"/>
  <c r="F50" i="21"/>
  <c r="G50" i="21"/>
  <c r="H50" i="21"/>
  <c r="I50" i="21"/>
  <c r="J50" i="21"/>
  <c r="K50" i="21"/>
  <c r="L50" i="21"/>
  <c r="M50" i="21"/>
  <c r="O50" i="21"/>
  <c r="P50" i="21"/>
  <c r="Q50" i="21"/>
  <c r="B50" i="21"/>
  <c r="N41" i="21"/>
  <c r="N42" i="21"/>
  <c r="N43" i="21"/>
  <c r="N44" i="21"/>
  <c r="N45" i="21"/>
  <c r="N46" i="21"/>
  <c r="N47" i="21"/>
  <c r="N48" i="21"/>
  <c r="N49" i="21"/>
  <c r="N40" i="21"/>
  <c r="T72" i="21"/>
  <c r="U72" i="21"/>
  <c r="V72" i="21"/>
  <c r="W72" i="21"/>
  <c r="X72" i="21"/>
  <c r="Y72" i="21"/>
  <c r="Z72" i="21"/>
  <c r="AA72" i="21"/>
  <c r="AB72" i="21"/>
  <c r="AC72" i="21"/>
  <c r="AD72" i="21"/>
  <c r="AF72" i="21"/>
  <c r="AG72" i="21"/>
  <c r="AH72" i="21"/>
  <c r="S72" i="21"/>
  <c r="AE67" i="21"/>
  <c r="AE68" i="21"/>
  <c r="AE69" i="21"/>
  <c r="AE70" i="21"/>
  <c r="AE71" i="21"/>
  <c r="AE66" i="21"/>
  <c r="T61" i="21"/>
  <c r="U61" i="21"/>
  <c r="V61" i="21"/>
  <c r="W61" i="21"/>
  <c r="X61" i="21"/>
  <c r="Y61" i="21"/>
  <c r="Z61" i="21"/>
  <c r="AA61" i="21"/>
  <c r="AB61" i="21"/>
  <c r="AC61" i="21"/>
  <c r="AD61" i="21"/>
  <c r="AF61" i="21"/>
  <c r="AG61" i="21"/>
  <c r="AH61" i="21"/>
  <c r="S61" i="21"/>
  <c r="AE56" i="21"/>
  <c r="AE57" i="21"/>
  <c r="AE58" i="21"/>
  <c r="AE59" i="21"/>
  <c r="AE60" i="21"/>
  <c r="AE55" i="21"/>
  <c r="AE44" i="21"/>
  <c r="T50" i="21"/>
  <c r="U50" i="21"/>
  <c r="V50" i="21"/>
  <c r="W50" i="21"/>
  <c r="X50" i="21"/>
  <c r="Y50" i="21"/>
  <c r="Z50" i="21"/>
  <c r="AA50" i="21"/>
  <c r="AB50" i="21"/>
  <c r="AC50" i="21"/>
  <c r="AD50" i="21"/>
  <c r="AF50" i="21"/>
  <c r="AG50" i="21"/>
  <c r="AH50" i="21"/>
  <c r="S50" i="21"/>
  <c r="AE45" i="21"/>
  <c r="AE46" i="21"/>
  <c r="AE47" i="21"/>
  <c r="AE48" i="21"/>
  <c r="AE49" i="21"/>
  <c r="T109" i="21"/>
  <c r="U109" i="21"/>
  <c r="V109" i="21"/>
  <c r="W109" i="21"/>
  <c r="X109" i="21"/>
  <c r="Y109" i="21"/>
  <c r="Z109" i="21"/>
  <c r="AA109" i="21"/>
  <c r="AB109" i="21"/>
  <c r="AC109" i="21"/>
  <c r="AD109" i="21"/>
  <c r="AF109" i="21"/>
  <c r="AG109" i="21"/>
  <c r="AH109" i="21"/>
  <c r="S109" i="21"/>
  <c r="AE104" i="21"/>
  <c r="AE105" i="21"/>
  <c r="AE106" i="21"/>
  <c r="AE107" i="21"/>
  <c r="AE108" i="21"/>
  <c r="AE103" i="21"/>
  <c r="T98" i="21"/>
  <c r="U98" i="21"/>
  <c r="V98" i="21"/>
  <c r="W98" i="21"/>
  <c r="X98" i="21"/>
  <c r="Y98" i="21"/>
  <c r="Z98" i="21"/>
  <c r="AA98" i="21"/>
  <c r="AB98" i="21"/>
  <c r="AC98" i="21"/>
  <c r="AD98" i="21"/>
  <c r="AF98" i="21"/>
  <c r="AG98" i="21"/>
  <c r="AH98" i="21"/>
  <c r="S98" i="21"/>
  <c r="AE93" i="21"/>
  <c r="AE94" i="21"/>
  <c r="AE95" i="21"/>
  <c r="AE96" i="21"/>
  <c r="AE97" i="21"/>
  <c r="AE92" i="21"/>
  <c r="T87" i="21"/>
  <c r="U87" i="21"/>
  <c r="V87" i="21"/>
  <c r="W87" i="21"/>
  <c r="X87" i="21"/>
  <c r="Y87" i="21"/>
  <c r="Z87" i="21"/>
  <c r="AA87" i="21"/>
  <c r="AB87" i="21"/>
  <c r="AC87" i="21"/>
  <c r="AD87" i="21"/>
  <c r="AF87" i="21"/>
  <c r="AG87" i="21"/>
  <c r="AH87" i="21"/>
  <c r="S87" i="21"/>
  <c r="AE82" i="21"/>
  <c r="AE83" i="21"/>
  <c r="AE84" i="21"/>
  <c r="AE85" i="21"/>
  <c r="AE86" i="21"/>
  <c r="AE81" i="21"/>
  <c r="N26" i="21"/>
  <c r="N27" i="21"/>
  <c r="N28" i="21"/>
  <c r="N29" i="21"/>
  <c r="N30" i="21"/>
  <c r="N31" i="21"/>
  <c r="N32" i="21"/>
  <c r="N33" i="21"/>
  <c r="N34" i="21"/>
  <c r="N25" i="21"/>
  <c r="N15" i="21"/>
  <c r="N16" i="21"/>
  <c r="N17" i="21"/>
  <c r="N18" i="21"/>
  <c r="N19" i="21"/>
  <c r="N20" i="21"/>
  <c r="N21" i="21"/>
  <c r="N22" i="21"/>
  <c r="N23" i="21"/>
  <c r="N14" i="21"/>
  <c r="N4" i="21"/>
  <c r="N5" i="21"/>
  <c r="N6" i="21"/>
  <c r="N7" i="21"/>
  <c r="N8" i="21"/>
  <c r="N9" i="21"/>
  <c r="N10" i="21"/>
  <c r="N11" i="21"/>
  <c r="N12" i="21"/>
  <c r="N3" i="21"/>
  <c r="AE29" i="21"/>
  <c r="AE18" i="21"/>
  <c r="AE30" i="21"/>
  <c r="AE31" i="21"/>
  <c r="AE32" i="21"/>
  <c r="AE33" i="21"/>
  <c r="AE34" i="21"/>
  <c r="T24" i="21"/>
  <c r="U24" i="21"/>
  <c r="V24" i="21"/>
  <c r="W24" i="21"/>
  <c r="X24" i="21"/>
  <c r="Y24" i="21"/>
  <c r="Z24" i="21"/>
  <c r="AA24" i="21"/>
  <c r="AB24" i="21"/>
  <c r="AC24" i="21"/>
  <c r="AD24" i="21"/>
  <c r="AF24" i="21"/>
  <c r="AG24" i="21"/>
  <c r="AH24" i="21"/>
  <c r="S24" i="21"/>
  <c r="AE19" i="21"/>
  <c r="AE20" i="21"/>
  <c r="AE21" i="21"/>
  <c r="AE22" i="21"/>
  <c r="AE23" i="21"/>
  <c r="AE8" i="21"/>
  <c r="AE9" i="21"/>
  <c r="AE10" i="21"/>
  <c r="AE11" i="21"/>
  <c r="AE12" i="21"/>
  <c r="AE7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O13" i="21"/>
  <c r="P13" i="21"/>
  <c r="Q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F13" i="21"/>
  <c r="AG13" i="21"/>
  <c r="AH13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O24" i="21"/>
  <c r="P24" i="21"/>
  <c r="Q24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O35" i="21"/>
  <c r="P35" i="21"/>
  <c r="Q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F35" i="21"/>
  <c r="AG35" i="21"/>
  <c r="AH35" i="21"/>
  <c r="B239" i="18"/>
  <c r="B238" i="18"/>
  <c r="AI162" i="18"/>
  <c r="AH162" i="18"/>
  <c r="AG162" i="18"/>
  <c r="AE162" i="18"/>
  <c r="AD162" i="18"/>
  <c r="AC162" i="18"/>
  <c r="AB162" i="18"/>
  <c r="AA162" i="18"/>
  <c r="Z162" i="18"/>
  <c r="Y162" i="18"/>
  <c r="X162" i="18"/>
  <c r="W162" i="18"/>
  <c r="V162" i="18"/>
  <c r="U162" i="18"/>
  <c r="T162" i="18"/>
  <c r="AF161" i="18"/>
  <c r="AF160" i="18"/>
  <c r="AF159" i="18"/>
  <c r="AF158" i="18"/>
  <c r="AF162" i="18" s="1"/>
  <c r="AF157" i="18"/>
  <c r="AF156" i="18"/>
  <c r="AF155" i="18"/>
  <c r="AF154" i="18"/>
  <c r="AF153" i="18"/>
  <c r="AF152" i="18"/>
  <c r="Q162" i="18"/>
  <c r="P162" i="18"/>
  <c r="O162" i="18"/>
  <c r="M162" i="18"/>
  <c r="L162" i="18"/>
  <c r="K162" i="18"/>
  <c r="J162" i="18"/>
  <c r="I162" i="18"/>
  <c r="H162" i="18"/>
  <c r="G162" i="18"/>
  <c r="F162" i="18"/>
  <c r="E162" i="18"/>
  <c r="D162" i="18"/>
  <c r="C162" i="18"/>
  <c r="B162" i="18"/>
  <c r="N161" i="18"/>
  <c r="N160" i="18"/>
  <c r="N159" i="18"/>
  <c r="N158" i="18"/>
  <c r="N157" i="18"/>
  <c r="N156" i="18"/>
  <c r="N155" i="18"/>
  <c r="N154" i="18"/>
  <c r="N153" i="18"/>
  <c r="N152" i="18"/>
  <c r="N162" i="18" s="1"/>
  <c r="Q114" i="17"/>
  <c r="P114" i="17"/>
  <c r="O114" i="17"/>
  <c r="M114" i="17"/>
  <c r="L114" i="17"/>
  <c r="K114" i="17"/>
  <c r="J114" i="17"/>
  <c r="I114" i="17"/>
  <c r="H114" i="17"/>
  <c r="G114" i="17"/>
  <c r="F114" i="17"/>
  <c r="E114" i="17"/>
  <c r="D114" i="17"/>
  <c r="C114" i="17"/>
  <c r="B114" i="17"/>
  <c r="N113" i="17"/>
  <c r="N112" i="17"/>
  <c r="N111" i="17"/>
  <c r="N110" i="17"/>
  <c r="N109" i="17"/>
  <c r="N108" i="17"/>
  <c r="N114" i="17" s="1"/>
  <c r="AI114" i="17"/>
  <c r="AH114" i="17"/>
  <c r="AG114" i="17"/>
  <c r="AE114" i="17"/>
  <c r="AD114" i="17"/>
  <c r="AC114" i="17"/>
  <c r="AB114" i="17"/>
  <c r="AA114" i="17"/>
  <c r="Z114" i="17"/>
  <c r="Y114" i="17"/>
  <c r="X114" i="17"/>
  <c r="W114" i="17"/>
  <c r="V114" i="17"/>
  <c r="U114" i="17"/>
  <c r="T114" i="17"/>
  <c r="AF113" i="17"/>
  <c r="AF112" i="17"/>
  <c r="AF111" i="17"/>
  <c r="AF110" i="17"/>
  <c r="AF109" i="17"/>
  <c r="AF108" i="17"/>
  <c r="AF114" i="17" s="1"/>
  <c r="BA114" i="17"/>
  <c r="AZ114" i="17"/>
  <c r="AY114" i="17"/>
  <c r="AW114" i="17"/>
  <c r="AV114" i="17"/>
  <c r="AU114" i="17"/>
  <c r="AT114" i="17"/>
  <c r="AS114" i="17"/>
  <c r="AR114" i="17"/>
  <c r="AQ114" i="17"/>
  <c r="AP114" i="17"/>
  <c r="AO114" i="17"/>
  <c r="AN114" i="17"/>
  <c r="AM114" i="17"/>
  <c r="AL114" i="17"/>
  <c r="AX113" i="17"/>
  <c r="AX112" i="17"/>
  <c r="AX111" i="17"/>
  <c r="AX110" i="17"/>
  <c r="AX109" i="17"/>
  <c r="AX108" i="17"/>
  <c r="AX114" i="17" s="1"/>
  <c r="Q196" i="17"/>
  <c r="P196" i="17"/>
  <c r="O196" i="17"/>
  <c r="N196" i="17"/>
  <c r="M196" i="17"/>
  <c r="L196" i="17"/>
  <c r="K196" i="17"/>
  <c r="J196" i="17"/>
  <c r="I196" i="17"/>
  <c r="H196" i="17"/>
  <c r="G196" i="17"/>
  <c r="F196" i="17"/>
  <c r="E196" i="17"/>
  <c r="D196" i="17"/>
  <c r="C196" i="17"/>
  <c r="B196" i="17"/>
  <c r="Q195" i="17"/>
  <c r="P195" i="17"/>
  <c r="O195" i="17"/>
  <c r="N195" i="17"/>
  <c r="M195" i="17"/>
  <c r="L195" i="17"/>
  <c r="K195" i="17"/>
  <c r="J195" i="17"/>
  <c r="I195" i="17"/>
  <c r="H195" i="17"/>
  <c r="G195" i="17"/>
  <c r="F195" i="17"/>
  <c r="E195" i="17"/>
  <c r="D195" i="17"/>
  <c r="C195" i="17"/>
  <c r="B195" i="17"/>
  <c r="AM162" i="18"/>
  <c r="AN162" i="18"/>
  <c r="AO162" i="18"/>
  <c r="AP162" i="18"/>
  <c r="AQ162" i="18"/>
  <c r="AR162" i="18"/>
  <c r="AS162" i="18"/>
  <c r="AT162" i="18"/>
  <c r="AU162" i="18"/>
  <c r="AV162" i="18"/>
  <c r="AW162" i="18"/>
  <c r="AX162" i="18"/>
  <c r="AY162" i="18"/>
  <c r="AZ162" i="18"/>
  <c r="BA162" i="18"/>
  <c r="AL162" i="18"/>
  <c r="AX152" i="18"/>
  <c r="AX161" i="18"/>
  <c r="AX160" i="18"/>
  <c r="AX159" i="18"/>
  <c r="AX158" i="18"/>
  <c r="AX157" i="18"/>
  <c r="AX156" i="18"/>
  <c r="AX155" i="18"/>
  <c r="AX154" i="18"/>
  <c r="AX153" i="18"/>
  <c r="AI239" i="18"/>
  <c r="AH239" i="18"/>
  <c r="AG239" i="18"/>
  <c r="AF239" i="18"/>
  <c r="AE239" i="18"/>
  <c r="AD239" i="18"/>
  <c r="AC239" i="18"/>
  <c r="AB239" i="18"/>
  <c r="AA239" i="18"/>
  <c r="Z239" i="18"/>
  <c r="Y239" i="18"/>
  <c r="X239" i="18"/>
  <c r="W239" i="18"/>
  <c r="V239" i="18"/>
  <c r="U239" i="18"/>
  <c r="T239" i="18"/>
  <c r="Q239" i="18"/>
  <c r="AZ239" i="18" s="1"/>
  <c r="P239" i="18"/>
  <c r="AY239" i="18" s="1"/>
  <c r="O239" i="18"/>
  <c r="AX239" i="18" s="1"/>
  <c r="N239" i="18"/>
  <c r="AW239" i="18" s="1"/>
  <c r="M239" i="18"/>
  <c r="AV239" i="18" s="1"/>
  <c r="L239" i="18"/>
  <c r="AU239" i="18" s="1"/>
  <c r="K239" i="18"/>
  <c r="J239" i="18"/>
  <c r="AS239" i="18" s="1"/>
  <c r="I239" i="18"/>
  <c r="AR239" i="18" s="1"/>
  <c r="H239" i="18"/>
  <c r="AQ239" i="18" s="1"/>
  <c r="G239" i="18"/>
  <c r="AP239" i="18" s="1"/>
  <c r="F239" i="18"/>
  <c r="AO239" i="18" s="1"/>
  <c r="E239" i="18"/>
  <c r="AN239" i="18" s="1"/>
  <c r="D239" i="18"/>
  <c r="C239" i="18"/>
  <c r="AL239" i="18" s="1"/>
  <c r="AI238" i="18"/>
  <c r="AH238" i="18"/>
  <c r="AG238" i="18"/>
  <c r="AF238" i="18"/>
  <c r="AE238" i="18"/>
  <c r="AD238" i="18"/>
  <c r="AC238" i="18"/>
  <c r="AB238" i="18"/>
  <c r="AA238" i="18"/>
  <c r="Z238" i="18"/>
  <c r="Y238" i="18"/>
  <c r="X238" i="18"/>
  <c r="W238" i="18"/>
  <c r="V238" i="18"/>
  <c r="U238" i="18"/>
  <c r="T238" i="18"/>
  <c r="Q238" i="18"/>
  <c r="AZ238" i="18" s="1"/>
  <c r="P238" i="18"/>
  <c r="AY238" i="18" s="1"/>
  <c r="O238" i="18"/>
  <c r="AX238" i="18" s="1"/>
  <c r="N238" i="18"/>
  <c r="AW238" i="18" s="1"/>
  <c r="M238" i="18"/>
  <c r="AV238" i="18" s="1"/>
  <c r="L238" i="18"/>
  <c r="AU238" i="18" s="1"/>
  <c r="K238" i="18"/>
  <c r="AT238" i="18" s="1"/>
  <c r="J238" i="18"/>
  <c r="AS238" i="18" s="1"/>
  <c r="I238" i="18"/>
  <c r="AR238" i="18" s="1"/>
  <c r="H238" i="18"/>
  <c r="AQ238" i="18" s="1"/>
  <c r="G238" i="18"/>
  <c r="AP238" i="18" s="1"/>
  <c r="F238" i="18"/>
  <c r="AO238" i="18" s="1"/>
  <c r="E238" i="18"/>
  <c r="AN238" i="18" s="1"/>
  <c r="D238" i="18"/>
  <c r="C238" i="18"/>
  <c r="AL238" i="18" s="1"/>
  <c r="AZ233" i="18"/>
  <c r="AY233" i="18"/>
  <c r="AX233" i="18"/>
  <c r="AW233" i="18"/>
  <c r="AV233" i="18"/>
  <c r="AU233" i="18"/>
  <c r="AT233" i="18"/>
  <c r="AS233" i="18"/>
  <c r="AR233" i="18"/>
  <c r="AQ233" i="18"/>
  <c r="AP233" i="18"/>
  <c r="AO233" i="18"/>
  <c r="AN233" i="18"/>
  <c r="AM233" i="18"/>
  <c r="AL233" i="18"/>
  <c r="AK233" i="18"/>
  <c r="AZ232" i="18"/>
  <c r="AY232" i="18"/>
  <c r="AX232" i="18"/>
  <c r="AW232" i="18"/>
  <c r="AV232" i="18"/>
  <c r="AU232" i="18"/>
  <c r="AT232" i="18"/>
  <c r="AS232" i="18"/>
  <c r="AR232" i="18"/>
  <c r="AQ232" i="18"/>
  <c r="AP232" i="18"/>
  <c r="AO232" i="18"/>
  <c r="AN232" i="18"/>
  <c r="AM232" i="18"/>
  <c r="AL232" i="18"/>
  <c r="AK232" i="18"/>
  <c r="AZ227" i="18"/>
  <c r="AY227" i="18"/>
  <c r="AX227" i="18"/>
  <c r="AW227" i="18"/>
  <c r="AV227" i="18"/>
  <c r="AU227" i="18"/>
  <c r="AT227" i="18"/>
  <c r="AS227" i="18"/>
  <c r="AR227" i="18"/>
  <c r="AQ227" i="18"/>
  <c r="AP227" i="18"/>
  <c r="AO227" i="18"/>
  <c r="AN227" i="18"/>
  <c r="AM227" i="18"/>
  <c r="AL227" i="18"/>
  <c r="AK227" i="18"/>
  <c r="AZ226" i="18"/>
  <c r="AY226" i="18"/>
  <c r="AX226" i="18"/>
  <c r="AW226" i="18"/>
  <c r="AV226" i="18"/>
  <c r="AU226" i="18"/>
  <c r="AT226" i="18"/>
  <c r="AS226" i="18"/>
  <c r="AR226" i="18"/>
  <c r="AQ226" i="18"/>
  <c r="AP226" i="18"/>
  <c r="AO226" i="18"/>
  <c r="AN226" i="18"/>
  <c r="AM226" i="18"/>
  <c r="AL226" i="18"/>
  <c r="AK226" i="18"/>
  <c r="AZ221" i="18"/>
  <c r="AY221" i="18"/>
  <c r="AX221" i="18"/>
  <c r="AW221" i="18"/>
  <c r="AV221" i="18"/>
  <c r="AU221" i="18"/>
  <c r="AT221" i="18"/>
  <c r="AS221" i="18"/>
  <c r="AR221" i="18"/>
  <c r="AQ221" i="18"/>
  <c r="AP221" i="18"/>
  <c r="AO221" i="18"/>
  <c r="AN221" i="18"/>
  <c r="AM221" i="18"/>
  <c r="AL221" i="18"/>
  <c r="AK221" i="18"/>
  <c r="AZ220" i="18"/>
  <c r="AY220" i="18"/>
  <c r="AX220" i="18"/>
  <c r="AW220" i="18"/>
  <c r="AV220" i="18"/>
  <c r="AU220" i="18"/>
  <c r="AT220" i="18"/>
  <c r="AS220" i="18"/>
  <c r="AR220" i="18"/>
  <c r="AQ220" i="18"/>
  <c r="AP220" i="18"/>
  <c r="AO220" i="18"/>
  <c r="AN220" i="18"/>
  <c r="AM220" i="18"/>
  <c r="AL220" i="18"/>
  <c r="AK220" i="18"/>
  <c r="AZ215" i="18"/>
  <c r="AY215" i="18"/>
  <c r="AX215" i="18"/>
  <c r="AW215" i="18"/>
  <c r="AV215" i="18"/>
  <c r="AU215" i="18"/>
  <c r="AT215" i="18"/>
  <c r="AS215" i="18"/>
  <c r="AR215" i="18"/>
  <c r="AQ215" i="18"/>
  <c r="AP215" i="18"/>
  <c r="AO215" i="18"/>
  <c r="AN215" i="18"/>
  <c r="AM215" i="18"/>
  <c r="AL215" i="18"/>
  <c r="AK215" i="18"/>
  <c r="AZ214" i="18"/>
  <c r="AY214" i="18"/>
  <c r="AX214" i="18"/>
  <c r="AW214" i="18"/>
  <c r="AV214" i="18"/>
  <c r="AU214" i="18"/>
  <c r="AT214" i="18"/>
  <c r="AS214" i="18"/>
  <c r="AR214" i="18"/>
  <c r="AQ214" i="18"/>
  <c r="AP214" i="18"/>
  <c r="AO214" i="18"/>
  <c r="AN214" i="18"/>
  <c r="AM214" i="18"/>
  <c r="AL214" i="18"/>
  <c r="AK214" i="18"/>
  <c r="AZ209" i="18"/>
  <c r="AY209" i="18"/>
  <c r="AX209" i="18"/>
  <c r="AW209" i="18"/>
  <c r="AV209" i="18"/>
  <c r="AU209" i="18"/>
  <c r="AT209" i="18"/>
  <c r="AS209" i="18"/>
  <c r="AR209" i="18"/>
  <c r="AQ209" i="18"/>
  <c r="AP209" i="18"/>
  <c r="AO209" i="18"/>
  <c r="AN209" i="18"/>
  <c r="AM209" i="18"/>
  <c r="AL209" i="18"/>
  <c r="AK209" i="18"/>
  <c r="AZ208" i="18"/>
  <c r="AY208" i="18"/>
  <c r="AX208" i="18"/>
  <c r="AW208" i="18"/>
  <c r="AV208" i="18"/>
  <c r="AU208" i="18"/>
  <c r="AT208" i="18"/>
  <c r="AS208" i="18"/>
  <c r="AR208" i="18"/>
  <c r="AQ208" i="18"/>
  <c r="AP208" i="18"/>
  <c r="AO208" i="18"/>
  <c r="AN208" i="18"/>
  <c r="AM208" i="18"/>
  <c r="AL208" i="18"/>
  <c r="AK208" i="18"/>
  <c r="AZ203" i="18"/>
  <c r="AY203" i="18"/>
  <c r="AX203" i="18"/>
  <c r="AW203" i="18"/>
  <c r="AV203" i="18"/>
  <c r="AU203" i="18"/>
  <c r="AT203" i="18"/>
  <c r="AS203" i="18"/>
  <c r="AR203" i="18"/>
  <c r="AQ203" i="18"/>
  <c r="AP203" i="18"/>
  <c r="AO203" i="18"/>
  <c r="AN203" i="18"/>
  <c r="AM203" i="18"/>
  <c r="AL203" i="18"/>
  <c r="AK203" i="18"/>
  <c r="AZ202" i="18"/>
  <c r="AY202" i="18"/>
  <c r="AX202" i="18"/>
  <c r="AW202" i="18"/>
  <c r="AV202" i="18"/>
  <c r="AU202" i="18"/>
  <c r="AT202" i="18"/>
  <c r="AS202" i="18"/>
  <c r="AR202" i="18"/>
  <c r="AQ202" i="18"/>
  <c r="AP202" i="18"/>
  <c r="AO202" i="18"/>
  <c r="AN202" i="18"/>
  <c r="AM202" i="18"/>
  <c r="AL202" i="18"/>
  <c r="AK202" i="18"/>
  <c r="AZ197" i="18"/>
  <c r="AY197" i="18"/>
  <c r="AX197" i="18"/>
  <c r="AW197" i="18"/>
  <c r="AV197" i="18"/>
  <c r="AU197" i="18"/>
  <c r="AT197" i="18"/>
  <c r="AS197" i="18"/>
  <c r="AR197" i="18"/>
  <c r="AQ197" i="18"/>
  <c r="AP197" i="18"/>
  <c r="AO197" i="18"/>
  <c r="AN197" i="18"/>
  <c r="AM197" i="18"/>
  <c r="AL197" i="18"/>
  <c r="AK197" i="18"/>
  <c r="AZ196" i="18"/>
  <c r="AY196" i="18"/>
  <c r="AX196" i="18"/>
  <c r="AW196" i="18"/>
  <c r="AV196" i="18"/>
  <c r="AU196" i="18"/>
  <c r="AT196" i="18"/>
  <c r="AS196" i="18"/>
  <c r="AR196" i="18"/>
  <c r="AQ196" i="18"/>
  <c r="AP196" i="18"/>
  <c r="AO196" i="18"/>
  <c r="AN196" i="18"/>
  <c r="AM196" i="18"/>
  <c r="AL196" i="18"/>
  <c r="AK196" i="18"/>
  <c r="AZ191" i="18"/>
  <c r="AY191" i="18"/>
  <c r="AX191" i="18"/>
  <c r="AW191" i="18"/>
  <c r="AV191" i="18"/>
  <c r="AU191" i="18"/>
  <c r="AT191" i="18"/>
  <c r="AS191" i="18"/>
  <c r="AR191" i="18"/>
  <c r="AQ191" i="18"/>
  <c r="AP191" i="18"/>
  <c r="AO191" i="18"/>
  <c r="AN191" i="18"/>
  <c r="AM191" i="18"/>
  <c r="AL191" i="18"/>
  <c r="AK191" i="18"/>
  <c r="AZ190" i="18"/>
  <c r="AY190" i="18"/>
  <c r="AX190" i="18"/>
  <c r="AW190" i="18"/>
  <c r="AV190" i="18"/>
  <c r="AU190" i="18"/>
  <c r="AT190" i="18"/>
  <c r="AS190" i="18"/>
  <c r="AR190" i="18"/>
  <c r="AQ190" i="18"/>
  <c r="AP190" i="18"/>
  <c r="AO190" i="18"/>
  <c r="AN190" i="18"/>
  <c r="AM190" i="18"/>
  <c r="AL190" i="18"/>
  <c r="AK190" i="18"/>
  <c r="AZ185" i="18"/>
  <c r="AY185" i="18"/>
  <c r="AX185" i="18"/>
  <c r="AW185" i="18"/>
  <c r="AV185" i="18"/>
  <c r="AU185" i="18"/>
  <c r="AT185" i="18"/>
  <c r="AS185" i="18"/>
  <c r="AR185" i="18"/>
  <c r="AQ185" i="18"/>
  <c r="AP185" i="18"/>
  <c r="AO185" i="18"/>
  <c r="AN185" i="18"/>
  <c r="AM185" i="18"/>
  <c r="AL185" i="18"/>
  <c r="AK185" i="18"/>
  <c r="AZ184" i="18"/>
  <c r="AY184" i="18"/>
  <c r="AX184" i="18"/>
  <c r="AW184" i="18"/>
  <c r="AV184" i="18"/>
  <c r="AU184" i="18"/>
  <c r="AT184" i="18"/>
  <c r="AS184" i="18"/>
  <c r="AR184" i="18"/>
  <c r="AQ184" i="18"/>
  <c r="AP184" i="18"/>
  <c r="AO184" i="18"/>
  <c r="AN184" i="18"/>
  <c r="AM184" i="18"/>
  <c r="AL184" i="18"/>
  <c r="AK184" i="18"/>
  <c r="AZ179" i="18"/>
  <c r="AY179" i="18"/>
  <c r="AX179" i="18"/>
  <c r="AW179" i="18"/>
  <c r="AV179" i="18"/>
  <c r="AU179" i="18"/>
  <c r="AT179" i="18"/>
  <c r="AS179" i="18"/>
  <c r="AR179" i="18"/>
  <c r="AQ179" i="18"/>
  <c r="AP179" i="18"/>
  <c r="AO179" i="18"/>
  <c r="AN179" i="18"/>
  <c r="AM179" i="18"/>
  <c r="AL179" i="18"/>
  <c r="AK179" i="18"/>
  <c r="AZ178" i="18"/>
  <c r="AY178" i="18"/>
  <c r="AX178" i="18"/>
  <c r="AW178" i="18"/>
  <c r="AV178" i="18"/>
  <c r="AU178" i="18"/>
  <c r="AT178" i="18"/>
  <c r="AS178" i="18"/>
  <c r="AR178" i="18"/>
  <c r="AQ178" i="18"/>
  <c r="AP178" i="18"/>
  <c r="AO178" i="18"/>
  <c r="AN178" i="18"/>
  <c r="AM178" i="18"/>
  <c r="AL178" i="18"/>
  <c r="AK178" i="18"/>
  <c r="AZ173" i="18"/>
  <c r="AY173" i="18"/>
  <c r="AX173" i="18"/>
  <c r="AW173" i="18"/>
  <c r="AV173" i="18"/>
  <c r="AU173" i="18"/>
  <c r="AT173" i="18"/>
  <c r="AS173" i="18"/>
  <c r="AR173" i="18"/>
  <c r="AQ173" i="18"/>
  <c r="AP173" i="18"/>
  <c r="AO173" i="18"/>
  <c r="AN173" i="18"/>
  <c r="AM173" i="18"/>
  <c r="AL173" i="18"/>
  <c r="AK173" i="18"/>
  <c r="AZ172" i="18"/>
  <c r="AY172" i="18"/>
  <c r="AX172" i="18"/>
  <c r="AW172" i="18"/>
  <c r="AV172" i="18"/>
  <c r="AU172" i="18"/>
  <c r="AT172" i="18"/>
  <c r="AS172" i="18"/>
  <c r="AR172" i="18"/>
  <c r="AQ172" i="18"/>
  <c r="AP172" i="18"/>
  <c r="AO172" i="18"/>
  <c r="AN172" i="18"/>
  <c r="AM172" i="18"/>
  <c r="AL172" i="18"/>
  <c r="AK172" i="18"/>
  <c r="AI233" i="18"/>
  <c r="AH233" i="18"/>
  <c r="AG233" i="18"/>
  <c r="AF233" i="18"/>
  <c r="AE233" i="18"/>
  <c r="AD233" i="18"/>
  <c r="AC233" i="18"/>
  <c r="AB233" i="18"/>
  <c r="AA233" i="18"/>
  <c r="Z233" i="18"/>
  <c r="Y233" i="18"/>
  <c r="X233" i="18"/>
  <c r="W233" i="18"/>
  <c r="V233" i="18"/>
  <c r="U233" i="18"/>
  <c r="T233" i="18"/>
  <c r="AI232" i="18"/>
  <c r="AH232" i="18"/>
  <c r="AG232" i="18"/>
  <c r="AF232" i="18"/>
  <c r="AE232" i="18"/>
  <c r="AD232" i="18"/>
  <c r="AC232" i="18"/>
  <c r="AB232" i="18"/>
  <c r="AA232" i="18"/>
  <c r="Z232" i="18"/>
  <c r="Y232" i="18"/>
  <c r="X232" i="18"/>
  <c r="W232" i="18"/>
  <c r="V232" i="18"/>
  <c r="U232" i="18"/>
  <c r="T232" i="18"/>
  <c r="AI227" i="18"/>
  <c r="AH227" i="18"/>
  <c r="AG227" i="18"/>
  <c r="AF227" i="18"/>
  <c r="AE227" i="18"/>
  <c r="AD227" i="18"/>
  <c r="AC227" i="18"/>
  <c r="AB227" i="18"/>
  <c r="AA227" i="18"/>
  <c r="Z227" i="18"/>
  <c r="Y227" i="18"/>
  <c r="X227" i="18"/>
  <c r="W227" i="18"/>
  <c r="V227" i="18"/>
  <c r="U227" i="18"/>
  <c r="T227" i="18"/>
  <c r="AI226" i="18"/>
  <c r="AH226" i="18"/>
  <c r="AG226" i="18"/>
  <c r="AF226" i="18"/>
  <c r="AE226" i="18"/>
  <c r="AD226" i="18"/>
  <c r="AC226" i="18"/>
  <c r="AB226" i="18"/>
  <c r="AA226" i="18"/>
  <c r="Z226" i="18"/>
  <c r="Y226" i="18"/>
  <c r="X226" i="18"/>
  <c r="W226" i="18"/>
  <c r="V226" i="18"/>
  <c r="U226" i="18"/>
  <c r="T226" i="18"/>
  <c r="AI221" i="18"/>
  <c r="AH221" i="18"/>
  <c r="AG221" i="18"/>
  <c r="AF221" i="18"/>
  <c r="AE221" i="18"/>
  <c r="AD221" i="18"/>
  <c r="AC221" i="18"/>
  <c r="AB221" i="18"/>
  <c r="AA221" i="18"/>
  <c r="Z221" i="18"/>
  <c r="Y221" i="18"/>
  <c r="X221" i="18"/>
  <c r="W221" i="18"/>
  <c r="V221" i="18"/>
  <c r="U221" i="18"/>
  <c r="T221" i="18"/>
  <c r="AI220" i="18"/>
  <c r="AH220" i="18"/>
  <c r="AG220" i="18"/>
  <c r="AF220" i="18"/>
  <c r="AE220" i="18"/>
  <c r="AD220" i="18"/>
  <c r="AC220" i="18"/>
  <c r="AB220" i="18"/>
  <c r="AA220" i="18"/>
  <c r="Z220" i="18"/>
  <c r="Y220" i="18"/>
  <c r="X220" i="18"/>
  <c r="W220" i="18"/>
  <c r="V220" i="18"/>
  <c r="U220" i="18"/>
  <c r="T220" i="18"/>
  <c r="AI215" i="18"/>
  <c r="AH215" i="18"/>
  <c r="AG215" i="18"/>
  <c r="AF215" i="18"/>
  <c r="AE215" i="18"/>
  <c r="AD215" i="18"/>
  <c r="AC215" i="18"/>
  <c r="AB215" i="18"/>
  <c r="AA215" i="18"/>
  <c r="Z215" i="18"/>
  <c r="Y215" i="18"/>
  <c r="X215" i="18"/>
  <c r="W215" i="18"/>
  <c r="V215" i="18"/>
  <c r="U215" i="18"/>
  <c r="T215" i="18"/>
  <c r="AI214" i="18"/>
  <c r="AH214" i="18"/>
  <c r="AG214" i="18"/>
  <c r="AF214" i="18"/>
  <c r="AE214" i="18"/>
  <c r="AD214" i="18"/>
  <c r="AC214" i="18"/>
  <c r="AB214" i="18"/>
  <c r="AA214" i="18"/>
  <c r="Z214" i="18"/>
  <c r="Y214" i="18"/>
  <c r="X214" i="18"/>
  <c r="W214" i="18"/>
  <c r="V214" i="18"/>
  <c r="U214" i="18"/>
  <c r="T214" i="18"/>
  <c r="AI209" i="18"/>
  <c r="AH209" i="18"/>
  <c r="AG209" i="18"/>
  <c r="AF209" i="18"/>
  <c r="AE209" i="18"/>
  <c r="AD209" i="18"/>
  <c r="AC209" i="18"/>
  <c r="AB209" i="18"/>
  <c r="AA209" i="18"/>
  <c r="Z209" i="18"/>
  <c r="Y209" i="18"/>
  <c r="X209" i="18"/>
  <c r="W209" i="18"/>
  <c r="V209" i="18"/>
  <c r="U209" i="18"/>
  <c r="T209" i="18"/>
  <c r="AI208" i="18"/>
  <c r="AH208" i="18"/>
  <c r="AG208" i="18"/>
  <c r="AF208" i="18"/>
  <c r="AE208" i="18"/>
  <c r="AD208" i="18"/>
  <c r="AC208" i="18"/>
  <c r="AB208" i="18"/>
  <c r="AA208" i="18"/>
  <c r="Z208" i="18"/>
  <c r="Y208" i="18"/>
  <c r="X208" i="18"/>
  <c r="W208" i="18"/>
  <c r="V208" i="18"/>
  <c r="U208" i="18"/>
  <c r="T208" i="18"/>
  <c r="AI203" i="18"/>
  <c r="AH203" i="18"/>
  <c r="AG203" i="18"/>
  <c r="AF203" i="18"/>
  <c r="AE203" i="18"/>
  <c r="AD203" i="18"/>
  <c r="AC203" i="18"/>
  <c r="AB203" i="18"/>
  <c r="AA203" i="18"/>
  <c r="Z203" i="18"/>
  <c r="Y203" i="18"/>
  <c r="X203" i="18"/>
  <c r="W203" i="18"/>
  <c r="V203" i="18"/>
  <c r="U203" i="18"/>
  <c r="T203" i="18"/>
  <c r="AI202" i="18"/>
  <c r="AH202" i="18"/>
  <c r="AG202" i="18"/>
  <c r="AF202" i="18"/>
  <c r="AE202" i="18"/>
  <c r="AD202" i="18"/>
  <c r="AC202" i="18"/>
  <c r="AB202" i="18"/>
  <c r="AA202" i="18"/>
  <c r="Z202" i="18"/>
  <c r="Y202" i="18"/>
  <c r="X202" i="18"/>
  <c r="W202" i="18"/>
  <c r="V202" i="18"/>
  <c r="U202" i="18"/>
  <c r="T202" i="18"/>
  <c r="AI197" i="18"/>
  <c r="AH197" i="18"/>
  <c r="AG197" i="18"/>
  <c r="AF197" i="18"/>
  <c r="AE197" i="18"/>
  <c r="AD197" i="18"/>
  <c r="AC197" i="18"/>
  <c r="AB197" i="18"/>
  <c r="AA197" i="18"/>
  <c r="Z197" i="18"/>
  <c r="Y197" i="18"/>
  <c r="X197" i="18"/>
  <c r="W197" i="18"/>
  <c r="V197" i="18"/>
  <c r="U197" i="18"/>
  <c r="T197" i="18"/>
  <c r="AI196" i="18"/>
  <c r="AH196" i="18"/>
  <c r="AG196" i="18"/>
  <c r="AF196" i="18"/>
  <c r="AE196" i="18"/>
  <c r="AD196" i="18"/>
  <c r="AC196" i="18"/>
  <c r="AB196" i="18"/>
  <c r="AA196" i="18"/>
  <c r="Z196" i="18"/>
  <c r="Y196" i="18"/>
  <c r="X196" i="18"/>
  <c r="W196" i="18"/>
  <c r="V196" i="18"/>
  <c r="U196" i="18"/>
  <c r="T196" i="18"/>
  <c r="AI191" i="18"/>
  <c r="AH191" i="18"/>
  <c r="AG191" i="18"/>
  <c r="AF191" i="18"/>
  <c r="AE191" i="18"/>
  <c r="AD191" i="18"/>
  <c r="AC191" i="18"/>
  <c r="AB191" i="18"/>
  <c r="AA191" i="18"/>
  <c r="Z191" i="18"/>
  <c r="Y191" i="18"/>
  <c r="X191" i="18"/>
  <c r="W191" i="18"/>
  <c r="V191" i="18"/>
  <c r="U191" i="18"/>
  <c r="T191" i="18"/>
  <c r="AI190" i="18"/>
  <c r="AH190" i="18"/>
  <c r="AG190" i="18"/>
  <c r="AF190" i="18"/>
  <c r="AE190" i="18"/>
  <c r="AD190" i="18"/>
  <c r="AC190" i="18"/>
  <c r="AB190" i="18"/>
  <c r="AA190" i="18"/>
  <c r="Z190" i="18"/>
  <c r="Y190" i="18"/>
  <c r="X190" i="18"/>
  <c r="W190" i="18"/>
  <c r="V190" i="18"/>
  <c r="U190" i="18"/>
  <c r="T190" i="18"/>
  <c r="AI185" i="18"/>
  <c r="AH185" i="18"/>
  <c r="AG185" i="18"/>
  <c r="AF185" i="18"/>
  <c r="AE185" i="18"/>
  <c r="AD185" i="18"/>
  <c r="AC185" i="18"/>
  <c r="AB185" i="18"/>
  <c r="AA185" i="18"/>
  <c r="Z185" i="18"/>
  <c r="Y185" i="18"/>
  <c r="X185" i="18"/>
  <c r="W185" i="18"/>
  <c r="V185" i="18"/>
  <c r="U185" i="18"/>
  <c r="T185" i="18"/>
  <c r="AI184" i="18"/>
  <c r="AH184" i="18"/>
  <c r="AG184" i="18"/>
  <c r="AF184" i="18"/>
  <c r="AE184" i="18"/>
  <c r="AD184" i="18"/>
  <c r="AC184" i="18"/>
  <c r="AB184" i="18"/>
  <c r="AA184" i="18"/>
  <c r="Z184" i="18"/>
  <c r="Y184" i="18"/>
  <c r="X184" i="18"/>
  <c r="W184" i="18"/>
  <c r="V184" i="18"/>
  <c r="U184" i="18"/>
  <c r="T184" i="18"/>
  <c r="AI179" i="18"/>
  <c r="AH179" i="18"/>
  <c r="AG179" i="18"/>
  <c r="AF179" i="18"/>
  <c r="AE179" i="18"/>
  <c r="AD179" i="18"/>
  <c r="AC179" i="18"/>
  <c r="AB179" i="18"/>
  <c r="AA179" i="18"/>
  <c r="Z179" i="18"/>
  <c r="Y179" i="18"/>
  <c r="X179" i="18"/>
  <c r="W179" i="18"/>
  <c r="V179" i="18"/>
  <c r="U179" i="18"/>
  <c r="T179" i="18"/>
  <c r="AI178" i="18"/>
  <c r="AH178" i="18"/>
  <c r="AG178" i="18"/>
  <c r="AF178" i="18"/>
  <c r="AE178" i="18"/>
  <c r="AD178" i="18"/>
  <c r="AC178" i="18"/>
  <c r="AB178" i="18"/>
  <c r="AA178" i="18"/>
  <c r="Z178" i="18"/>
  <c r="Y178" i="18"/>
  <c r="X178" i="18"/>
  <c r="W178" i="18"/>
  <c r="V178" i="18"/>
  <c r="U178" i="18"/>
  <c r="T178" i="18"/>
  <c r="AI173" i="18"/>
  <c r="AH173" i="18"/>
  <c r="AG173" i="18"/>
  <c r="AF173" i="18"/>
  <c r="AE173" i="18"/>
  <c r="AD173" i="18"/>
  <c r="AC173" i="18"/>
  <c r="AB173" i="18"/>
  <c r="AA173" i="18"/>
  <c r="Z173" i="18"/>
  <c r="Y173" i="18"/>
  <c r="X173" i="18"/>
  <c r="W173" i="18"/>
  <c r="V173" i="18"/>
  <c r="U173" i="18"/>
  <c r="T173" i="18"/>
  <c r="AI172" i="18"/>
  <c r="AH172" i="18"/>
  <c r="AG172" i="18"/>
  <c r="AF172" i="18"/>
  <c r="AE172" i="18"/>
  <c r="AD172" i="18"/>
  <c r="AC172" i="18"/>
  <c r="AB172" i="18"/>
  <c r="AA172" i="18"/>
  <c r="Z172" i="18"/>
  <c r="Y172" i="18"/>
  <c r="X172" i="18"/>
  <c r="W172" i="18"/>
  <c r="V172" i="18"/>
  <c r="U172" i="18"/>
  <c r="T172" i="18"/>
  <c r="AZ240" i="15"/>
  <c r="AY240" i="15"/>
  <c r="AX240" i="15"/>
  <c r="AW240" i="15"/>
  <c r="AV240" i="15"/>
  <c r="AU240" i="15"/>
  <c r="AT240" i="15"/>
  <c r="AS240" i="15"/>
  <c r="AR240" i="15"/>
  <c r="AQ240" i="15"/>
  <c r="AP240" i="15"/>
  <c r="AO240" i="15"/>
  <c r="AN240" i="15"/>
  <c r="AM240" i="15"/>
  <c r="AL240" i="15"/>
  <c r="AK240" i="15"/>
  <c r="AZ239" i="15"/>
  <c r="AY239" i="15"/>
  <c r="AX239" i="15"/>
  <c r="AW239" i="15"/>
  <c r="AV239" i="15"/>
  <c r="AU239" i="15"/>
  <c r="AT239" i="15"/>
  <c r="AS239" i="15"/>
  <c r="AR239" i="15"/>
  <c r="AQ239" i="15"/>
  <c r="AP239" i="15"/>
  <c r="AO239" i="15"/>
  <c r="AN239" i="15"/>
  <c r="AM239" i="15"/>
  <c r="AL239" i="15"/>
  <c r="AK239" i="15"/>
  <c r="AZ234" i="15"/>
  <c r="AY234" i="15"/>
  <c r="AX234" i="15"/>
  <c r="AW234" i="15"/>
  <c r="AV234" i="15"/>
  <c r="AU234" i="15"/>
  <c r="AT234" i="15"/>
  <c r="AS234" i="15"/>
  <c r="AR234" i="15"/>
  <c r="AQ234" i="15"/>
  <c r="AP234" i="15"/>
  <c r="AO234" i="15"/>
  <c r="AN234" i="15"/>
  <c r="AM234" i="15"/>
  <c r="AL234" i="15"/>
  <c r="AK234" i="15"/>
  <c r="AZ233" i="15"/>
  <c r="AY233" i="15"/>
  <c r="AX233" i="15"/>
  <c r="AW233" i="15"/>
  <c r="AV233" i="15"/>
  <c r="AU233" i="15"/>
  <c r="AT233" i="15"/>
  <c r="AS233" i="15"/>
  <c r="AR233" i="15"/>
  <c r="AQ233" i="15"/>
  <c r="AP233" i="15"/>
  <c r="AO233" i="15"/>
  <c r="AN233" i="15"/>
  <c r="AM233" i="15"/>
  <c r="AL233" i="15"/>
  <c r="AK233" i="15"/>
  <c r="AZ228" i="15"/>
  <c r="AY228" i="15"/>
  <c r="AX228" i="15"/>
  <c r="AW228" i="15"/>
  <c r="AV228" i="15"/>
  <c r="AU228" i="15"/>
  <c r="AT228" i="15"/>
  <c r="AS228" i="15"/>
  <c r="AR228" i="15"/>
  <c r="AQ228" i="15"/>
  <c r="AP228" i="15"/>
  <c r="AO228" i="15"/>
  <c r="AN228" i="15"/>
  <c r="AM228" i="15"/>
  <c r="AL228" i="15"/>
  <c r="AK228" i="15"/>
  <c r="AZ227" i="15"/>
  <c r="AY227" i="15"/>
  <c r="AX227" i="15"/>
  <c r="AW227" i="15"/>
  <c r="AV227" i="15"/>
  <c r="AU227" i="15"/>
  <c r="AT227" i="15"/>
  <c r="AS227" i="15"/>
  <c r="AR227" i="15"/>
  <c r="AQ227" i="15"/>
  <c r="AP227" i="15"/>
  <c r="AO227" i="15"/>
  <c r="AN227" i="15"/>
  <c r="AM227" i="15"/>
  <c r="AL227" i="15"/>
  <c r="AK227" i="15"/>
  <c r="AZ222" i="15"/>
  <c r="AY222" i="15"/>
  <c r="AX222" i="15"/>
  <c r="AW222" i="15"/>
  <c r="AV222" i="15"/>
  <c r="AU222" i="15"/>
  <c r="AT222" i="15"/>
  <c r="AS222" i="15"/>
  <c r="AR222" i="15"/>
  <c r="AQ222" i="15"/>
  <c r="AP222" i="15"/>
  <c r="AO222" i="15"/>
  <c r="AN222" i="15"/>
  <c r="AM222" i="15"/>
  <c r="AL222" i="15"/>
  <c r="AK222" i="15"/>
  <c r="AZ221" i="15"/>
  <c r="AY221" i="15"/>
  <c r="AX221" i="15"/>
  <c r="AW221" i="15"/>
  <c r="AV221" i="15"/>
  <c r="AU221" i="15"/>
  <c r="AT221" i="15"/>
  <c r="AS221" i="15"/>
  <c r="AR221" i="15"/>
  <c r="AQ221" i="15"/>
  <c r="AP221" i="15"/>
  <c r="AO221" i="15"/>
  <c r="AN221" i="15"/>
  <c r="AM221" i="15"/>
  <c r="AL221" i="15"/>
  <c r="AK221" i="15"/>
  <c r="AZ216" i="15"/>
  <c r="AY216" i="15"/>
  <c r="AX216" i="15"/>
  <c r="AW216" i="15"/>
  <c r="AV216" i="15"/>
  <c r="AU216" i="15"/>
  <c r="AT216" i="15"/>
  <c r="AS216" i="15"/>
  <c r="AR216" i="15"/>
  <c r="AQ216" i="15"/>
  <c r="AP216" i="15"/>
  <c r="AO216" i="15"/>
  <c r="AN216" i="15"/>
  <c r="AM216" i="15"/>
  <c r="AL216" i="15"/>
  <c r="AK216" i="15"/>
  <c r="AZ215" i="15"/>
  <c r="AY215" i="15"/>
  <c r="AX215" i="15"/>
  <c r="AW215" i="15"/>
  <c r="AV215" i="15"/>
  <c r="AU215" i="15"/>
  <c r="AT215" i="15"/>
  <c r="AS215" i="15"/>
  <c r="AR215" i="15"/>
  <c r="AQ215" i="15"/>
  <c r="AP215" i="15"/>
  <c r="AO215" i="15"/>
  <c r="AN215" i="15"/>
  <c r="AM215" i="15"/>
  <c r="AL215" i="15"/>
  <c r="AK215" i="15"/>
  <c r="AZ210" i="15"/>
  <c r="AY210" i="15"/>
  <c r="AX210" i="15"/>
  <c r="AW210" i="15"/>
  <c r="AV210" i="15"/>
  <c r="AU210" i="15"/>
  <c r="AT210" i="15"/>
  <c r="AS210" i="15"/>
  <c r="AR210" i="15"/>
  <c r="AQ210" i="15"/>
  <c r="AP210" i="15"/>
  <c r="AO210" i="15"/>
  <c r="AN210" i="15"/>
  <c r="AM210" i="15"/>
  <c r="AL210" i="15"/>
  <c r="AK210" i="15"/>
  <c r="AZ209" i="15"/>
  <c r="AY209" i="15"/>
  <c r="AX209" i="15"/>
  <c r="AW209" i="15"/>
  <c r="AV209" i="15"/>
  <c r="AU209" i="15"/>
  <c r="AT209" i="15"/>
  <c r="AS209" i="15"/>
  <c r="AR209" i="15"/>
  <c r="AQ209" i="15"/>
  <c r="AP209" i="15"/>
  <c r="AO209" i="15"/>
  <c r="AN209" i="15"/>
  <c r="AM209" i="15"/>
  <c r="AL209" i="15"/>
  <c r="AK209" i="15"/>
  <c r="AZ204" i="15"/>
  <c r="AY204" i="15"/>
  <c r="AX204" i="15"/>
  <c r="AW204" i="15"/>
  <c r="AV204" i="15"/>
  <c r="AU204" i="15"/>
  <c r="AT204" i="15"/>
  <c r="AS204" i="15"/>
  <c r="AR204" i="15"/>
  <c r="AQ204" i="15"/>
  <c r="AP204" i="15"/>
  <c r="AO204" i="15"/>
  <c r="AN204" i="15"/>
  <c r="AM204" i="15"/>
  <c r="AL204" i="15"/>
  <c r="AK204" i="15"/>
  <c r="AZ203" i="15"/>
  <c r="AY203" i="15"/>
  <c r="AX203" i="15"/>
  <c r="AW203" i="15"/>
  <c r="AV203" i="15"/>
  <c r="AU203" i="15"/>
  <c r="AT203" i="15"/>
  <c r="AS203" i="15"/>
  <c r="AR203" i="15"/>
  <c r="AQ203" i="15"/>
  <c r="AP203" i="15"/>
  <c r="AO203" i="15"/>
  <c r="AN203" i="15"/>
  <c r="AM203" i="15"/>
  <c r="AL203" i="15"/>
  <c r="AK203" i="15"/>
  <c r="AZ198" i="15"/>
  <c r="AY198" i="15"/>
  <c r="AX198" i="15"/>
  <c r="AW198" i="15"/>
  <c r="AV198" i="15"/>
  <c r="AU198" i="15"/>
  <c r="AT198" i="15"/>
  <c r="AS198" i="15"/>
  <c r="AR198" i="15"/>
  <c r="AQ198" i="15"/>
  <c r="AP198" i="15"/>
  <c r="AO198" i="15"/>
  <c r="AN198" i="15"/>
  <c r="AM198" i="15"/>
  <c r="AL198" i="15"/>
  <c r="AK198" i="15"/>
  <c r="AZ197" i="15"/>
  <c r="AY197" i="15"/>
  <c r="AX197" i="15"/>
  <c r="AW197" i="15"/>
  <c r="AV197" i="15"/>
  <c r="AU197" i="15"/>
  <c r="AT197" i="15"/>
  <c r="AS197" i="15"/>
  <c r="AR197" i="15"/>
  <c r="AQ197" i="15"/>
  <c r="AP197" i="15"/>
  <c r="AO197" i="15"/>
  <c r="AN197" i="15"/>
  <c r="AM197" i="15"/>
  <c r="AL197" i="15"/>
  <c r="AK197" i="15"/>
  <c r="AZ192" i="15"/>
  <c r="AY192" i="15"/>
  <c r="AX192" i="15"/>
  <c r="AW192" i="15"/>
  <c r="AV192" i="15"/>
  <c r="AU192" i="15"/>
  <c r="AT192" i="15"/>
  <c r="AS192" i="15"/>
  <c r="AR192" i="15"/>
  <c r="AQ192" i="15"/>
  <c r="AP192" i="15"/>
  <c r="AO192" i="15"/>
  <c r="AN192" i="15"/>
  <c r="AM192" i="15"/>
  <c r="AL192" i="15"/>
  <c r="AK192" i="15"/>
  <c r="AZ191" i="15"/>
  <c r="AY191" i="15"/>
  <c r="AX191" i="15"/>
  <c r="AW191" i="15"/>
  <c r="AV191" i="15"/>
  <c r="AU191" i="15"/>
  <c r="AT191" i="15"/>
  <c r="AS191" i="15"/>
  <c r="AR191" i="15"/>
  <c r="AQ191" i="15"/>
  <c r="AP191" i="15"/>
  <c r="AO191" i="15"/>
  <c r="AN191" i="15"/>
  <c r="AM191" i="15"/>
  <c r="AL191" i="15"/>
  <c r="AK191" i="15"/>
  <c r="AZ186" i="15"/>
  <c r="AY186" i="15"/>
  <c r="AX186" i="15"/>
  <c r="AW186" i="15"/>
  <c r="AV186" i="15"/>
  <c r="AU186" i="15"/>
  <c r="AT186" i="15"/>
  <c r="AS186" i="15"/>
  <c r="AR186" i="15"/>
  <c r="AQ186" i="15"/>
  <c r="AP186" i="15"/>
  <c r="AO186" i="15"/>
  <c r="AN186" i="15"/>
  <c r="AM186" i="15"/>
  <c r="AL186" i="15"/>
  <c r="AK186" i="15"/>
  <c r="AZ185" i="15"/>
  <c r="AY185" i="15"/>
  <c r="AX185" i="15"/>
  <c r="AW185" i="15"/>
  <c r="AV185" i="15"/>
  <c r="AU185" i="15"/>
  <c r="AT185" i="15"/>
  <c r="AS185" i="15"/>
  <c r="AR185" i="15"/>
  <c r="AQ185" i="15"/>
  <c r="AP185" i="15"/>
  <c r="AO185" i="15"/>
  <c r="AN185" i="15"/>
  <c r="AM185" i="15"/>
  <c r="AL185" i="15"/>
  <c r="AK185" i="15"/>
  <c r="AK179" i="15"/>
  <c r="AZ180" i="15"/>
  <c r="AY180" i="15"/>
  <c r="AX180" i="15"/>
  <c r="AW180" i="15"/>
  <c r="AV180" i="15"/>
  <c r="AU180" i="15"/>
  <c r="AT180" i="15"/>
  <c r="AS180" i="15"/>
  <c r="AR180" i="15"/>
  <c r="AQ180" i="15"/>
  <c r="AP180" i="15"/>
  <c r="AO180" i="15"/>
  <c r="AN180" i="15"/>
  <c r="AM180" i="15"/>
  <c r="AL180" i="15"/>
  <c r="AK180" i="15"/>
  <c r="AZ179" i="15"/>
  <c r="AY179" i="15"/>
  <c r="AX179" i="15"/>
  <c r="AW179" i="15"/>
  <c r="AV179" i="15"/>
  <c r="AU179" i="15"/>
  <c r="AT179" i="15"/>
  <c r="AS179" i="15"/>
  <c r="AR179" i="15"/>
  <c r="AQ179" i="15"/>
  <c r="AP179" i="15"/>
  <c r="AO179" i="15"/>
  <c r="AN179" i="15"/>
  <c r="AM179" i="15"/>
  <c r="AL179" i="15"/>
  <c r="AI246" i="15"/>
  <c r="AZ246" i="15" s="1"/>
  <c r="AH246" i="15"/>
  <c r="AY246" i="15" s="1"/>
  <c r="AG246" i="15"/>
  <c r="AX246" i="15" s="1"/>
  <c r="AF246" i="15"/>
  <c r="AW246" i="15" s="1"/>
  <c r="AE246" i="15"/>
  <c r="AV246" i="15" s="1"/>
  <c r="AD246" i="15"/>
  <c r="AU246" i="15" s="1"/>
  <c r="AC246" i="15"/>
  <c r="AT246" i="15" s="1"/>
  <c r="AB246" i="15"/>
  <c r="AS246" i="15" s="1"/>
  <c r="AA246" i="15"/>
  <c r="AR246" i="15" s="1"/>
  <c r="Z246" i="15"/>
  <c r="AQ246" i="15" s="1"/>
  <c r="Y246" i="15"/>
  <c r="AP246" i="15" s="1"/>
  <c r="X246" i="15"/>
  <c r="AO246" i="15" s="1"/>
  <c r="W246" i="15"/>
  <c r="AN246" i="15" s="1"/>
  <c r="V246" i="15"/>
  <c r="AM246" i="15" s="1"/>
  <c r="U246" i="15"/>
  <c r="AL246" i="15" s="1"/>
  <c r="T246" i="15"/>
  <c r="AK246" i="15" s="1"/>
  <c r="AI245" i="15"/>
  <c r="AZ245" i="15" s="1"/>
  <c r="AH245" i="15"/>
  <c r="AY245" i="15" s="1"/>
  <c r="AG245" i="15"/>
  <c r="AX245" i="15" s="1"/>
  <c r="AF245" i="15"/>
  <c r="AW245" i="15" s="1"/>
  <c r="AE245" i="15"/>
  <c r="AV245" i="15" s="1"/>
  <c r="AD245" i="15"/>
  <c r="AU245" i="15" s="1"/>
  <c r="AC245" i="15"/>
  <c r="AT245" i="15" s="1"/>
  <c r="AB245" i="15"/>
  <c r="AS245" i="15" s="1"/>
  <c r="AA245" i="15"/>
  <c r="AR245" i="15" s="1"/>
  <c r="Z245" i="15"/>
  <c r="AQ245" i="15" s="1"/>
  <c r="Y245" i="15"/>
  <c r="AP245" i="15" s="1"/>
  <c r="X245" i="15"/>
  <c r="AO245" i="15" s="1"/>
  <c r="W245" i="15"/>
  <c r="AN245" i="15" s="1"/>
  <c r="V245" i="15"/>
  <c r="AM245" i="15" s="1"/>
  <c r="U245" i="15"/>
  <c r="AL245" i="15" s="1"/>
  <c r="T245" i="15"/>
  <c r="AK245" i="15" s="1"/>
  <c r="AI240" i="15"/>
  <c r="AH240" i="15"/>
  <c r="AG240" i="15"/>
  <c r="AF240" i="15"/>
  <c r="AE240" i="15"/>
  <c r="AD240" i="15"/>
  <c r="AC240" i="15"/>
  <c r="AB240" i="15"/>
  <c r="AA240" i="15"/>
  <c r="Z240" i="15"/>
  <c r="Y240" i="15"/>
  <c r="X240" i="15"/>
  <c r="W240" i="15"/>
  <c r="V240" i="15"/>
  <c r="U240" i="15"/>
  <c r="T240" i="15"/>
  <c r="AI239" i="15"/>
  <c r="AH239" i="15"/>
  <c r="AG239" i="15"/>
  <c r="AF239" i="15"/>
  <c r="AE239" i="15"/>
  <c r="AD239" i="15"/>
  <c r="AC239" i="15"/>
  <c r="AB239" i="15"/>
  <c r="AA239" i="15"/>
  <c r="Z239" i="15"/>
  <c r="Y239" i="15"/>
  <c r="X239" i="15"/>
  <c r="W239" i="15"/>
  <c r="V239" i="15"/>
  <c r="U239" i="15"/>
  <c r="T239" i="15"/>
  <c r="AI234" i="15"/>
  <c r="AH234" i="15"/>
  <c r="AG234" i="15"/>
  <c r="AF234" i="15"/>
  <c r="AE234" i="15"/>
  <c r="AD234" i="15"/>
  <c r="AC234" i="15"/>
  <c r="AB234" i="15"/>
  <c r="AA234" i="15"/>
  <c r="Z234" i="15"/>
  <c r="Y234" i="15"/>
  <c r="X234" i="15"/>
  <c r="W234" i="15"/>
  <c r="V234" i="15"/>
  <c r="U234" i="15"/>
  <c r="T234" i="15"/>
  <c r="AI233" i="15"/>
  <c r="AH233" i="15"/>
  <c r="AG233" i="15"/>
  <c r="AF233" i="15"/>
  <c r="AE233" i="15"/>
  <c r="AD233" i="15"/>
  <c r="AC233" i="15"/>
  <c r="AB233" i="15"/>
  <c r="AA233" i="15"/>
  <c r="Z233" i="15"/>
  <c r="Y233" i="15"/>
  <c r="X233" i="15"/>
  <c r="W233" i="15"/>
  <c r="V233" i="15"/>
  <c r="U233" i="15"/>
  <c r="T233" i="15"/>
  <c r="AI228" i="15"/>
  <c r="AH228" i="15"/>
  <c r="AG228" i="15"/>
  <c r="AF228" i="15"/>
  <c r="AE228" i="15"/>
  <c r="AD228" i="15"/>
  <c r="AC228" i="15"/>
  <c r="AB228" i="15"/>
  <c r="AA228" i="15"/>
  <c r="Z228" i="15"/>
  <c r="Y228" i="15"/>
  <c r="X228" i="15"/>
  <c r="W228" i="15"/>
  <c r="V228" i="15"/>
  <c r="U228" i="15"/>
  <c r="T228" i="15"/>
  <c r="AI227" i="15"/>
  <c r="AH227" i="15"/>
  <c r="AG227" i="15"/>
  <c r="AF227" i="15"/>
  <c r="AE227" i="15"/>
  <c r="AD227" i="15"/>
  <c r="AC227" i="15"/>
  <c r="AB227" i="15"/>
  <c r="AA227" i="15"/>
  <c r="Z227" i="15"/>
  <c r="Y227" i="15"/>
  <c r="X227" i="15"/>
  <c r="W227" i="15"/>
  <c r="V227" i="15"/>
  <c r="U227" i="15"/>
  <c r="T227" i="15"/>
  <c r="AI222" i="15"/>
  <c r="AH222" i="15"/>
  <c r="AG222" i="15"/>
  <c r="AF222" i="15"/>
  <c r="AE222" i="15"/>
  <c r="AD222" i="15"/>
  <c r="AC222" i="15"/>
  <c r="AB222" i="15"/>
  <c r="AA222" i="15"/>
  <c r="Z222" i="15"/>
  <c r="Y222" i="15"/>
  <c r="X222" i="15"/>
  <c r="W222" i="15"/>
  <c r="V222" i="15"/>
  <c r="U222" i="15"/>
  <c r="T222" i="15"/>
  <c r="AI221" i="15"/>
  <c r="AH221" i="15"/>
  <c r="AG221" i="15"/>
  <c r="AF221" i="15"/>
  <c r="AE221" i="15"/>
  <c r="AD221" i="15"/>
  <c r="AC221" i="15"/>
  <c r="AB221" i="15"/>
  <c r="AA221" i="15"/>
  <c r="Z221" i="15"/>
  <c r="Y221" i="15"/>
  <c r="X221" i="15"/>
  <c r="W221" i="15"/>
  <c r="V221" i="15"/>
  <c r="U221" i="15"/>
  <c r="T221" i="15"/>
  <c r="AI216" i="15"/>
  <c r="AH216" i="15"/>
  <c r="AG216" i="15"/>
  <c r="AF216" i="15"/>
  <c r="AE216" i="15"/>
  <c r="AD216" i="15"/>
  <c r="AC216" i="15"/>
  <c r="AB216" i="15"/>
  <c r="AA216" i="15"/>
  <c r="Z216" i="15"/>
  <c r="Y216" i="15"/>
  <c r="X216" i="15"/>
  <c r="W216" i="15"/>
  <c r="V216" i="15"/>
  <c r="U216" i="15"/>
  <c r="T216" i="15"/>
  <c r="AI215" i="15"/>
  <c r="AH215" i="15"/>
  <c r="AG215" i="15"/>
  <c r="AF215" i="15"/>
  <c r="AE215" i="15"/>
  <c r="AD215" i="15"/>
  <c r="AC215" i="15"/>
  <c r="AB215" i="15"/>
  <c r="AA215" i="15"/>
  <c r="Z215" i="15"/>
  <c r="Y215" i="15"/>
  <c r="X215" i="15"/>
  <c r="W215" i="15"/>
  <c r="V215" i="15"/>
  <c r="U215" i="15"/>
  <c r="T215" i="15"/>
  <c r="AI210" i="15"/>
  <c r="AH210" i="15"/>
  <c r="AG210" i="15"/>
  <c r="AF210" i="15"/>
  <c r="AE210" i="15"/>
  <c r="AD210" i="15"/>
  <c r="AC210" i="15"/>
  <c r="AB210" i="15"/>
  <c r="AA210" i="15"/>
  <c r="Z210" i="15"/>
  <c r="Y210" i="15"/>
  <c r="X210" i="15"/>
  <c r="W210" i="15"/>
  <c r="V210" i="15"/>
  <c r="U210" i="15"/>
  <c r="T210" i="15"/>
  <c r="AI209" i="15"/>
  <c r="AH209" i="15"/>
  <c r="AG209" i="15"/>
  <c r="AF209" i="15"/>
  <c r="AE209" i="15"/>
  <c r="AD209" i="15"/>
  <c r="AC209" i="15"/>
  <c r="AB209" i="15"/>
  <c r="AA209" i="15"/>
  <c r="Z209" i="15"/>
  <c r="Y209" i="15"/>
  <c r="X209" i="15"/>
  <c r="W209" i="15"/>
  <c r="V209" i="15"/>
  <c r="U209" i="15"/>
  <c r="T209" i="15"/>
  <c r="AI204" i="15"/>
  <c r="AH204" i="15"/>
  <c r="AG204" i="15"/>
  <c r="AF204" i="15"/>
  <c r="AE204" i="15"/>
  <c r="AD204" i="15"/>
  <c r="AC204" i="15"/>
  <c r="AB204" i="15"/>
  <c r="AA204" i="15"/>
  <c r="Z204" i="15"/>
  <c r="Y204" i="15"/>
  <c r="X204" i="15"/>
  <c r="W204" i="15"/>
  <c r="V204" i="15"/>
  <c r="U204" i="15"/>
  <c r="T204" i="15"/>
  <c r="AI203" i="15"/>
  <c r="AH203" i="15"/>
  <c r="AG203" i="15"/>
  <c r="AF203" i="15"/>
  <c r="AE203" i="15"/>
  <c r="AD203" i="15"/>
  <c r="AC203" i="15"/>
  <c r="AB203" i="15"/>
  <c r="AA203" i="15"/>
  <c r="Z203" i="15"/>
  <c r="Y203" i="15"/>
  <c r="X203" i="15"/>
  <c r="W203" i="15"/>
  <c r="V203" i="15"/>
  <c r="U203" i="15"/>
  <c r="T203" i="15"/>
  <c r="AI198" i="15"/>
  <c r="AH198" i="15"/>
  <c r="AG198" i="15"/>
  <c r="AF198" i="15"/>
  <c r="AE198" i="15"/>
  <c r="AD198" i="15"/>
  <c r="AC198" i="15"/>
  <c r="AB198" i="15"/>
  <c r="AA198" i="15"/>
  <c r="Z198" i="15"/>
  <c r="Y198" i="15"/>
  <c r="X198" i="15"/>
  <c r="W198" i="15"/>
  <c r="V198" i="15"/>
  <c r="U198" i="15"/>
  <c r="T198" i="15"/>
  <c r="AI197" i="15"/>
  <c r="AH197" i="15"/>
  <c r="AG197" i="15"/>
  <c r="AF197" i="15"/>
  <c r="AE197" i="15"/>
  <c r="AD197" i="15"/>
  <c r="AC197" i="15"/>
  <c r="AB197" i="15"/>
  <c r="AA197" i="15"/>
  <c r="Z197" i="15"/>
  <c r="Y197" i="15"/>
  <c r="X197" i="15"/>
  <c r="W197" i="15"/>
  <c r="V197" i="15"/>
  <c r="U197" i="15"/>
  <c r="T197" i="15"/>
  <c r="AI192" i="15"/>
  <c r="AH192" i="15"/>
  <c r="AG192" i="15"/>
  <c r="AF192" i="15"/>
  <c r="AE192" i="15"/>
  <c r="AD192" i="15"/>
  <c r="AC192" i="15"/>
  <c r="AB192" i="15"/>
  <c r="AA192" i="15"/>
  <c r="Z192" i="15"/>
  <c r="Y192" i="15"/>
  <c r="X192" i="15"/>
  <c r="W192" i="15"/>
  <c r="V192" i="15"/>
  <c r="U192" i="15"/>
  <c r="T192" i="15"/>
  <c r="AI191" i="15"/>
  <c r="AH191" i="15"/>
  <c r="AG191" i="15"/>
  <c r="AF191" i="15"/>
  <c r="AE191" i="15"/>
  <c r="AD191" i="15"/>
  <c r="AC191" i="15"/>
  <c r="AB191" i="15"/>
  <c r="AA191" i="15"/>
  <c r="Z191" i="15"/>
  <c r="Y191" i="15"/>
  <c r="X191" i="15"/>
  <c r="W191" i="15"/>
  <c r="V191" i="15"/>
  <c r="U191" i="15"/>
  <c r="T191" i="15"/>
  <c r="AI186" i="15"/>
  <c r="AH186" i="15"/>
  <c r="AG186" i="15"/>
  <c r="AF186" i="15"/>
  <c r="AE186" i="15"/>
  <c r="AD186" i="15"/>
  <c r="AC186" i="15"/>
  <c r="AB186" i="15"/>
  <c r="AA186" i="15"/>
  <c r="Z186" i="15"/>
  <c r="Y186" i="15"/>
  <c r="X186" i="15"/>
  <c r="W186" i="15"/>
  <c r="V186" i="15"/>
  <c r="U186" i="15"/>
  <c r="T186" i="15"/>
  <c r="AI185" i="15"/>
  <c r="AH185" i="15"/>
  <c r="AG185" i="15"/>
  <c r="AF185" i="15"/>
  <c r="AE185" i="15"/>
  <c r="AD185" i="15"/>
  <c r="AC185" i="15"/>
  <c r="AB185" i="15"/>
  <c r="AA185" i="15"/>
  <c r="Z185" i="15"/>
  <c r="Y185" i="15"/>
  <c r="X185" i="15"/>
  <c r="W185" i="15"/>
  <c r="V185" i="15"/>
  <c r="U185" i="15"/>
  <c r="T185" i="15"/>
  <c r="AI180" i="15"/>
  <c r="AH180" i="15"/>
  <c r="AG180" i="15"/>
  <c r="AF180" i="15"/>
  <c r="AE180" i="15"/>
  <c r="AD180" i="15"/>
  <c r="AC180" i="15"/>
  <c r="AB180" i="15"/>
  <c r="AA180" i="15"/>
  <c r="Z180" i="15"/>
  <c r="Y180" i="15"/>
  <c r="X180" i="15"/>
  <c r="W180" i="15"/>
  <c r="V180" i="15"/>
  <c r="U180" i="15"/>
  <c r="T180" i="15"/>
  <c r="AI179" i="15"/>
  <c r="AH179" i="15"/>
  <c r="AG179" i="15"/>
  <c r="AF179" i="15"/>
  <c r="AE179" i="15"/>
  <c r="AD179" i="15"/>
  <c r="AC179" i="15"/>
  <c r="AB179" i="15"/>
  <c r="AA179" i="15"/>
  <c r="Z179" i="15"/>
  <c r="Y179" i="15"/>
  <c r="X179" i="15"/>
  <c r="W179" i="15"/>
  <c r="V179" i="15"/>
  <c r="U179" i="15"/>
  <c r="T179" i="15"/>
  <c r="AI174" i="15"/>
  <c r="AE174" i="15"/>
  <c r="AD174" i="15"/>
  <c r="AC174" i="15"/>
  <c r="AB174" i="15"/>
  <c r="AA174" i="15"/>
  <c r="AI173" i="15"/>
  <c r="AE173" i="15"/>
  <c r="AD173" i="15"/>
  <c r="AC173" i="15"/>
  <c r="AB173" i="15"/>
  <c r="AA173" i="15"/>
  <c r="AG172" i="15"/>
  <c r="AF172" i="15"/>
  <c r="AG171" i="15"/>
  <c r="AG173" i="15" s="1"/>
  <c r="AF171" i="15"/>
  <c r="AG170" i="15"/>
  <c r="AG174" i="15" s="1"/>
  <c r="AF170" i="15"/>
  <c r="AF174" i="15" s="1"/>
  <c r="Q138" i="16"/>
  <c r="Q137" i="16"/>
  <c r="J137" i="16"/>
  <c r="K137" i="16"/>
  <c r="L137" i="16"/>
  <c r="M137" i="16"/>
  <c r="J138" i="16"/>
  <c r="K138" i="16"/>
  <c r="L138" i="16"/>
  <c r="M138" i="16"/>
  <c r="I138" i="16"/>
  <c r="I137" i="16"/>
  <c r="O135" i="16"/>
  <c r="O136" i="16"/>
  <c r="O134" i="16"/>
  <c r="O137" i="16" s="1"/>
  <c r="N135" i="16"/>
  <c r="N136" i="16"/>
  <c r="N134" i="16"/>
  <c r="N138" i="16" s="1"/>
  <c r="J173" i="15"/>
  <c r="K173" i="15"/>
  <c r="J174" i="15"/>
  <c r="K174" i="15"/>
  <c r="I174" i="15"/>
  <c r="I173" i="15"/>
  <c r="Q174" i="15"/>
  <c r="Q173" i="15"/>
  <c r="M173" i="15"/>
  <c r="N173" i="15"/>
  <c r="O173" i="15"/>
  <c r="M174" i="15"/>
  <c r="N174" i="15"/>
  <c r="O174" i="15"/>
  <c r="L174" i="15"/>
  <c r="L173" i="15"/>
  <c r="O171" i="15"/>
  <c r="O172" i="15"/>
  <c r="O170" i="15"/>
  <c r="N171" i="15"/>
  <c r="N172" i="15"/>
  <c r="N170" i="15"/>
  <c r="M214" i="18"/>
  <c r="K215" i="18"/>
  <c r="J215" i="18"/>
  <c r="F215" i="18"/>
  <c r="D214" i="18"/>
  <c r="B215" i="18"/>
  <c r="N215" i="18"/>
  <c r="AX109" i="18"/>
  <c r="AX108" i="18"/>
  <c r="AX107" i="18"/>
  <c r="AX106" i="18"/>
  <c r="AX105" i="18"/>
  <c r="AX104" i="18"/>
  <c r="AX103" i="18"/>
  <c r="AX102" i="18"/>
  <c r="AX101" i="18"/>
  <c r="AX100" i="18"/>
  <c r="AF109" i="18"/>
  <c r="AF108" i="18"/>
  <c r="AF107" i="18"/>
  <c r="AF106" i="18"/>
  <c r="AF105" i="18"/>
  <c r="AF104" i="18"/>
  <c r="AF103" i="18"/>
  <c r="AF102" i="18"/>
  <c r="AF101" i="18"/>
  <c r="AF100" i="18"/>
  <c r="N109" i="18"/>
  <c r="N108" i="18"/>
  <c r="N107" i="18"/>
  <c r="N106" i="18"/>
  <c r="N105" i="18"/>
  <c r="N104" i="18"/>
  <c r="N103" i="18"/>
  <c r="N110" i="18" s="1"/>
  <c r="N102" i="18"/>
  <c r="N101" i="18"/>
  <c r="N100" i="18"/>
  <c r="D171" i="17"/>
  <c r="B171" i="17"/>
  <c r="AX77" i="17"/>
  <c r="AX76" i="17"/>
  <c r="AX75" i="17"/>
  <c r="AX74" i="17"/>
  <c r="AX73" i="17"/>
  <c r="AX72" i="17"/>
  <c r="AF77" i="17"/>
  <c r="AF76" i="17"/>
  <c r="AF75" i="17"/>
  <c r="AF74" i="17"/>
  <c r="AF73" i="17"/>
  <c r="AF72" i="17"/>
  <c r="N77" i="17"/>
  <c r="N76" i="17"/>
  <c r="N75" i="17"/>
  <c r="N74" i="17"/>
  <c r="N73" i="17"/>
  <c r="N72" i="17"/>
  <c r="O204" i="16"/>
  <c r="F203" i="16"/>
  <c r="E203" i="16"/>
  <c r="D203" i="16"/>
  <c r="B204" i="16"/>
  <c r="C209" i="16"/>
  <c r="E209" i="16"/>
  <c r="G209" i="16"/>
  <c r="H209" i="16"/>
  <c r="I209" i="16"/>
  <c r="J209" i="16"/>
  <c r="K209" i="16"/>
  <c r="L209" i="16"/>
  <c r="M209" i="16"/>
  <c r="N209" i="16"/>
  <c r="O209" i="16"/>
  <c r="P209" i="16"/>
  <c r="Q209" i="16"/>
  <c r="C210" i="16"/>
  <c r="E210" i="16"/>
  <c r="G210" i="16"/>
  <c r="H210" i="16"/>
  <c r="I210" i="16"/>
  <c r="J210" i="16"/>
  <c r="K210" i="16"/>
  <c r="L210" i="16"/>
  <c r="M210" i="16"/>
  <c r="N210" i="16"/>
  <c r="O210" i="16"/>
  <c r="P210" i="16"/>
  <c r="Q210" i="16"/>
  <c r="AI114" i="16"/>
  <c r="AH114" i="16"/>
  <c r="AG114" i="16"/>
  <c r="AE114" i="16"/>
  <c r="AD114" i="16"/>
  <c r="AC114" i="16"/>
  <c r="AB114" i="16"/>
  <c r="AA114" i="16"/>
  <c r="Z114" i="16"/>
  <c r="Y114" i="16"/>
  <c r="X114" i="16"/>
  <c r="W114" i="16"/>
  <c r="V114" i="16"/>
  <c r="U114" i="16"/>
  <c r="T114" i="16"/>
  <c r="AF113" i="16"/>
  <c r="AF112" i="16"/>
  <c r="AF111" i="16"/>
  <c r="AF110" i="16"/>
  <c r="AF109" i="16"/>
  <c r="AF108" i="16"/>
  <c r="N245" i="15"/>
  <c r="F246" i="15"/>
  <c r="E246" i="15"/>
  <c r="D246" i="15"/>
  <c r="B246" i="15"/>
  <c r="BA162" i="15"/>
  <c r="AZ162" i="15"/>
  <c r="AY162" i="15"/>
  <c r="AW162" i="15"/>
  <c r="AV162" i="15"/>
  <c r="AU162" i="15"/>
  <c r="AT162" i="15"/>
  <c r="AS162" i="15"/>
  <c r="AR162" i="15"/>
  <c r="AQ162" i="15"/>
  <c r="AP162" i="15"/>
  <c r="AO162" i="15"/>
  <c r="AN162" i="15"/>
  <c r="AM162" i="15"/>
  <c r="AL162" i="15"/>
  <c r="AX161" i="15"/>
  <c r="AX160" i="15"/>
  <c r="AX159" i="15"/>
  <c r="AX158" i="15"/>
  <c r="AX157" i="15"/>
  <c r="AX156" i="15"/>
  <c r="AX155" i="15"/>
  <c r="AX154" i="15"/>
  <c r="AX153" i="15"/>
  <c r="AX152" i="15"/>
  <c r="Q162" i="15"/>
  <c r="P162" i="15"/>
  <c r="O162" i="15"/>
  <c r="M162" i="15"/>
  <c r="L162" i="15"/>
  <c r="K162" i="15"/>
  <c r="J162" i="15"/>
  <c r="I162" i="15"/>
  <c r="H162" i="15"/>
  <c r="G162" i="15"/>
  <c r="F162" i="15"/>
  <c r="E162" i="15"/>
  <c r="D162" i="15"/>
  <c r="C162" i="15"/>
  <c r="B162" i="15"/>
  <c r="N161" i="15"/>
  <c r="N160" i="15"/>
  <c r="N159" i="15"/>
  <c r="N158" i="15"/>
  <c r="N157" i="15"/>
  <c r="N156" i="15"/>
  <c r="N155" i="15"/>
  <c r="N154" i="15"/>
  <c r="N153" i="15"/>
  <c r="N152" i="15"/>
  <c r="BA149" i="15"/>
  <c r="AZ149" i="15"/>
  <c r="AY149" i="15"/>
  <c r="AW149" i="15"/>
  <c r="AV149" i="15"/>
  <c r="AU149" i="15"/>
  <c r="AT149" i="15"/>
  <c r="AS149" i="15"/>
  <c r="AR149" i="15"/>
  <c r="AQ149" i="15"/>
  <c r="AP149" i="15"/>
  <c r="AO149" i="15"/>
  <c r="AN149" i="15"/>
  <c r="AM149" i="15"/>
  <c r="AL149" i="15"/>
  <c r="AX148" i="15"/>
  <c r="AX147" i="15"/>
  <c r="AX146" i="15"/>
  <c r="AX145" i="15"/>
  <c r="AX144" i="15"/>
  <c r="AX143" i="15"/>
  <c r="AX142" i="15"/>
  <c r="AX141" i="15"/>
  <c r="AX140" i="15"/>
  <c r="AX139" i="15"/>
  <c r="J204" i="16"/>
  <c r="H203" i="16"/>
  <c r="C204" i="16"/>
  <c r="Q203" i="16"/>
  <c r="P203" i="16"/>
  <c r="AI105" i="16"/>
  <c r="AH105" i="16"/>
  <c r="AG105" i="16"/>
  <c r="AE105" i="16"/>
  <c r="AD105" i="16"/>
  <c r="AC105" i="16"/>
  <c r="AB105" i="16"/>
  <c r="AA105" i="16"/>
  <c r="Z105" i="16"/>
  <c r="Y105" i="16"/>
  <c r="X105" i="16"/>
  <c r="W105" i="16"/>
  <c r="V105" i="16"/>
  <c r="U105" i="16"/>
  <c r="T105" i="16"/>
  <c r="AF104" i="16"/>
  <c r="AF103" i="16"/>
  <c r="AF102" i="16"/>
  <c r="AF101" i="16"/>
  <c r="AF100" i="16"/>
  <c r="AF99" i="16"/>
  <c r="Q172" i="17"/>
  <c r="P172" i="17"/>
  <c r="O172" i="17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Q226" i="18"/>
  <c r="P226" i="18"/>
  <c r="O226" i="18"/>
  <c r="N226" i="18"/>
  <c r="M226" i="18"/>
  <c r="L226" i="18"/>
  <c r="K226" i="18"/>
  <c r="J226" i="18"/>
  <c r="I226" i="18"/>
  <c r="H226" i="18"/>
  <c r="G226" i="18"/>
  <c r="F226" i="18"/>
  <c r="E226" i="18"/>
  <c r="D226" i="18"/>
  <c r="C226" i="18"/>
  <c r="B226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Q215" i="18"/>
  <c r="P215" i="18"/>
  <c r="O215" i="18"/>
  <c r="L215" i="18"/>
  <c r="I215" i="18"/>
  <c r="H215" i="18"/>
  <c r="G215" i="18"/>
  <c r="E215" i="18"/>
  <c r="D215" i="18"/>
  <c r="C215" i="18"/>
  <c r="Q214" i="18"/>
  <c r="P214" i="18"/>
  <c r="O214" i="18"/>
  <c r="L214" i="18"/>
  <c r="K214" i="18"/>
  <c r="I214" i="18"/>
  <c r="H214" i="18"/>
  <c r="G214" i="18"/>
  <c r="F214" i="18"/>
  <c r="E214" i="18"/>
  <c r="C214" i="18"/>
  <c r="Q209" i="18"/>
  <c r="P209" i="18"/>
  <c r="O209" i="18"/>
  <c r="N209" i="18"/>
  <c r="M209" i="18"/>
  <c r="L209" i="18"/>
  <c r="K209" i="18"/>
  <c r="J209" i="18"/>
  <c r="I209" i="18"/>
  <c r="H209" i="18"/>
  <c r="G209" i="18"/>
  <c r="F209" i="18"/>
  <c r="E209" i="18"/>
  <c r="D209" i="18"/>
  <c r="C209" i="18"/>
  <c r="B209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Q203" i="18"/>
  <c r="P203" i="18"/>
  <c r="O203" i="18"/>
  <c r="N203" i="18"/>
  <c r="M203" i="18"/>
  <c r="L203" i="18"/>
  <c r="K203" i="18"/>
  <c r="J203" i="18"/>
  <c r="I203" i="18"/>
  <c r="H203" i="18"/>
  <c r="G203" i="18"/>
  <c r="F203" i="18"/>
  <c r="E203" i="18"/>
  <c r="D203" i="18"/>
  <c r="C203" i="18"/>
  <c r="B203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Q197" i="18"/>
  <c r="P197" i="18"/>
  <c r="O197" i="18"/>
  <c r="N197" i="18"/>
  <c r="M197" i="18"/>
  <c r="L197" i="18"/>
  <c r="K197" i="18"/>
  <c r="J197" i="18"/>
  <c r="I197" i="18"/>
  <c r="H197" i="18"/>
  <c r="G197" i="18"/>
  <c r="F197" i="18"/>
  <c r="E197" i="18"/>
  <c r="D197" i="18"/>
  <c r="C197" i="18"/>
  <c r="B197" i="18"/>
  <c r="Q196" i="18"/>
  <c r="P196" i="18"/>
  <c r="O196" i="18"/>
  <c r="N196" i="18"/>
  <c r="M196" i="18"/>
  <c r="L196" i="18"/>
  <c r="K196" i="18"/>
  <c r="J196" i="18"/>
  <c r="I196" i="18"/>
  <c r="H196" i="18"/>
  <c r="G196" i="18"/>
  <c r="F196" i="18"/>
  <c r="E196" i="18"/>
  <c r="D196" i="18"/>
  <c r="C196" i="18"/>
  <c r="B196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Q190" i="18"/>
  <c r="P190" i="18"/>
  <c r="O190" i="18"/>
  <c r="N190" i="18"/>
  <c r="M190" i="18"/>
  <c r="L190" i="18"/>
  <c r="K190" i="18"/>
  <c r="J190" i="18"/>
  <c r="I190" i="18"/>
  <c r="H190" i="18"/>
  <c r="G190" i="18"/>
  <c r="F190" i="18"/>
  <c r="E190" i="18"/>
  <c r="D190" i="18"/>
  <c r="C190" i="18"/>
  <c r="B190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Q184" i="18"/>
  <c r="P184" i="18"/>
  <c r="O184" i="18"/>
  <c r="N184" i="18"/>
  <c r="M184" i="18"/>
  <c r="L184" i="18"/>
  <c r="K184" i="18"/>
  <c r="J184" i="18"/>
  <c r="I184" i="18"/>
  <c r="H184" i="18"/>
  <c r="G184" i="18"/>
  <c r="F184" i="18"/>
  <c r="E184" i="18"/>
  <c r="D184" i="18"/>
  <c r="C184" i="18"/>
  <c r="B184" i="18"/>
  <c r="Q179" i="18"/>
  <c r="P179" i="18"/>
  <c r="O179" i="18"/>
  <c r="N179" i="18"/>
  <c r="M179" i="18"/>
  <c r="L179" i="18"/>
  <c r="K179" i="18"/>
  <c r="J179" i="18"/>
  <c r="I179" i="18"/>
  <c r="H179" i="18"/>
  <c r="G179" i="18"/>
  <c r="F179" i="18"/>
  <c r="E179" i="18"/>
  <c r="D179" i="18"/>
  <c r="C179" i="18"/>
  <c r="B179" i="18"/>
  <c r="Q178" i="18"/>
  <c r="P178" i="18"/>
  <c r="O178" i="18"/>
  <c r="N178" i="18"/>
  <c r="M178" i="18"/>
  <c r="L178" i="18"/>
  <c r="K178" i="18"/>
  <c r="J178" i="18"/>
  <c r="I178" i="18"/>
  <c r="H178" i="18"/>
  <c r="G178" i="18"/>
  <c r="F178" i="18"/>
  <c r="E178" i="18"/>
  <c r="D178" i="18"/>
  <c r="C178" i="18"/>
  <c r="B178" i="18"/>
  <c r="Q173" i="18"/>
  <c r="P173" i="18"/>
  <c r="O173" i="18"/>
  <c r="N173" i="18"/>
  <c r="M173" i="18"/>
  <c r="L173" i="18"/>
  <c r="K173" i="18"/>
  <c r="J173" i="18"/>
  <c r="I173" i="18"/>
  <c r="H173" i="18"/>
  <c r="G173" i="18"/>
  <c r="F173" i="18"/>
  <c r="E173" i="18"/>
  <c r="D173" i="18"/>
  <c r="C173" i="18"/>
  <c r="B173" i="18"/>
  <c r="Q172" i="18"/>
  <c r="P172" i="18"/>
  <c r="O172" i="18"/>
  <c r="N172" i="18"/>
  <c r="M172" i="18"/>
  <c r="L172" i="18"/>
  <c r="K172" i="18"/>
  <c r="J172" i="18"/>
  <c r="I172" i="18"/>
  <c r="H172" i="18"/>
  <c r="G172" i="18"/>
  <c r="F172" i="18"/>
  <c r="E172" i="18"/>
  <c r="D172" i="18"/>
  <c r="C172" i="18"/>
  <c r="B172" i="18"/>
  <c r="BA149" i="18"/>
  <c r="AZ149" i="18"/>
  <c r="AY149" i="18"/>
  <c r="AW149" i="18"/>
  <c r="AV149" i="18"/>
  <c r="AU149" i="18"/>
  <c r="AT149" i="18"/>
  <c r="AS149" i="18"/>
  <c r="AR149" i="18"/>
  <c r="AQ149" i="18"/>
  <c r="AP149" i="18"/>
  <c r="AO149" i="18"/>
  <c r="AN149" i="18"/>
  <c r="AM149" i="18"/>
  <c r="AL149" i="18"/>
  <c r="AI149" i="18"/>
  <c r="AH149" i="18"/>
  <c r="AG149" i="18"/>
  <c r="AE149" i="18"/>
  <c r="AD149" i="18"/>
  <c r="AC149" i="18"/>
  <c r="AB149" i="18"/>
  <c r="AA149" i="18"/>
  <c r="Z149" i="18"/>
  <c r="Y149" i="18"/>
  <c r="X149" i="18"/>
  <c r="W149" i="18"/>
  <c r="V149" i="18"/>
  <c r="U149" i="18"/>
  <c r="T149" i="18"/>
  <c r="Q149" i="18"/>
  <c r="P149" i="18"/>
  <c r="O149" i="18"/>
  <c r="M149" i="18"/>
  <c r="L149" i="18"/>
  <c r="K149" i="18"/>
  <c r="J149" i="18"/>
  <c r="I149" i="18"/>
  <c r="H149" i="18"/>
  <c r="G149" i="18"/>
  <c r="F149" i="18"/>
  <c r="E149" i="18"/>
  <c r="D149" i="18"/>
  <c r="C149" i="18"/>
  <c r="B149" i="18"/>
  <c r="AX148" i="18"/>
  <c r="AF148" i="18"/>
  <c r="N148" i="18"/>
  <c r="AX147" i="18"/>
  <c r="AF147" i="18"/>
  <c r="N147" i="18"/>
  <c r="AX146" i="18"/>
  <c r="AF146" i="18"/>
  <c r="N146" i="18"/>
  <c r="AX145" i="18"/>
  <c r="AF145" i="18"/>
  <c r="N145" i="18"/>
  <c r="AX144" i="18"/>
  <c r="AF144" i="18"/>
  <c r="N144" i="18"/>
  <c r="AX143" i="18"/>
  <c r="AF143" i="18"/>
  <c r="N143" i="18"/>
  <c r="AX142" i="18"/>
  <c r="AF142" i="18"/>
  <c r="N142" i="18"/>
  <c r="AX141" i="18"/>
  <c r="AF141" i="18"/>
  <c r="N141" i="18"/>
  <c r="AX140" i="18"/>
  <c r="AF140" i="18"/>
  <c r="N140" i="18"/>
  <c r="AX139" i="18"/>
  <c r="AF139" i="18"/>
  <c r="N139" i="18"/>
  <c r="BA136" i="18"/>
  <c r="AZ136" i="18"/>
  <c r="AY136" i="18"/>
  <c r="AW136" i="18"/>
  <c r="AV136" i="18"/>
  <c r="AU136" i="18"/>
  <c r="AT136" i="18"/>
  <c r="AS136" i="18"/>
  <c r="AR136" i="18"/>
  <c r="AQ136" i="18"/>
  <c r="AP136" i="18"/>
  <c r="AO136" i="18"/>
  <c r="AN136" i="18"/>
  <c r="AM136" i="18"/>
  <c r="AL136" i="18"/>
  <c r="AI136" i="18"/>
  <c r="AH136" i="18"/>
  <c r="AG136" i="18"/>
  <c r="AE136" i="18"/>
  <c r="AD136" i="18"/>
  <c r="AC136" i="18"/>
  <c r="AB136" i="18"/>
  <c r="AA136" i="18"/>
  <c r="Z136" i="18"/>
  <c r="Y136" i="18"/>
  <c r="X136" i="18"/>
  <c r="W136" i="18"/>
  <c r="V136" i="18"/>
  <c r="U136" i="18"/>
  <c r="T136" i="18"/>
  <c r="Q136" i="18"/>
  <c r="P136" i="18"/>
  <c r="O136" i="18"/>
  <c r="M136" i="18"/>
  <c r="L136" i="18"/>
  <c r="K136" i="18"/>
  <c r="J136" i="18"/>
  <c r="I136" i="18"/>
  <c r="H136" i="18"/>
  <c r="G136" i="18"/>
  <c r="F136" i="18"/>
  <c r="E136" i="18"/>
  <c r="D136" i="18"/>
  <c r="C136" i="18"/>
  <c r="B136" i="18"/>
  <c r="AX135" i="18"/>
  <c r="AF135" i="18"/>
  <c r="N135" i="18"/>
  <c r="AX134" i="18"/>
  <c r="AF134" i="18"/>
  <c r="N134" i="18"/>
  <c r="AX133" i="18"/>
  <c r="AF133" i="18"/>
  <c r="N133" i="18"/>
  <c r="AX132" i="18"/>
  <c r="AF132" i="18"/>
  <c r="N132" i="18"/>
  <c r="AX131" i="18"/>
  <c r="AF131" i="18"/>
  <c r="N131" i="18"/>
  <c r="AX130" i="18"/>
  <c r="AF130" i="18"/>
  <c r="N130" i="18"/>
  <c r="AX129" i="18"/>
  <c r="AF129" i="18"/>
  <c r="N129" i="18"/>
  <c r="AX128" i="18"/>
  <c r="AF128" i="18"/>
  <c r="AF136" i="18" s="1"/>
  <c r="N128" i="18"/>
  <c r="AX127" i="18"/>
  <c r="AF127" i="18"/>
  <c r="N127" i="18"/>
  <c r="AX126" i="18"/>
  <c r="AF126" i="18"/>
  <c r="N126" i="18"/>
  <c r="BA123" i="18"/>
  <c r="AZ123" i="18"/>
  <c r="AY123" i="18"/>
  <c r="AW123" i="18"/>
  <c r="AV123" i="18"/>
  <c r="AU123" i="18"/>
  <c r="AT123" i="18"/>
  <c r="AS123" i="18"/>
  <c r="AR123" i="18"/>
  <c r="AQ123" i="18"/>
  <c r="AP123" i="18"/>
  <c r="AO123" i="18"/>
  <c r="AN123" i="18"/>
  <c r="AM123" i="18"/>
  <c r="AL123" i="18"/>
  <c r="AI123" i="18"/>
  <c r="AH123" i="18"/>
  <c r="AG123" i="18"/>
  <c r="AE123" i="18"/>
  <c r="AD123" i="18"/>
  <c r="AC123" i="18"/>
  <c r="AB123" i="18"/>
  <c r="AA123" i="18"/>
  <c r="Z123" i="18"/>
  <c r="Y123" i="18"/>
  <c r="X123" i="18"/>
  <c r="W123" i="18"/>
  <c r="V123" i="18"/>
  <c r="U123" i="18"/>
  <c r="T123" i="18"/>
  <c r="Q123" i="18"/>
  <c r="P123" i="18"/>
  <c r="O123" i="18"/>
  <c r="M123" i="18"/>
  <c r="L123" i="18"/>
  <c r="K123" i="18"/>
  <c r="J123" i="18"/>
  <c r="I123" i="18"/>
  <c r="H123" i="18"/>
  <c r="G123" i="18"/>
  <c r="F123" i="18"/>
  <c r="E123" i="18"/>
  <c r="D123" i="18"/>
  <c r="C123" i="18"/>
  <c r="B123" i="18"/>
  <c r="AX122" i="18"/>
  <c r="AF122" i="18"/>
  <c r="N122" i="18"/>
  <c r="AX121" i="18"/>
  <c r="AF121" i="18"/>
  <c r="N121" i="18"/>
  <c r="AX120" i="18"/>
  <c r="AF120" i="18"/>
  <c r="N120" i="18"/>
  <c r="AX119" i="18"/>
  <c r="AF119" i="18"/>
  <c r="N119" i="18"/>
  <c r="AX118" i="18"/>
  <c r="AF118" i="18"/>
  <c r="N118" i="18"/>
  <c r="AX117" i="18"/>
  <c r="AF117" i="18"/>
  <c r="N117" i="18"/>
  <c r="AX116" i="18"/>
  <c r="AF116" i="18"/>
  <c r="N116" i="18"/>
  <c r="AX115" i="18"/>
  <c r="AF115" i="18"/>
  <c r="N115" i="18"/>
  <c r="AX114" i="18"/>
  <c r="AF114" i="18"/>
  <c r="N114" i="18"/>
  <c r="AX113" i="18"/>
  <c r="AF113" i="18"/>
  <c r="N113" i="18"/>
  <c r="BA110" i="18"/>
  <c r="AZ110" i="18"/>
  <c r="AY110" i="18"/>
  <c r="AW110" i="18"/>
  <c r="AV110" i="18"/>
  <c r="AU110" i="18"/>
  <c r="AT110" i="18"/>
  <c r="AS110" i="18"/>
  <c r="AR110" i="18"/>
  <c r="AQ110" i="18"/>
  <c r="AP110" i="18"/>
  <c r="AO110" i="18"/>
  <c r="AN110" i="18"/>
  <c r="AM110" i="18"/>
  <c r="AL110" i="18"/>
  <c r="AI110" i="18"/>
  <c r="AH110" i="18"/>
  <c r="AG110" i="18"/>
  <c r="AE110" i="18"/>
  <c r="AD110" i="18"/>
  <c r="AC110" i="18"/>
  <c r="AB110" i="18"/>
  <c r="AA110" i="18"/>
  <c r="Z110" i="18"/>
  <c r="Y110" i="18"/>
  <c r="X110" i="18"/>
  <c r="W110" i="18"/>
  <c r="V110" i="18"/>
  <c r="U110" i="18"/>
  <c r="T110" i="18"/>
  <c r="Q110" i="18"/>
  <c r="P110" i="18"/>
  <c r="O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BA97" i="18"/>
  <c r="AZ97" i="18"/>
  <c r="AY97" i="18"/>
  <c r="AW97" i="18"/>
  <c r="AV97" i="18"/>
  <c r="AU97" i="18"/>
  <c r="AT97" i="18"/>
  <c r="AS97" i="18"/>
  <c r="AR97" i="18"/>
  <c r="AQ97" i="18"/>
  <c r="AP97" i="18"/>
  <c r="AO97" i="18"/>
  <c r="AN97" i="18"/>
  <c r="AM97" i="18"/>
  <c r="AL97" i="18"/>
  <c r="AI97" i="18"/>
  <c r="AH97" i="18"/>
  <c r="AG97" i="18"/>
  <c r="AE97" i="18"/>
  <c r="AD97" i="18"/>
  <c r="AC97" i="18"/>
  <c r="AB97" i="18"/>
  <c r="AA97" i="18"/>
  <c r="Z97" i="18"/>
  <c r="Y97" i="18"/>
  <c r="X97" i="18"/>
  <c r="W97" i="18"/>
  <c r="V97" i="18"/>
  <c r="U97" i="18"/>
  <c r="T97" i="18"/>
  <c r="Q97" i="18"/>
  <c r="P97" i="18"/>
  <c r="O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AX96" i="18"/>
  <c r="AF96" i="18"/>
  <c r="N96" i="18"/>
  <c r="AX95" i="18"/>
  <c r="AF95" i="18"/>
  <c r="N95" i="18"/>
  <c r="AX94" i="18"/>
  <c r="AF94" i="18"/>
  <c r="N94" i="18"/>
  <c r="AX93" i="18"/>
  <c r="AF93" i="18"/>
  <c r="N93" i="18"/>
  <c r="AX92" i="18"/>
  <c r="AF92" i="18"/>
  <c r="N92" i="18"/>
  <c r="AX91" i="18"/>
  <c r="AF91" i="18"/>
  <c r="N91" i="18"/>
  <c r="AX90" i="18"/>
  <c r="AF90" i="18"/>
  <c r="N90" i="18"/>
  <c r="AX89" i="18"/>
  <c r="AF89" i="18"/>
  <c r="N89" i="18"/>
  <c r="AX88" i="18"/>
  <c r="AF88" i="18"/>
  <c r="N88" i="18"/>
  <c r="AX87" i="18"/>
  <c r="AF87" i="18"/>
  <c r="N87" i="18"/>
  <c r="BA84" i="18"/>
  <c r="AZ84" i="18"/>
  <c r="AY84" i="18"/>
  <c r="AW84" i="18"/>
  <c r="AV84" i="18"/>
  <c r="AU84" i="18"/>
  <c r="AT84" i="18"/>
  <c r="AS84" i="18"/>
  <c r="AR84" i="18"/>
  <c r="AQ84" i="18"/>
  <c r="AP84" i="18"/>
  <c r="AO84" i="18"/>
  <c r="AN84" i="18"/>
  <c r="AM84" i="18"/>
  <c r="AL84" i="18"/>
  <c r="AI84" i="18"/>
  <c r="AH84" i="18"/>
  <c r="AG84" i="18"/>
  <c r="AE84" i="18"/>
  <c r="AD84" i="18"/>
  <c r="AC84" i="18"/>
  <c r="AB84" i="18"/>
  <c r="AA84" i="18"/>
  <c r="Z84" i="18"/>
  <c r="Y84" i="18"/>
  <c r="X84" i="18"/>
  <c r="W84" i="18"/>
  <c r="V84" i="18"/>
  <c r="U84" i="18"/>
  <c r="T84" i="18"/>
  <c r="Q84" i="18"/>
  <c r="P84" i="18"/>
  <c r="O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AX83" i="18"/>
  <c r="AF83" i="18"/>
  <c r="N83" i="18"/>
  <c r="AX82" i="18"/>
  <c r="AF82" i="18"/>
  <c r="N82" i="18"/>
  <c r="AX81" i="18"/>
  <c r="AF81" i="18"/>
  <c r="N81" i="18"/>
  <c r="AX80" i="18"/>
  <c r="AF80" i="18"/>
  <c r="N80" i="18"/>
  <c r="AX79" i="18"/>
  <c r="AF79" i="18"/>
  <c r="N79" i="18"/>
  <c r="AX78" i="18"/>
  <c r="AF78" i="18"/>
  <c r="N78" i="18"/>
  <c r="AX77" i="18"/>
  <c r="AF77" i="18"/>
  <c r="N77" i="18"/>
  <c r="AX76" i="18"/>
  <c r="AF76" i="18"/>
  <c r="N76" i="18"/>
  <c r="AX75" i="18"/>
  <c r="AF75" i="18"/>
  <c r="N75" i="18"/>
  <c r="AX74" i="18"/>
  <c r="AF74" i="18"/>
  <c r="N74" i="18"/>
  <c r="BA71" i="18"/>
  <c r="AZ71" i="18"/>
  <c r="AY71" i="18"/>
  <c r="AW71" i="18"/>
  <c r="AV71" i="18"/>
  <c r="AU71" i="18"/>
  <c r="AT71" i="18"/>
  <c r="AS71" i="18"/>
  <c r="AR71" i="18"/>
  <c r="AQ71" i="18"/>
  <c r="AP71" i="18"/>
  <c r="AO71" i="18"/>
  <c r="AN71" i="18"/>
  <c r="AM71" i="18"/>
  <c r="AL71" i="18"/>
  <c r="AI71" i="18"/>
  <c r="AH71" i="18"/>
  <c r="AG71" i="18"/>
  <c r="AE71" i="18"/>
  <c r="AD71" i="18"/>
  <c r="AC71" i="18"/>
  <c r="AB71" i="18"/>
  <c r="AA71" i="18"/>
  <c r="Z71" i="18"/>
  <c r="Y71" i="18"/>
  <c r="X71" i="18"/>
  <c r="W71" i="18"/>
  <c r="V71" i="18"/>
  <c r="U71" i="18"/>
  <c r="T71" i="18"/>
  <c r="Q71" i="18"/>
  <c r="P71" i="18"/>
  <c r="O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AX70" i="18"/>
  <c r="AF70" i="18"/>
  <c r="N70" i="18"/>
  <c r="AX69" i="18"/>
  <c r="AF69" i="18"/>
  <c r="N69" i="18"/>
  <c r="AX68" i="18"/>
  <c r="AF68" i="18"/>
  <c r="N68" i="18"/>
  <c r="AX67" i="18"/>
  <c r="AF67" i="18"/>
  <c r="N67" i="18"/>
  <c r="AX66" i="18"/>
  <c r="AF66" i="18"/>
  <c r="N66" i="18"/>
  <c r="AX65" i="18"/>
  <c r="AF65" i="18"/>
  <c r="N65" i="18"/>
  <c r="AX64" i="18"/>
  <c r="AF64" i="18"/>
  <c r="N64" i="18"/>
  <c r="AX63" i="18"/>
  <c r="AF63" i="18"/>
  <c r="N63" i="18"/>
  <c r="AX62" i="18"/>
  <c r="AF62" i="18"/>
  <c r="N62" i="18"/>
  <c r="AX61" i="18"/>
  <c r="AF61" i="18"/>
  <c r="N61" i="18"/>
  <c r="BA58" i="18"/>
  <c r="AZ58" i="18"/>
  <c r="AY58" i="18"/>
  <c r="AW58" i="18"/>
  <c r="AV58" i="18"/>
  <c r="AU58" i="18"/>
  <c r="AT58" i="18"/>
  <c r="AS58" i="18"/>
  <c r="AR58" i="18"/>
  <c r="AQ58" i="18"/>
  <c r="AP58" i="18"/>
  <c r="AO58" i="18"/>
  <c r="AN58" i="18"/>
  <c r="AM58" i="18"/>
  <c r="AL58" i="18"/>
  <c r="AI58" i="18"/>
  <c r="AH58" i="18"/>
  <c r="AG58" i="18"/>
  <c r="AE58" i="18"/>
  <c r="AD58" i="18"/>
  <c r="AC58" i="18"/>
  <c r="AB58" i="18"/>
  <c r="AA58" i="18"/>
  <c r="Z58" i="18"/>
  <c r="Y58" i="18"/>
  <c r="X58" i="18"/>
  <c r="W58" i="18"/>
  <c r="V58" i="18"/>
  <c r="U58" i="18"/>
  <c r="T58" i="18"/>
  <c r="Q58" i="18"/>
  <c r="P58" i="18"/>
  <c r="O58" i="18"/>
  <c r="M58" i="18"/>
  <c r="L58" i="18"/>
  <c r="K58" i="18"/>
  <c r="J58" i="18"/>
  <c r="I58" i="18"/>
  <c r="H58" i="18"/>
  <c r="G58" i="18"/>
  <c r="F58" i="18"/>
  <c r="E58" i="18"/>
  <c r="D58" i="18"/>
  <c r="C58" i="18"/>
  <c r="B58" i="18"/>
  <c r="AX57" i="18"/>
  <c r="AF57" i="18"/>
  <c r="N57" i="18"/>
  <c r="AX56" i="18"/>
  <c r="AF56" i="18"/>
  <c r="N56" i="18"/>
  <c r="AX55" i="18"/>
  <c r="AF55" i="18"/>
  <c r="N55" i="18"/>
  <c r="AX54" i="18"/>
  <c r="AF54" i="18"/>
  <c r="N54" i="18"/>
  <c r="AX53" i="18"/>
  <c r="AF53" i="18"/>
  <c r="N53" i="18"/>
  <c r="AX52" i="18"/>
  <c r="AF52" i="18"/>
  <c r="N52" i="18"/>
  <c r="AX51" i="18"/>
  <c r="AF51" i="18"/>
  <c r="N51" i="18"/>
  <c r="AX50" i="18"/>
  <c r="AF50" i="18"/>
  <c r="N50" i="18"/>
  <c r="AX49" i="18"/>
  <c r="AF49" i="18"/>
  <c r="N49" i="18"/>
  <c r="AX48" i="18"/>
  <c r="AF48" i="18"/>
  <c r="N48" i="18"/>
  <c r="BA45" i="18"/>
  <c r="AZ45" i="18"/>
  <c r="AY45" i="18"/>
  <c r="AW45" i="18"/>
  <c r="AV45" i="18"/>
  <c r="AU45" i="18"/>
  <c r="AT45" i="18"/>
  <c r="AS45" i="18"/>
  <c r="AR45" i="18"/>
  <c r="AQ45" i="18"/>
  <c r="AP45" i="18"/>
  <c r="AO45" i="18"/>
  <c r="AN45" i="18"/>
  <c r="AM45" i="18"/>
  <c r="AL45" i="18"/>
  <c r="AI45" i="18"/>
  <c r="AH45" i="18"/>
  <c r="AG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Q45" i="18"/>
  <c r="P45" i="18"/>
  <c r="O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AX44" i="18"/>
  <c r="AF44" i="18"/>
  <c r="N44" i="18"/>
  <c r="AX43" i="18"/>
  <c r="AF43" i="18"/>
  <c r="N43" i="18"/>
  <c r="AX42" i="18"/>
  <c r="AF42" i="18"/>
  <c r="N42" i="18"/>
  <c r="AX41" i="18"/>
  <c r="AF41" i="18"/>
  <c r="N41" i="18"/>
  <c r="AX40" i="18"/>
  <c r="AF40" i="18"/>
  <c r="N40" i="18"/>
  <c r="AX39" i="18"/>
  <c r="AF39" i="18"/>
  <c r="N39" i="18"/>
  <c r="AX38" i="18"/>
  <c r="AF38" i="18"/>
  <c r="N38" i="18"/>
  <c r="AX37" i="18"/>
  <c r="AF37" i="18"/>
  <c r="N37" i="18"/>
  <c r="AX36" i="18"/>
  <c r="AF36" i="18"/>
  <c r="AF45" i="18" s="1"/>
  <c r="N36" i="18"/>
  <c r="AX35" i="18"/>
  <c r="AF35" i="18"/>
  <c r="N35" i="18"/>
  <c r="N45" i="18" s="1"/>
  <c r="BA32" i="18"/>
  <c r="AZ32" i="18"/>
  <c r="AY32" i="18"/>
  <c r="AW32" i="18"/>
  <c r="AV32" i="18"/>
  <c r="AU32" i="18"/>
  <c r="AT32" i="18"/>
  <c r="AS32" i="18"/>
  <c r="AR32" i="18"/>
  <c r="AQ32" i="18"/>
  <c r="AP32" i="18"/>
  <c r="AO32" i="18"/>
  <c r="AN32" i="18"/>
  <c r="AM32" i="18"/>
  <c r="AL32" i="18"/>
  <c r="AI32" i="18"/>
  <c r="AH32" i="18"/>
  <c r="AG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Q32" i="18"/>
  <c r="P32" i="18"/>
  <c r="O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AX31" i="18"/>
  <c r="AF31" i="18"/>
  <c r="N31" i="18"/>
  <c r="AX30" i="18"/>
  <c r="AF30" i="18"/>
  <c r="N30" i="18"/>
  <c r="AX29" i="18"/>
  <c r="AF29" i="18"/>
  <c r="N29" i="18"/>
  <c r="AX28" i="18"/>
  <c r="AF28" i="18"/>
  <c r="N28" i="18"/>
  <c r="AX27" i="18"/>
  <c r="AF27" i="18"/>
  <c r="N27" i="18"/>
  <c r="AX26" i="18"/>
  <c r="AF26" i="18"/>
  <c r="N26" i="18"/>
  <c r="AX25" i="18"/>
  <c r="AF25" i="18"/>
  <c r="AF32" i="18" s="1"/>
  <c r="N25" i="18"/>
  <c r="AX24" i="18"/>
  <c r="AF24" i="18"/>
  <c r="N24" i="18"/>
  <c r="AX23" i="18"/>
  <c r="AF23" i="18"/>
  <c r="N23" i="18"/>
  <c r="AX22" i="18"/>
  <c r="AF22" i="18"/>
  <c r="N22" i="18"/>
  <c r="BA19" i="18"/>
  <c r="AZ19" i="18"/>
  <c r="AY19" i="18"/>
  <c r="AW19" i="18"/>
  <c r="AV19" i="18"/>
  <c r="AU19" i="18"/>
  <c r="AT19" i="18"/>
  <c r="AS19" i="18"/>
  <c r="AR19" i="18"/>
  <c r="AQ19" i="18"/>
  <c r="AP19" i="18"/>
  <c r="AO19" i="18"/>
  <c r="AN19" i="18"/>
  <c r="AM19" i="18"/>
  <c r="AL19" i="18"/>
  <c r="AI19" i="18"/>
  <c r="AH19" i="18"/>
  <c r="AG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Q19" i="18"/>
  <c r="P19" i="18"/>
  <c r="O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AX18" i="18"/>
  <c r="AF18" i="18"/>
  <c r="N18" i="18"/>
  <c r="AX17" i="18"/>
  <c r="AF17" i="18"/>
  <c r="N17" i="18"/>
  <c r="AX16" i="18"/>
  <c r="AF16" i="18"/>
  <c r="N16" i="18"/>
  <c r="AX15" i="18"/>
  <c r="AF15" i="18"/>
  <c r="N15" i="18"/>
  <c r="AX14" i="18"/>
  <c r="AF14" i="18"/>
  <c r="N14" i="18"/>
  <c r="AX13" i="18"/>
  <c r="AF13" i="18"/>
  <c r="N13" i="18"/>
  <c r="AX12" i="18"/>
  <c r="AF12" i="18"/>
  <c r="N12" i="18"/>
  <c r="AX11" i="18"/>
  <c r="AF11" i="18"/>
  <c r="N11" i="18"/>
  <c r="AX10" i="18"/>
  <c r="AF10" i="18"/>
  <c r="N10" i="18"/>
  <c r="AX9" i="18"/>
  <c r="AX19" i="18" s="1"/>
  <c r="AF9" i="18"/>
  <c r="N9" i="18"/>
  <c r="N19" i="18" s="1"/>
  <c r="H6" i="18"/>
  <c r="G6" i="18"/>
  <c r="F6" i="18"/>
  <c r="E6" i="18"/>
  <c r="D6" i="18"/>
  <c r="C6" i="18"/>
  <c r="B6" i="18"/>
  <c r="H5" i="18"/>
  <c r="G5" i="18"/>
  <c r="F5" i="18"/>
  <c r="E5" i="18"/>
  <c r="D5" i="18"/>
  <c r="C5" i="18"/>
  <c r="B5" i="18"/>
  <c r="I4" i="18"/>
  <c r="I3" i="18"/>
  <c r="I6" i="18"/>
  <c r="BA114" i="16"/>
  <c r="AZ114" i="16"/>
  <c r="AY114" i="16"/>
  <c r="AW114" i="16"/>
  <c r="AV114" i="16"/>
  <c r="AU114" i="16"/>
  <c r="AT114" i="16"/>
  <c r="AS114" i="16"/>
  <c r="AR114" i="16"/>
  <c r="AQ114" i="16"/>
  <c r="AP114" i="16"/>
  <c r="AO114" i="16"/>
  <c r="AN114" i="16"/>
  <c r="AM114" i="16"/>
  <c r="AL114" i="16"/>
  <c r="AX113" i="16"/>
  <c r="AX112" i="16"/>
  <c r="AX111" i="16"/>
  <c r="AX110" i="16"/>
  <c r="AX109" i="16"/>
  <c r="AX108" i="16"/>
  <c r="Q190" i="17"/>
  <c r="P190" i="17"/>
  <c r="O190" i="17"/>
  <c r="N190" i="17"/>
  <c r="M190" i="17"/>
  <c r="L190" i="17"/>
  <c r="K190" i="17"/>
  <c r="J190" i="17"/>
  <c r="I190" i="17"/>
  <c r="H190" i="17"/>
  <c r="G190" i="17"/>
  <c r="F190" i="17"/>
  <c r="E190" i="17"/>
  <c r="D190" i="17"/>
  <c r="C190" i="17"/>
  <c r="B190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Q184" i="17"/>
  <c r="P184" i="17"/>
  <c r="O184" i="17"/>
  <c r="N184" i="17"/>
  <c r="M184" i="17"/>
  <c r="L184" i="17"/>
  <c r="K184" i="17"/>
  <c r="J184" i="17"/>
  <c r="I184" i="17"/>
  <c r="H184" i="17"/>
  <c r="G184" i="17"/>
  <c r="F184" i="17"/>
  <c r="E184" i="17"/>
  <c r="D184" i="17"/>
  <c r="C184" i="17"/>
  <c r="B184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Q178" i="17"/>
  <c r="P178" i="17"/>
  <c r="O178" i="17"/>
  <c r="N178" i="17"/>
  <c r="M178" i="17"/>
  <c r="L178" i="17"/>
  <c r="K178" i="17"/>
  <c r="J178" i="17"/>
  <c r="I178" i="17"/>
  <c r="H178" i="17"/>
  <c r="G178" i="17"/>
  <c r="F178" i="17"/>
  <c r="E178" i="17"/>
  <c r="D178" i="17"/>
  <c r="C178" i="17"/>
  <c r="B178" i="17"/>
  <c r="Q177" i="17"/>
  <c r="P177" i="17"/>
  <c r="O177" i="17"/>
  <c r="N177" i="17"/>
  <c r="M177" i="17"/>
  <c r="L177" i="17"/>
  <c r="K177" i="17"/>
  <c r="J177" i="17"/>
  <c r="I177" i="17"/>
  <c r="H177" i="17"/>
  <c r="G177" i="17"/>
  <c r="F177" i="17"/>
  <c r="E177" i="17"/>
  <c r="D177" i="17"/>
  <c r="C177" i="17"/>
  <c r="B177" i="17"/>
  <c r="N172" i="17"/>
  <c r="M172" i="17"/>
  <c r="L172" i="17"/>
  <c r="K172" i="17"/>
  <c r="J172" i="17"/>
  <c r="I172" i="17"/>
  <c r="H172" i="17"/>
  <c r="G172" i="17"/>
  <c r="F172" i="17"/>
  <c r="E172" i="17"/>
  <c r="C172" i="17"/>
  <c r="N171" i="17"/>
  <c r="M171" i="17"/>
  <c r="L171" i="17"/>
  <c r="K171" i="17"/>
  <c r="J171" i="17"/>
  <c r="I171" i="17"/>
  <c r="H171" i="17"/>
  <c r="G171" i="17"/>
  <c r="F171" i="17"/>
  <c r="E171" i="17"/>
  <c r="C171" i="17"/>
  <c r="Q166" i="17"/>
  <c r="P166" i="17"/>
  <c r="O166" i="17"/>
  <c r="N166" i="17"/>
  <c r="M166" i="17"/>
  <c r="L166" i="17"/>
  <c r="K166" i="17"/>
  <c r="J166" i="17"/>
  <c r="I166" i="17"/>
  <c r="H166" i="17"/>
  <c r="G166" i="17"/>
  <c r="F166" i="17"/>
  <c r="E166" i="17"/>
  <c r="D166" i="17"/>
  <c r="C166" i="17"/>
  <c r="B166" i="17"/>
  <c r="Q165" i="17"/>
  <c r="P165" i="17"/>
  <c r="O165" i="17"/>
  <c r="N165" i="17"/>
  <c r="M165" i="17"/>
  <c r="L165" i="17"/>
  <c r="K165" i="17"/>
  <c r="J165" i="17"/>
  <c r="I165" i="17"/>
  <c r="H165" i="17"/>
  <c r="G165" i="17"/>
  <c r="F165" i="17"/>
  <c r="E165" i="17"/>
  <c r="D165" i="17"/>
  <c r="C165" i="17"/>
  <c r="B165" i="17"/>
  <c r="Q160" i="17"/>
  <c r="P160" i="17"/>
  <c r="O160" i="17"/>
  <c r="N160" i="17"/>
  <c r="M160" i="17"/>
  <c r="L160" i="17"/>
  <c r="K160" i="17"/>
  <c r="J160" i="17"/>
  <c r="I160" i="17"/>
  <c r="H160" i="17"/>
  <c r="G160" i="17"/>
  <c r="F160" i="17"/>
  <c r="E160" i="17"/>
  <c r="D160" i="17"/>
  <c r="C160" i="17"/>
  <c r="B160" i="17"/>
  <c r="Q159" i="17"/>
  <c r="P159" i="17"/>
  <c r="O159" i="17"/>
  <c r="N159" i="17"/>
  <c r="M159" i="17"/>
  <c r="L159" i="17"/>
  <c r="K159" i="17"/>
  <c r="J159" i="17"/>
  <c r="I159" i="17"/>
  <c r="H159" i="17"/>
  <c r="G159" i="17"/>
  <c r="F159" i="17"/>
  <c r="E159" i="17"/>
  <c r="D159" i="17"/>
  <c r="C159" i="17"/>
  <c r="B159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B154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B153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B148" i="17"/>
  <c r="Q147" i="17"/>
  <c r="P147" i="17"/>
  <c r="O147" i="17"/>
  <c r="N147" i="17"/>
  <c r="M147" i="17"/>
  <c r="L147" i="17"/>
  <c r="K147" i="17"/>
  <c r="J147" i="17"/>
  <c r="I147" i="17"/>
  <c r="H147" i="17"/>
  <c r="G147" i="17"/>
  <c r="F147" i="17"/>
  <c r="E147" i="17"/>
  <c r="D147" i="17"/>
  <c r="C147" i="17"/>
  <c r="B147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Q136" i="17"/>
  <c r="P136" i="17"/>
  <c r="O136" i="17"/>
  <c r="N136" i="17"/>
  <c r="M136" i="17"/>
  <c r="L136" i="17"/>
  <c r="K136" i="17"/>
  <c r="J136" i="17"/>
  <c r="I136" i="17"/>
  <c r="H136" i="17"/>
  <c r="G136" i="17"/>
  <c r="F136" i="17"/>
  <c r="E136" i="17"/>
  <c r="D136" i="17"/>
  <c r="C136" i="17"/>
  <c r="B136" i="17"/>
  <c r="Q135" i="17"/>
  <c r="P135" i="17"/>
  <c r="O135" i="17"/>
  <c r="N135" i="17"/>
  <c r="M135" i="17"/>
  <c r="L135" i="17"/>
  <c r="K135" i="17"/>
  <c r="J135" i="17"/>
  <c r="I135" i="17"/>
  <c r="H135" i="17"/>
  <c r="G135" i="17"/>
  <c r="F135" i="17"/>
  <c r="E135" i="17"/>
  <c r="D135" i="17"/>
  <c r="C135" i="17"/>
  <c r="B135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BA105" i="17"/>
  <c r="AZ105" i="17"/>
  <c r="AY105" i="17"/>
  <c r="AW105" i="17"/>
  <c r="AV105" i="17"/>
  <c r="AU105" i="17"/>
  <c r="AT105" i="17"/>
  <c r="AS105" i="17"/>
  <c r="AR105" i="17"/>
  <c r="AQ105" i="17"/>
  <c r="AP105" i="17"/>
  <c r="AO105" i="17"/>
  <c r="AN105" i="17"/>
  <c r="AM105" i="17"/>
  <c r="AL105" i="17"/>
  <c r="AI105" i="17"/>
  <c r="AH105" i="17"/>
  <c r="AG105" i="17"/>
  <c r="AE105" i="17"/>
  <c r="AD105" i="17"/>
  <c r="AC105" i="17"/>
  <c r="AB105" i="17"/>
  <c r="AA105" i="17"/>
  <c r="Z105" i="17"/>
  <c r="Y105" i="17"/>
  <c r="X105" i="17"/>
  <c r="W105" i="17"/>
  <c r="V105" i="17"/>
  <c r="U105" i="17"/>
  <c r="T105" i="17"/>
  <c r="Q105" i="17"/>
  <c r="P105" i="17"/>
  <c r="O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AX104" i="17"/>
  <c r="AF104" i="17"/>
  <c r="N104" i="17"/>
  <c r="AX103" i="17"/>
  <c r="AF103" i="17"/>
  <c r="AF105" i="17" s="1"/>
  <c r="N103" i="17"/>
  <c r="AX102" i="17"/>
  <c r="AF102" i="17"/>
  <c r="N102" i="17"/>
  <c r="AX101" i="17"/>
  <c r="AF101" i="17"/>
  <c r="N101" i="17"/>
  <c r="AX100" i="17"/>
  <c r="AF100" i="17"/>
  <c r="N100" i="17"/>
  <c r="AX99" i="17"/>
  <c r="AF99" i="17"/>
  <c r="N99" i="17"/>
  <c r="N105" i="17" s="1"/>
  <c r="BA96" i="17"/>
  <c r="AZ96" i="17"/>
  <c r="AY96" i="17"/>
  <c r="AW96" i="17"/>
  <c r="AV96" i="17"/>
  <c r="AU96" i="17"/>
  <c r="AT96" i="17"/>
  <c r="AS96" i="17"/>
  <c r="AR96" i="17"/>
  <c r="AQ96" i="17"/>
  <c r="AP96" i="17"/>
  <c r="AO96" i="17"/>
  <c r="AN96" i="17"/>
  <c r="AM96" i="17"/>
  <c r="AL96" i="17"/>
  <c r="AI96" i="17"/>
  <c r="AH96" i="17"/>
  <c r="AG96" i="17"/>
  <c r="AE96" i="17"/>
  <c r="AD96" i="17"/>
  <c r="AC96" i="17"/>
  <c r="AB96" i="17"/>
  <c r="AA96" i="17"/>
  <c r="Z96" i="17"/>
  <c r="Y96" i="17"/>
  <c r="X96" i="17"/>
  <c r="W96" i="17"/>
  <c r="V96" i="17"/>
  <c r="U96" i="17"/>
  <c r="T96" i="17"/>
  <c r="Q96" i="17"/>
  <c r="P96" i="17"/>
  <c r="O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AX95" i="17"/>
  <c r="AF95" i="17"/>
  <c r="N95" i="17"/>
  <c r="AX94" i="17"/>
  <c r="AF94" i="17"/>
  <c r="N94" i="17"/>
  <c r="AX93" i="17"/>
  <c r="AF93" i="17"/>
  <c r="N93" i="17"/>
  <c r="AX92" i="17"/>
  <c r="AF92" i="17"/>
  <c r="N92" i="17"/>
  <c r="AX91" i="17"/>
  <c r="AF91" i="17"/>
  <c r="N91" i="17"/>
  <c r="AX90" i="17"/>
  <c r="AF90" i="17"/>
  <c r="N90" i="17"/>
  <c r="BA87" i="17"/>
  <c r="AZ87" i="17"/>
  <c r="AY87" i="17"/>
  <c r="AW87" i="17"/>
  <c r="AV87" i="17"/>
  <c r="AU87" i="17"/>
  <c r="AT87" i="17"/>
  <c r="AS87" i="17"/>
  <c r="AR87" i="17"/>
  <c r="AQ87" i="17"/>
  <c r="AP87" i="17"/>
  <c r="AO87" i="17"/>
  <c r="AN87" i="17"/>
  <c r="AM87" i="17"/>
  <c r="AL87" i="17"/>
  <c r="AI87" i="17"/>
  <c r="AH87" i="17"/>
  <c r="AG87" i="17"/>
  <c r="AE87" i="17"/>
  <c r="AD87" i="17"/>
  <c r="AC87" i="17"/>
  <c r="AB87" i="17"/>
  <c r="AA87" i="17"/>
  <c r="Z87" i="17"/>
  <c r="Y87" i="17"/>
  <c r="X87" i="17"/>
  <c r="W87" i="17"/>
  <c r="V87" i="17"/>
  <c r="U87" i="17"/>
  <c r="T87" i="17"/>
  <c r="Q87" i="17"/>
  <c r="P87" i="17"/>
  <c r="O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AX86" i="17"/>
  <c r="AF86" i="17"/>
  <c r="N86" i="17"/>
  <c r="AX85" i="17"/>
  <c r="AF85" i="17"/>
  <c r="N85" i="17"/>
  <c r="AX84" i="17"/>
  <c r="AF84" i="17"/>
  <c r="N84" i="17"/>
  <c r="AX83" i="17"/>
  <c r="AF83" i="17"/>
  <c r="N83" i="17"/>
  <c r="AX82" i="17"/>
  <c r="AF82" i="17"/>
  <c r="N82" i="17"/>
  <c r="AX81" i="17"/>
  <c r="AF81" i="17"/>
  <c r="N81" i="17"/>
  <c r="N87" i="17" s="1"/>
  <c r="BA78" i="17"/>
  <c r="AZ78" i="17"/>
  <c r="AY78" i="17"/>
  <c r="AW78" i="17"/>
  <c r="AV78" i="17"/>
  <c r="AU78" i="17"/>
  <c r="AT78" i="17"/>
  <c r="AS78" i="17"/>
  <c r="AR78" i="17"/>
  <c r="AQ78" i="17"/>
  <c r="AP78" i="17"/>
  <c r="AO78" i="17"/>
  <c r="AN78" i="17"/>
  <c r="AM78" i="17"/>
  <c r="AL78" i="17"/>
  <c r="AI78" i="17"/>
  <c r="AH78" i="17"/>
  <c r="AG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Q78" i="17"/>
  <c r="P78" i="17"/>
  <c r="O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N78" i="17"/>
  <c r="BA69" i="17"/>
  <c r="AZ69" i="17"/>
  <c r="AY69" i="17"/>
  <c r="AW69" i="17"/>
  <c r="AV69" i="17"/>
  <c r="AU69" i="17"/>
  <c r="AT69" i="17"/>
  <c r="AS69" i="17"/>
  <c r="AR69" i="17"/>
  <c r="AQ69" i="17"/>
  <c r="AP69" i="17"/>
  <c r="AO69" i="17"/>
  <c r="AN69" i="17"/>
  <c r="AM69" i="17"/>
  <c r="AL69" i="17"/>
  <c r="AI69" i="17"/>
  <c r="AH69" i="17"/>
  <c r="AG69" i="17"/>
  <c r="AE69" i="17"/>
  <c r="AD69" i="17"/>
  <c r="AC69" i="17"/>
  <c r="AB69" i="17"/>
  <c r="AA69" i="17"/>
  <c r="Z69" i="17"/>
  <c r="Y69" i="17"/>
  <c r="X69" i="17"/>
  <c r="W69" i="17"/>
  <c r="V69" i="17"/>
  <c r="U69" i="17"/>
  <c r="T69" i="17"/>
  <c r="Q69" i="17"/>
  <c r="P69" i="17"/>
  <c r="O69" i="17"/>
  <c r="M69" i="17"/>
  <c r="L69" i="17"/>
  <c r="K69" i="17"/>
  <c r="J69" i="17"/>
  <c r="I69" i="17"/>
  <c r="H69" i="17"/>
  <c r="G69" i="17"/>
  <c r="F69" i="17"/>
  <c r="E69" i="17"/>
  <c r="D69" i="17"/>
  <c r="C69" i="17"/>
  <c r="B69" i="17"/>
  <c r="AX68" i="17"/>
  <c r="AF68" i="17"/>
  <c r="N68" i="17"/>
  <c r="AX67" i="17"/>
  <c r="AF67" i="17"/>
  <c r="N67" i="17"/>
  <c r="N69" i="17" s="1"/>
  <c r="AX66" i="17"/>
  <c r="AF66" i="17"/>
  <c r="N66" i="17"/>
  <c r="AX65" i="17"/>
  <c r="AF65" i="17"/>
  <c r="N65" i="17"/>
  <c r="AX64" i="17"/>
  <c r="AF64" i="17"/>
  <c r="N64" i="17"/>
  <c r="AX63" i="17"/>
  <c r="AF63" i="17"/>
  <c r="AF69" i="17" s="1"/>
  <c r="N63" i="17"/>
  <c r="BA60" i="17"/>
  <c r="AZ60" i="17"/>
  <c r="AY60" i="17"/>
  <c r="AW60" i="17"/>
  <c r="AV60" i="17"/>
  <c r="AU60" i="17"/>
  <c r="AT60" i="17"/>
  <c r="AS60" i="17"/>
  <c r="AR60" i="17"/>
  <c r="AQ60" i="17"/>
  <c r="AP60" i="17"/>
  <c r="AO60" i="17"/>
  <c r="AN60" i="17"/>
  <c r="AM60" i="17"/>
  <c r="AL60" i="17"/>
  <c r="AI60" i="17"/>
  <c r="AH60" i="17"/>
  <c r="AG60" i="17"/>
  <c r="AE60" i="17"/>
  <c r="AD60" i="17"/>
  <c r="AC60" i="17"/>
  <c r="AB60" i="17"/>
  <c r="AA60" i="17"/>
  <c r="Z60" i="17"/>
  <c r="Y60" i="17"/>
  <c r="X60" i="17"/>
  <c r="W60" i="17"/>
  <c r="V60" i="17"/>
  <c r="U60" i="17"/>
  <c r="T60" i="17"/>
  <c r="Q60" i="17"/>
  <c r="P60" i="17"/>
  <c r="O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AX59" i="17"/>
  <c r="AF59" i="17"/>
  <c r="N59" i="17"/>
  <c r="AX58" i="17"/>
  <c r="AF58" i="17"/>
  <c r="N58" i="17"/>
  <c r="AX57" i="17"/>
  <c r="AF57" i="17"/>
  <c r="N57" i="17"/>
  <c r="AX56" i="17"/>
  <c r="AF56" i="17"/>
  <c r="N56" i="17"/>
  <c r="AX55" i="17"/>
  <c r="AF55" i="17"/>
  <c r="N55" i="17"/>
  <c r="AX54" i="17"/>
  <c r="AF54" i="17"/>
  <c r="AF60" i="17" s="1"/>
  <c r="N54" i="17"/>
  <c r="N60" i="17" s="1"/>
  <c r="BA51" i="17"/>
  <c r="AZ51" i="17"/>
  <c r="AY51" i="17"/>
  <c r="AW51" i="17"/>
  <c r="AV51" i="17"/>
  <c r="AU51" i="17"/>
  <c r="AT51" i="17"/>
  <c r="AS51" i="17"/>
  <c r="AR51" i="17"/>
  <c r="AQ51" i="17"/>
  <c r="AP51" i="17"/>
  <c r="AO51" i="17"/>
  <c r="AN51" i="17"/>
  <c r="AM51" i="17"/>
  <c r="AL51" i="17"/>
  <c r="AI51" i="17"/>
  <c r="AH51" i="17"/>
  <c r="AG51" i="17"/>
  <c r="AE51" i="17"/>
  <c r="AD51" i="17"/>
  <c r="AC51" i="17"/>
  <c r="AB51" i="17"/>
  <c r="AA51" i="17"/>
  <c r="Z51" i="17"/>
  <c r="Y51" i="17"/>
  <c r="X51" i="17"/>
  <c r="W51" i="17"/>
  <c r="V51" i="17"/>
  <c r="U51" i="17"/>
  <c r="T51" i="17"/>
  <c r="Q51" i="17"/>
  <c r="P51" i="17"/>
  <c r="O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X50" i="17"/>
  <c r="AF50" i="17"/>
  <c r="N50" i="17"/>
  <c r="AX49" i="17"/>
  <c r="AF49" i="17"/>
  <c r="N49" i="17"/>
  <c r="AX48" i="17"/>
  <c r="AF48" i="17"/>
  <c r="N48" i="17"/>
  <c r="AX47" i="17"/>
  <c r="AF47" i="17"/>
  <c r="N47" i="17"/>
  <c r="AX46" i="17"/>
  <c r="AF46" i="17"/>
  <c r="N46" i="17"/>
  <c r="AX45" i="17"/>
  <c r="AF45" i="17"/>
  <c r="N45" i="17"/>
  <c r="BA42" i="17"/>
  <c r="AZ42" i="17"/>
  <c r="AY42" i="17"/>
  <c r="AW42" i="17"/>
  <c r="AV42" i="17"/>
  <c r="AU42" i="17"/>
  <c r="AT42" i="17"/>
  <c r="AS42" i="17"/>
  <c r="AR42" i="17"/>
  <c r="AQ42" i="17"/>
  <c r="AP42" i="17"/>
  <c r="AO42" i="17"/>
  <c r="AN42" i="17"/>
  <c r="AM42" i="17"/>
  <c r="AL42" i="17"/>
  <c r="AI42" i="17"/>
  <c r="AH42" i="17"/>
  <c r="AG42" i="17"/>
  <c r="AE42" i="17"/>
  <c r="AD42" i="17"/>
  <c r="AC42" i="17"/>
  <c r="AB42" i="17"/>
  <c r="AA42" i="17"/>
  <c r="Z42" i="17"/>
  <c r="Y42" i="17"/>
  <c r="X42" i="17"/>
  <c r="W42" i="17"/>
  <c r="V42" i="17"/>
  <c r="U42" i="17"/>
  <c r="T42" i="17"/>
  <c r="Q42" i="17"/>
  <c r="P42" i="17"/>
  <c r="O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AX41" i="17"/>
  <c r="AF41" i="17"/>
  <c r="N41" i="17"/>
  <c r="AX40" i="17"/>
  <c r="AF40" i="17"/>
  <c r="N40" i="17"/>
  <c r="AX39" i="17"/>
  <c r="AF39" i="17"/>
  <c r="N39" i="17"/>
  <c r="AX38" i="17"/>
  <c r="AF38" i="17"/>
  <c r="N38" i="17"/>
  <c r="AX37" i="17"/>
  <c r="AF37" i="17"/>
  <c r="N37" i="17"/>
  <c r="AX36" i="17"/>
  <c r="AF36" i="17"/>
  <c r="N36" i="17"/>
  <c r="BA33" i="17"/>
  <c r="AZ33" i="17"/>
  <c r="AY33" i="17"/>
  <c r="AW33" i="17"/>
  <c r="AV33" i="17"/>
  <c r="AU33" i="17"/>
  <c r="AT33" i="17"/>
  <c r="AS33" i="17"/>
  <c r="AR33" i="17"/>
  <c r="AQ33" i="17"/>
  <c r="AP33" i="17"/>
  <c r="AO33" i="17"/>
  <c r="AN33" i="17"/>
  <c r="AM33" i="17"/>
  <c r="AL33" i="17"/>
  <c r="AI33" i="17"/>
  <c r="AH33" i="17"/>
  <c r="AG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Q33" i="17"/>
  <c r="P33" i="17"/>
  <c r="O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X32" i="17"/>
  <c r="AF32" i="17"/>
  <c r="N32" i="17"/>
  <c r="AX31" i="17"/>
  <c r="AF31" i="17"/>
  <c r="N31" i="17"/>
  <c r="AX30" i="17"/>
  <c r="AF30" i="17"/>
  <c r="N30" i="17"/>
  <c r="AX29" i="17"/>
  <c r="AX33" i="17" s="1"/>
  <c r="AF29" i="17"/>
  <c r="N29" i="17"/>
  <c r="N33" i="17" s="1"/>
  <c r="AX28" i="17"/>
  <c r="AF28" i="17"/>
  <c r="N28" i="17"/>
  <c r="AX27" i="17"/>
  <c r="AF27" i="17"/>
  <c r="N27" i="17"/>
  <c r="BA24" i="17"/>
  <c r="AZ24" i="17"/>
  <c r="AY24" i="17"/>
  <c r="AW24" i="17"/>
  <c r="AV24" i="17"/>
  <c r="AU24" i="17"/>
  <c r="AT24" i="17"/>
  <c r="AS24" i="17"/>
  <c r="AR24" i="17"/>
  <c r="AQ24" i="17"/>
  <c r="AP24" i="17"/>
  <c r="AO24" i="17"/>
  <c r="AN24" i="17"/>
  <c r="AM24" i="17"/>
  <c r="AL24" i="17"/>
  <c r="AI24" i="17"/>
  <c r="AH24" i="17"/>
  <c r="AG24" i="17"/>
  <c r="AE24" i="17"/>
  <c r="AD24" i="17"/>
  <c r="AC24" i="17"/>
  <c r="AB24" i="17"/>
  <c r="AA24" i="17"/>
  <c r="Z24" i="17"/>
  <c r="Y24" i="17"/>
  <c r="X24" i="17"/>
  <c r="W24" i="17"/>
  <c r="V24" i="17"/>
  <c r="U24" i="17"/>
  <c r="T24" i="17"/>
  <c r="Q24" i="17"/>
  <c r="P24" i="17"/>
  <c r="O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X23" i="17"/>
  <c r="AF23" i="17"/>
  <c r="N23" i="17"/>
  <c r="AX22" i="17"/>
  <c r="AF22" i="17"/>
  <c r="N22" i="17"/>
  <c r="AX21" i="17"/>
  <c r="AF21" i="17"/>
  <c r="N21" i="17"/>
  <c r="AX20" i="17"/>
  <c r="AF20" i="17"/>
  <c r="N20" i="17"/>
  <c r="AX19" i="17"/>
  <c r="AF19" i="17"/>
  <c r="N19" i="17"/>
  <c r="AX18" i="17"/>
  <c r="AF18" i="17"/>
  <c r="N18" i="17"/>
  <c r="BA15" i="17"/>
  <c r="AZ15" i="17"/>
  <c r="AY15" i="17"/>
  <c r="AW15" i="17"/>
  <c r="AV15" i="17"/>
  <c r="AU15" i="17"/>
  <c r="AT15" i="17"/>
  <c r="AS15" i="17"/>
  <c r="AR15" i="17"/>
  <c r="AQ15" i="17"/>
  <c r="AP15" i="17"/>
  <c r="AO15" i="17"/>
  <c r="AN15" i="17"/>
  <c r="AM15" i="17"/>
  <c r="AL15" i="17"/>
  <c r="AI15" i="17"/>
  <c r="AH15" i="17"/>
  <c r="AG15" i="17"/>
  <c r="AE15" i="17"/>
  <c r="AD15" i="17"/>
  <c r="AC15" i="17"/>
  <c r="AB15" i="17"/>
  <c r="AA15" i="17"/>
  <c r="Z15" i="17"/>
  <c r="Y15" i="17"/>
  <c r="X15" i="17"/>
  <c r="W15" i="17"/>
  <c r="V15" i="17"/>
  <c r="U15" i="17"/>
  <c r="T15" i="17"/>
  <c r="Q15" i="17"/>
  <c r="P15" i="17"/>
  <c r="O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X14" i="17"/>
  <c r="AF14" i="17"/>
  <c r="N14" i="17"/>
  <c r="AX13" i="17"/>
  <c r="AF13" i="17"/>
  <c r="N13" i="17"/>
  <c r="AX12" i="17"/>
  <c r="AF12" i="17"/>
  <c r="N12" i="17"/>
  <c r="AX11" i="17"/>
  <c r="AF11" i="17"/>
  <c r="N11" i="17"/>
  <c r="AX10" i="17"/>
  <c r="AF10" i="17"/>
  <c r="AF15" i="17" s="1"/>
  <c r="N10" i="17"/>
  <c r="AX9" i="17"/>
  <c r="AF9" i="17"/>
  <c r="N9" i="17"/>
  <c r="H6" i="17"/>
  <c r="G6" i="17"/>
  <c r="F6" i="17"/>
  <c r="E6" i="17"/>
  <c r="D6" i="17"/>
  <c r="C6" i="17"/>
  <c r="B6" i="17"/>
  <c r="H5" i="17"/>
  <c r="G5" i="17"/>
  <c r="F5" i="17"/>
  <c r="E5" i="17"/>
  <c r="D5" i="17"/>
  <c r="C5" i="17"/>
  <c r="B5" i="17"/>
  <c r="L204" i="16"/>
  <c r="H204" i="16"/>
  <c r="G203" i="16"/>
  <c r="C203" i="16"/>
  <c r="Q105" i="16"/>
  <c r="P105" i="16"/>
  <c r="O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N104" i="16"/>
  <c r="N103" i="16"/>
  <c r="N102" i="16"/>
  <c r="N101" i="16"/>
  <c r="N100" i="16"/>
  <c r="N99" i="16"/>
  <c r="C221" i="15"/>
  <c r="B221" i="15"/>
  <c r="Q110" i="15"/>
  <c r="P110" i="15"/>
  <c r="O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N109" i="15"/>
  <c r="N108" i="15"/>
  <c r="N107" i="15"/>
  <c r="N106" i="15"/>
  <c r="N105" i="15"/>
  <c r="N104" i="15"/>
  <c r="N103" i="15"/>
  <c r="N102" i="15"/>
  <c r="N101" i="15"/>
  <c r="N100" i="15"/>
  <c r="AI110" i="15"/>
  <c r="AH110" i="15"/>
  <c r="AG110" i="15"/>
  <c r="AE110" i="15"/>
  <c r="AD110" i="15"/>
  <c r="AC110" i="15"/>
  <c r="AB110" i="15"/>
  <c r="AA110" i="15"/>
  <c r="Z110" i="15"/>
  <c r="Y110" i="15"/>
  <c r="X110" i="15"/>
  <c r="W110" i="15"/>
  <c r="V110" i="15"/>
  <c r="U110" i="15"/>
  <c r="T110" i="15"/>
  <c r="AF109" i="15"/>
  <c r="AF108" i="15"/>
  <c r="AF107" i="15"/>
  <c r="AF106" i="15"/>
  <c r="AF105" i="15"/>
  <c r="AF104" i="15"/>
  <c r="AF103" i="15"/>
  <c r="AF102" i="15"/>
  <c r="AF101" i="15"/>
  <c r="AF100" i="15"/>
  <c r="P186" i="16"/>
  <c r="N186" i="16"/>
  <c r="G186" i="16"/>
  <c r="E186" i="16"/>
  <c r="C186" i="16"/>
  <c r="B186" i="16"/>
  <c r="Q78" i="16"/>
  <c r="P78" i="16"/>
  <c r="O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N77" i="16"/>
  <c r="N76" i="16"/>
  <c r="N75" i="16"/>
  <c r="N74" i="16"/>
  <c r="N73" i="16"/>
  <c r="N72" i="16"/>
  <c r="P204" i="16"/>
  <c r="N204" i="16"/>
  <c r="M204" i="16"/>
  <c r="K204" i="16"/>
  <c r="I204" i="16"/>
  <c r="G204" i="16"/>
  <c r="F204" i="16"/>
  <c r="N203" i="16"/>
  <c r="M203" i="16"/>
  <c r="L203" i="16"/>
  <c r="K203" i="16"/>
  <c r="I203" i="16"/>
  <c r="Q198" i="16"/>
  <c r="P198" i="16"/>
  <c r="O198" i="16"/>
  <c r="N198" i="16"/>
  <c r="M198" i="16"/>
  <c r="L198" i="16"/>
  <c r="K198" i="16"/>
  <c r="J198" i="16"/>
  <c r="I198" i="16"/>
  <c r="H198" i="16"/>
  <c r="G198" i="16"/>
  <c r="F198" i="16"/>
  <c r="E198" i="16"/>
  <c r="D198" i="16"/>
  <c r="C198" i="16"/>
  <c r="B198" i="16"/>
  <c r="Q197" i="16"/>
  <c r="P197" i="16"/>
  <c r="O197" i="16"/>
  <c r="N197" i="16"/>
  <c r="M197" i="16"/>
  <c r="L197" i="16"/>
  <c r="K197" i="16"/>
  <c r="J197" i="16"/>
  <c r="I197" i="16"/>
  <c r="H197" i="16"/>
  <c r="G197" i="16"/>
  <c r="F197" i="16"/>
  <c r="E197" i="16"/>
  <c r="D197" i="16"/>
  <c r="C197" i="16"/>
  <c r="B197" i="16"/>
  <c r="Q192" i="16"/>
  <c r="P192" i="16"/>
  <c r="O192" i="16"/>
  <c r="N192" i="16"/>
  <c r="M192" i="16"/>
  <c r="L192" i="16"/>
  <c r="K192" i="16"/>
  <c r="J192" i="16"/>
  <c r="I192" i="16"/>
  <c r="H192" i="16"/>
  <c r="G192" i="16"/>
  <c r="F192" i="16"/>
  <c r="E192" i="16"/>
  <c r="D192" i="16"/>
  <c r="C192" i="16"/>
  <c r="B192" i="16"/>
  <c r="Q191" i="16"/>
  <c r="P191" i="16"/>
  <c r="O191" i="16"/>
  <c r="N191" i="16"/>
  <c r="M191" i="16"/>
  <c r="L191" i="16"/>
  <c r="K191" i="16"/>
  <c r="J191" i="16"/>
  <c r="I191" i="16"/>
  <c r="H191" i="16"/>
  <c r="G191" i="16"/>
  <c r="F191" i="16"/>
  <c r="E191" i="16"/>
  <c r="D191" i="16"/>
  <c r="C191" i="16"/>
  <c r="B191" i="16"/>
  <c r="Q186" i="16"/>
  <c r="O186" i="16"/>
  <c r="M186" i="16"/>
  <c r="L186" i="16"/>
  <c r="K186" i="16"/>
  <c r="J186" i="16"/>
  <c r="I186" i="16"/>
  <c r="H186" i="16"/>
  <c r="F186" i="16"/>
  <c r="D186" i="16"/>
  <c r="Q185" i="16"/>
  <c r="O185" i="16"/>
  <c r="M185" i="16"/>
  <c r="L185" i="16"/>
  <c r="K185" i="16"/>
  <c r="J185" i="16"/>
  <c r="I185" i="16"/>
  <c r="H185" i="16"/>
  <c r="G185" i="16"/>
  <c r="F185" i="16"/>
  <c r="D185" i="16"/>
  <c r="Q180" i="16"/>
  <c r="P180" i="16"/>
  <c r="O180" i="16"/>
  <c r="N180" i="16"/>
  <c r="M180" i="16"/>
  <c r="L180" i="16"/>
  <c r="K180" i="16"/>
  <c r="J180" i="16"/>
  <c r="I180" i="16"/>
  <c r="H180" i="16"/>
  <c r="G180" i="16"/>
  <c r="F180" i="16"/>
  <c r="E180" i="16"/>
  <c r="D180" i="16"/>
  <c r="C180" i="16"/>
  <c r="B180" i="16"/>
  <c r="Q179" i="16"/>
  <c r="P179" i="16"/>
  <c r="O179" i="16"/>
  <c r="N179" i="16"/>
  <c r="M179" i="16"/>
  <c r="L179" i="16"/>
  <c r="K179" i="16"/>
  <c r="J179" i="16"/>
  <c r="I179" i="16"/>
  <c r="H179" i="16"/>
  <c r="G179" i="16"/>
  <c r="F179" i="16"/>
  <c r="E179" i="16"/>
  <c r="D179" i="16"/>
  <c r="C179" i="16"/>
  <c r="B179" i="16"/>
  <c r="Q174" i="16"/>
  <c r="P174" i="16"/>
  <c r="O174" i="16"/>
  <c r="N174" i="16"/>
  <c r="M174" i="16"/>
  <c r="L174" i="16"/>
  <c r="K174" i="16"/>
  <c r="J174" i="16"/>
  <c r="I174" i="16"/>
  <c r="H174" i="16"/>
  <c r="G174" i="16"/>
  <c r="F174" i="16"/>
  <c r="E174" i="16"/>
  <c r="D174" i="16"/>
  <c r="C174" i="16"/>
  <c r="B174" i="16"/>
  <c r="Q173" i="16"/>
  <c r="P173" i="16"/>
  <c r="O173" i="16"/>
  <c r="N173" i="16"/>
  <c r="M173" i="16"/>
  <c r="L173" i="16"/>
  <c r="K173" i="16"/>
  <c r="J173" i="16"/>
  <c r="I173" i="16"/>
  <c r="H173" i="16"/>
  <c r="G173" i="16"/>
  <c r="F173" i="16"/>
  <c r="E173" i="16"/>
  <c r="D173" i="16"/>
  <c r="C173" i="16"/>
  <c r="B173" i="16"/>
  <c r="Q168" i="16"/>
  <c r="P168" i="16"/>
  <c r="O168" i="16"/>
  <c r="N168" i="16"/>
  <c r="M168" i="16"/>
  <c r="L168" i="16"/>
  <c r="K168" i="16"/>
  <c r="J168" i="16"/>
  <c r="I168" i="16"/>
  <c r="H168" i="16"/>
  <c r="G168" i="16"/>
  <c r="F168" i="16"/>
  <c r="E168" i="16"/>
  <c r="D168" i="16"/>
  <c r="C168" i="16"/>
  <c r="B168" i="16"/>
  <c r="Q167" i="16"/>
  <c r="P167" i="16"/>
  <c r="O167" i="16"/>
  <c r="N167" i="16"/>
  <c r="M167" i="16"/>
  <c r="L167" i="16"/>
  <c r="K167" i="16"/>
  <c r="J167" i="16"/>
  <c r="I167" i="16"/>
  <c r="H167" i="16"/>
  <c r="G167" i="16"/>
  <c r="F167" i="16"/>
  <c r="E167" i="16"/>
  <c r="D167" i="16"/>
  <c r="C167" i="16"/>
  <c r="B167" i="16"/>
  <c r="Q162" i="16"/>
  <c r="P162" i="16"/>
  <c r="O162" i="16"/>
  <c r="N162" i="16"/>
  <c r="M162" i="16"/>
  <c r="L162" i="16"/>
  <c r="K162" i="16"/>
  <c r="J162" i="16"/>
  <c r="I162" i="16"/>
  <c r="H162" i="16"/>
  <c r="G162" i="16"/>
  <c r="F162" i="16"/>
  <c r="E162" i="16"/>
  <c r="D162" i="16"/>
  <c r="C162" i="16"/>
  <c r="B162" i="16"/>
  <c r="Q161" i="16"/>
  <c r="P161" i="16"/>
  <c r="O161" i="16"/>
  <c r="N161" i="16"/>
  <c r="M161" i="16"/>
  <c r="L161" i="16"/>
  <c r="K161" i="16"/>
  <c r="J161" i="16"/>
  <c r="I161" i="16"/>
  <c r="H161" i="16"/>
  <c r="G161" i="16"/>
  <c r="F161" i="16"/>
  <c r="E161" i="16"/>
  <c r="D161" i="16"/>
  <c r="C161" i="16"/>
  <c r="B161" i="16"/>
  <c r="Q156" i="16"/>
  <c r="P156" i="16"/>
  <c r="O156" i="16"/>
  <c r="N156" i="16"/>
  <c r="M156" i="16"/>
  <c r="L156" i="16"/>
  <c r="K156" i="16"/>
  <c r="J156" i="16"/>
  <c r="I156" i="16"/>
  <c r="H156" i="16"/>
  <c r="G156" i="16"/>
  <c r="F156" i="16"/>
  <c r="E156" i="16"/>
  <c r="D156" i="16"/>
  <c r="C156" i="16"/>
  <c r="B156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B150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BA105" i="16"/>
  <c r="AZ105" i="16"/>
  <c r="AY105" i="16"/>
  <c r="AW105" i="16"/>
  <c r="AV105" i="16"/>
  <c r="AU105" i="16"/>
  <c r="AT105" i="16"/>
  <c r="AS105" i="16"/>
  <c r="AR105" i="16"/>
  <c r="AQ105" i="16"/>
  <c r="AP105" i="16"/>
  <c r="AO105" i="16"/>
  <c r="AN105" i="16"/>
  <c r="AM105" i="16"/>
  <c r="AL105" i="16"/>
  <c r="AX104" i="16"/>
  <c r="AX103" i="16"/>
  <c r="AX102" i="16"/>
  <c r="AX101" i="16"/>
  <c r="AX100" i="16"/>
  <c r="AX99" i="16"/>
  <c r="BA96" i="16"/>
  <c r="AZ96" i="16"/>
  <c r="AY96" i="16"/>
  <c r="AW96" i="16"/>
  <c r="AV96" i="16"/>
  <c r="AU96" i="16"/>
  <c r="AT96" i="16"/>
  <c r="AS96" i="16"/>
  <c r="AR96" i="16"/>
  <c r="AQ96" i="16"/>
  <c r="AP96" i="16"/>
  <c r="AO96" i="16"/>
  <c r="AN96" i="16"/>
  <c r="AM96" i="16"/>
  <c r="AL96" i="16"/>
  <c r="AI96" i="16"/>
  <c r="AH96" i="16"/>
  <c r="AG96" i="16"/>
  <c r="AE96" i="16"/>
  <c r="AD96" i="16"/>
  <c r="AC96" i="16"/>
  <c r="AB96" i="16"/>
  <c r="AA96" i="16"/>
  <c r="Z96" i="16"/>
  <c r="Y96" i="16"/>
  <c r="X96" i="16"/>
  <c r="W96" i="16"/>
  <c r="V96" i="16"/>
  <c r="U96" i="16"/>
  <c r="T96" i="16"/>
  <c r="Q96" i="16"/>
  <c r="P96" i="16"/>
  <c r="O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AX95" i="16"/>
  <c r="AF95" i="16"/>
  <c r="N95" i="16"/>
  <c r="AX94" i="16"/>
  <c r="AF94" i="16"/>
  <c r="N94" i="16"/>
  <c r="AX93" i="16"/>
  <c r="AF93" i="16"/>
  <c r="N93" i="16"/>
  <c r="AX92" i="16"/>
  <c r="AF92" i="16"/>
  <c r="N92" i="16"/>
  <c r="AX91" i="16"/>
  <c r="AF91" i="16"/>
  <c r="N91" i="16"/>
  <c r="AX90" i="16"/>
  <c r="AF90" i="16"/>
  <c r="N90" i="16"/>
  <c r="BA87" i="16"/>
  <c r="AZ87" i="16"/>
  <c r="AY87" i="16"/>
  <c r="AW87" i="16"/>
  <c r="AV87" i="16"/>
  <c r="AU87" i="16"/>
  <c r="AT87" i="16"/>
  <c r="AS87" i="16"/>
  <c r="AR87" i="16"/>
  <c r="AQ87" i="16"/>
  <c r="AP87" i="16"/>
  <c r="AO87" i="16"/>
  <c r="AN87" i="16"/>
  <c r="AM87" i="16"/>
  <c r="AL87" i="16"/>
  <c r="AI87" i="16"/>
  <c r="AH87" i="16"/>
  <c r="AG87" i="16"/>
  <c r="AE87" i="16"/>
  <c r="AD87" i="16"/>
  <c r="AC87" i="16"/>
  <c r="AB87" i="16"/>
  <c r="AA87" i="16"/>
  <c r="Z87" i="16"/>
  <c r="Y87" i="16"/>
  <c r="X87" i="16"/>
  <c r="W87" i="16"/>
  <c r="V87" i="16"/>
  <c r="U87" i="16"/>
  <c r="T87" i="16"/>
  <c r="Q87" i="16"/>
  <c r="P87" i="16"/>
  <c r="O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AX86" i="16"/>
  <c r="AF86" i="16"/>
  <c r="N86" i="16"/>
  <c r="AX85" i="16"/>
  <c r="AF85" i="16"/>
  <c r="N85" i="16"/>
  <c r="AX84" i="16"/>
  <c r="AF84" i="16"/>
  <c r="N84" i="16"/>
  <c r="AX83" i="16"/>
  <c r="AF83" i="16"/>
  <c r="N83" i="16"/>
  <c r="AX82" i="16"/>
  <c r="AF82" i="16"/>
  <c r="N82" i="16"/>
  <c r="AX81" i="16"/>
  <c r="AF81" i="16"/>
  <c r="N81" i="16"/>
  <c r="BA78" i="16"/>
  <c r="AZ78" i="16"/>
  <c r="AY78" i="16"/>
  <c r="AW78" i="16"/>
  <c r="AV78" i="16"/>
  <c r="AU78" i="16"/>
  <c r="AT78" i="16"/>
  <c r="AS78" i="16"/>
  <c r="AR78" i="16"/>
  <c r="AQ78" i="16"/>
  <c r="AP78" i="16"/>
  <c r="AO78" i="16"/>
  <c r="AN78" i="16"/>
  <c r="AM78" i="16"/>
  <c r="AL78" i="16"/>
  <c r="AI78" i="16"/>
  <c r="AH78" i="16"/>
  <c r="AG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AX77" i="16"/>
  <c r="AF77" i="16"/>
  <c r="AX76" i="16"/>
  <c r="AF76" i="16"/>
  <c r="AX75" i="16"/>
  <c r="AF75" i="16"/>
  <c r="AX74" i="16"/>
  <c r="AF74" i="16"/>
  <c r="AX73" i="16"/>
  <c r="AF73" i="16"/>
  <c r="AX72" i="16"/>
  <c r="AF72" i="16"/>
  <c r="BA69" i="16"/>
  <c r="AZ69" i="16"/>
  <c r="AY69" i="16"/>
  <c r="AW69" i="16"/>
  <c r="AV69" i="16"/>
  <c r="AU69" i="16"/>
  <c r="AT69" i="16"/>
  <c r="AS69" i="16"/>
  <c r="AR69" i="16"/>
  <c r="AQ69" i="16"/>
  <c r="AP69" i="16"/>
  <c r="AO69" i="16"/>
  <c r="AN69" i="16"/>
  <c r="AM69" i="16"/>
  <c r="AL69" i="16"/>
  <c r="AI69" i="16"/>
  <c r="AH69" i="16"/>
  <c r="AG69" i="16"/>
  <c r="AE69" i="16"/>
  <c r="AD69" i="16"/>
  <c r="AC69" i="16"/>
  <c r="AB69" i="16"/>
  <c r="AA69" i="16"/>
  <c r="Z69" i="16"/>
  <c r="Y69" i="16"/>
  <c r="X69" i="16"/>
  <c r="W69" i="16"/>
  <c r="V69" i="16"/>
  <c r="U69" i="16"/>
  <c r="T69" i="16"/>
  <c r="Q69" i="16"/>
  <c r="P69" i="16"/>
  <c r="O69" i="16"/>
  <c r="M69" i="16"/>
  <c r="L69" i="16"/>
  <c r="K69" i="16"/>
  <c r="J69" i="16"/>
  <c r="I69" i="16"/>
  <c r="H69" i="16"/>
  <c r="G69" i="16"/>
  <c r="F69" i="16"/>
  <c r="E69" i="16"/>
  <c r="D69" i="16"/>
  <c r="C69" i="16"/>
  <c r="B69" i="16"/>
  <c r="AX68" i="16"/>
  <c r="AF68" i="16"/>
  <c r="N68" i="16"/>
  <c r="AX67" i="16"/>
  <c r="AF67" i="16"/>
  <c r="N67" i="16"/>
  <c r="AX66" i="16"/>
  <c r="AF66" i="16"/>
  <c r="N66" i="16"/>
  <c r="AX65" i="16"/>
  <c r="AF65" i="16"/>
  <c r="N65" i="16"/>
  <c r="AX64" i="16"/>
  <c r="AF64" i="16"/>
  <c r="N64" i="16"/>
  <c r="AX63" i="16"/>
  <c r="AF63" i="16"/>
  <c r="N63" i="16"/>
  <c r="BA60" i="16"/>
  <c r="AZ60" i="16"/>
  <c r="AY60" i="16"/>
  <c r="AW60" i="16"/>
  <c r="AV60" i="16"/>
  <c r="AU60" i="16"/>
  <c r="AT60" i="16"/>
  <c r="AS60" i="16"/>
  <c r="AR60" i="16"/>
  <c r="AQ60" i="16"/>
  <c r="AP60" i="16"/>
  <c r="AO60" i="16"/>
  <c r="AN60" i="16"/>
  <c r="AM60" i="16"/>
  <c r="AL60" i="16"/>
  <c r="AI60" i="16"/>
  <c r="AH60" i="16"/>
  <c r="AG60" i="16"/>
  <c r="AE60" i="16"/>
  <c r="AD60" i="16"/>
  <c r="AC60" i="16"/>
  <c r="AB60" i="16"/>
  <c r="AA60" i="16"/>
  <c r="Z60" i="16"/>
  <c r="Y60" i="16"/>
  <c r="X60" i="16"/>
  <c r="W60" i="16"/>
  <c r="V60" i="16"/>
  <c r="U60" i="16"/>
  <c r="T60" i="16"/>
  <c r="Q60" i="16"/>
  <c r="P60" i="16"/>
  <c r="O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AX59" i="16"/>
  <c r="AF59" i="16"/>
  <c r="N59" i="16"/>
  <c r="AX58" i="16"/>
  <c r="AF58" i="16"/>
  <c r="N58" i="16"/>
  <c r="AX57" i="16"/>
  <c r="AF57" i="16"/>
  <c r="N57" i="16"/>
  <c r="AX56" i="16"/>
  <c r="AF56" i="16"/>
  <c r="N56" i="16"/>
  <c r="AX55" i="16"/>
  <c r="AF55" i="16"/>
  <c r="N55" i="16"/>
  <c r="AX54" i="16"/>
  <c r="AF54" i="16"/>
  <c r="N54" i="16"/>
  <c r="BA51" i="16"/>
  <c r="AZ51" i="16"/>
  <c r="AY51" i="16"/>
  <c r="AW51" i="16"/>
  <c r="AV51" i="16"/>
  <c r="AU51" i="16"/>
  <c r="AT51" i="16"/>
  <c r="AS51" i="16"/>
  <c r="AR51" i="16"/>
  <c r="AQ51" i="16"/>
  <c r="AP51" i="16"/>
  <c r="AO51" i="16"/>
  <c r="AN51" i="16"/>
  <c r="AM51" i="16"/>
  <c r="AL51" i="16"/>
  <c r="AI51" i="16"/>
  <c r="AH51" i="16"/>
  <c r="AG51" i="16"/>
  <c r="AE51" i="16"/>
  <c r="AD51" i="16"/>
  <c r="AC51" i="16"/>
  <c r="AB51" i="16"/>
  <c r="AA51" i="16"/>
  <c r="Z51" i="16"/>
  <c r="Y51" i="16"/>
  <c r="X51" i="16"/>
  <c r="W51" i="16"/>
  <c r="V51" i="16"/>
  <c r="U51" i="16"/>
  <c r="T51" i="16"/>
  <c r="Q51" i="16"/>
  <c r="P51" i="16"/>
  <c r="O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AX50" i="16"/>
  <c r="AF50" i="16"/>
  <c r="N50" i="16"/>
  <c r="AX49" i="16"/>
  <c r="AF49" i="16"/>
  <c r="N49" i="16"/>
  <c r="AX48" i="16"/>
  <c r="AF48" i="16"/>
  <c r="N48" i="16"/>
  <c r="AX47" i="16"/>
  <c r="AF47" i="16"/>
  <c r="N47" i="16"/>
  <c r="AX46" i="16"/>
  <c r="AF46" i="16"/>
  <c r="N46" i="16"/>
  <c r="AX45" i="16"/>
  <c r="AF45" i="16"/>
  <c r="N45" i="16"/>
  <c r="BA42" i="16"/>
  <c r="AZ42" i="16"/>
  <c r="AY42" i="16"/>
  <c r="AW42" i="16"/>
  <c r="AV42" i="16"/>
  <c r="AU42" i="16"/>
  <c r="AT42" i="16"/>
  <c r="AS42" i="16"/>
  <c r="AR42" i="16"/>
  <c r="AQ42" i="16"/>
  <c r="AP42" i="16"/>
  <c r="AO42" i="16"/>
  <c r="AN42" i="16"/>
  <c r="AM42" i="16"/>
  <c r="AL42" i="16"/>
  <c r="AI42" i="16"/>
  <c r="AH42" i="16"/>
  <c r="AG42" i="16"/>
  <c r="AE42" i="16"/>
  <c r="AD42" i="16"/>
  <c r="AC42" i="16"/>
  <c r="AB42" i="16"/>
  <c r="AA42" i="16"/>
  <c r="Z42" i="16"/>
  <c r="Y42" i="16"/>
  <c r="X42" i="16"/>
  <c r="W42" i="16"/>
  <c r="V42" i="16"/>
  <c r="U42" i="16"/>
  <c r="T42" i="16"/>
  <c r="Q42" i="16"/>
  <c r="P42" i="16"/>
  <c r="O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AX41" i="16"/>
  <c r="AF41" i="16"/>
  <c r="N41" i="16"/>
  <c r="AX40" i="16"/>
  <c r="AF40" i="16"/>
  <c r="N40" i="16"/>
  <c r="AX39" i="16"/>
  <c r="AF39" i="16"/>
  <c r="N39" i="16"/>
  <c r="AX38" i="16"/>
  <c r="AF38" i="16"/>
  <c r="N38" i="16"/>
  <c r="AX37" i="16"/>
  <c r="AF37" i="16"/>
  <c r="N37" i="16"/>
  <c r="AX36" i="16"/>
  <c r="AF36" i="16"/>
  <c r="N36" i="16"/>
  <c r="BA33" i="16"/>
  <c r="AZ33" i="16"/>
  <c r="AY33" i="16"/>
  <c r="AW33" i="16"/>
  <c r="AV33" i="16"/>
  <c r="AU33" i="16"/>
  <c r="AT33" i="16"/>
  <c r="AS33" i="16"/>
  <c r="AR33" i="16"/>
  <c r="AQ33" i="16"/>
  <c r="AP33" i="16"/>
  <c r="AO33" i="16"/>
  <c r="AN33" i="16"/>
  <c r="AM33" i="16"/>
  <c r="AL33" i="16"/>
  <c r="AI33" i="16"/>
  <c r="AH33" i="16"/>
  <c r="AG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Q33" i="16"/>
  <c r="P33" i="16"/>
  <c r="O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AX32" i="16"/>
  <c r="AF32" i="16"/>
  <c r="N32" i="16"/>
  <c r="AX31" i="16"/>
  <c r="AF31" i="16"/>
  <c r="N31" i="16"/>
  <c r="AX30" i="16"/>
  <c r="AF30" i="16"/>
  <c r="N30" i="16"/>
  <c r="AX29" i="16"/>
  <c r="AF29" i="16"/>
  <c r="N29" i="16"/>
  <c r="AX28" i="16"/>
  <c r="AF28" i="16"/>
  <c r="N28" i="16"/>
  <c r="AX27" i="16"/>
  <c r="AF27" i="16"/>
  <c r="N27" i="16"/>
  <c r="BA24" i="16"/>
  <c r="AZ24" i="16"/>
  <c r="AY24" i="16"/>
  <c r="AW24" i="16"/>
  <c r="AV24" i="16"/>
  <c r="AU24" i="16"/>
  <c r="AT24" i="16"/>
  <c r="AS24" i="16"/>
  <c r="AR24" i="16"/>
  <c r="AQ24" i="16"/>
  <c r="AP24" i="16"/>
  <c r="AO24" i="16"/>
  <c r="AN24" i="16"/>
  <c r="AM24" i="16"/>
  <c r="AL24" i="16"/>
  <c r="AI24" i="16"/>
  <c r="AH24" i="16"/>
  <c r="AG24" i="16"/>
  <c r="AE24" i="16"/>
  <c r="AD24" i="16"/>
  <c r="AC24" i="16"/>
  <c r="AB24" i="16"/>
  <c r="AA24" i="16"/>
  <c r="Z24" i="16"/>
  <c r="Y24" i="16"/>
  <c r="X24" i="16"/>
  <c r="W24" i="16"/>
  <c r="V24" i="16"/>
  <c r="U24" i="16"/>
  <c r="T24" i="16"/>
  <c r="Q24" i="16"/>
  <c r="P24" i="16"/>
  <c r="O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AX23" i="16"/>
  <c r="AF23" i="16"/>
  <c r="N23" i="16"/>
  <c r="AX22" i="16"/>
  <c r="AF22" i="16"/>
  <c r="N22" i="16"/>
  <c r="AX21" i="16"/>
  <c r="AF21" i="16"/>
  <c r="N21" i="16"/>
  <c r="AX20" i="16"/>
  <c r="AF20" i="16"/>
  <c r="N20" i="16"/>
  <c r="AX19" i="16"/>
  <c r="AF19" i="16"/>
  <c r="N19" i="16"/>
  <c r="AX18" i="16"/>
  <c r="AF18" i="16"/>
  <c r="N18" i="16"/>
  <c r="BA15" i="16"/>
  <c r="AZ15" i="16"/>
  <c r="AY15" i="16"/>
  <c r="AW15" i="16"/>
  <c r="AV15" i="16"/>
  <c r="AU15" i="16"/>
  <c r="AT15" i="16"/>
  <c r="AS15" i="16"/>
  <c r="AR15" i="16"/>
  <c r="AQ15" i="16"/>
  <c r="AP15" i="16"/>
  <c r="AO15" i="16"/>
  <c r="AN15" i="16"/>
  <c r="AM15" i="16"/>
  <c r="AL15" i="16"/>
  <c r="AI15" i="16"/>
  <c r="AH15" i="16"/>
  <c r="AG15" i="16"/>
  <c r="AE15" i="16"/>
  <c r="AD15" i="16"/>
  <c r="AC15" i="16"/>
  <c r="AB15" i="16"/>
  <c r="AA15" i="16"/>
  <c r="Z15" i="16"/>
  <c r="Y15" i="16"/>
  <c r="X15" i="16"/>
  <c r="W15" i="16"/>
  <c r="V15" i="16"/>
  <c r="U15" i="16"/>
  <c r="T15" i="16"/>
  <c r="Q15" i="16"/>
  <c r="P15" i="16"/>
  <c r="O15" i="16"/>
  <c r="M15" i="16"/>
  <c r="L15" i="16"/>
  <c r="K15" i="16"/>
  <c r="J15" i="16"/>
  <c r="I15" i="16"/>
  <c r="H15" i="16"/>
  <c r="G15" i="16"/>
  <c r="F15" i="16"/>
  <c r="E15" i="16"/>
  <c r="D15" i="16"/>
  <c r="C15" i="16"/>
  <c r="B15" i="16"/>
  <c r="AX14" i="16"/>
  <c r="AF14" i="16"/>
  <c r="N14" i="16"/>
  <c r="AX13" i="16"/>
  <c r="AF13" i="16"/>
  <c r="N13" i="16"/>
  <c r="AX12" i="16"/>
  <c r="AF12" i="16"/>
  <c r="N12" i="16"/>
  <c r="AX11" i="16"/>
  <c r="AF11" i="16"/>
  <c r="N11" i="16"/>
  <c r="AX10" i="16"/>
  <c r="AF10" i="16"/>
  <c r="N10" i="16"/>
  <c r="AX9" i="16"/>
  <c r="AF9" i="16"/>
  <c r="N9" i="16"/>
  <c r="B5" i="16"/>
  <c r="B6" i="16"/>
  <c r="H6" i="16"/>
  <c r="G6" i="16"/>
  <c r="F6" i="16"/>
  <c r="E6" i="16"/>
  <c r="D6" i="16"/>
  <c r="C6" i="16"/>
  <c r="H5" i="16"/>
  <c r="G5" i="16"/>
  <c r="F5" i="16"/>
  <c r="E5" i="16"/>
  <c r="D5" i="16"/>
  <c r="C5" i="16"/>
  <c r="I4" i="16"/>
  <c r="I3" i="16"/>
  <c r="I2" i="16"/>
  <c r="C245" i="15"/>
  <c r="G245" i="15"/>
  <c r="H245" i="15"/>
  <c r="I245" i="15"/>
  <c r="J245" i="15"/>
  <c r="K245" i="15"/>
  <c r="L245" i="15"/>
  <c r="M245" i="15"/>
  <c r="O245" i="15"/>
  <c r="P245" i="15"/>
  <c r="Q245" i="15"/>
  <c r="C246" i="15"/>
  <c r="G246" i="15"/>
  <c r="H246" i="15"/>
  <c r="I246" i="15"/>
  <c r="J246" i="15"/>
  <c r="K246" i="15"/>
  <c r="L246" i="15"/>
  <c r="M246" i="15"/>
  <c r="O246" i="15"/>
  <c r="P246" i="15"/>
  <c r="Q246" i="15"/>
  <c r="B245" i="15"/>
  <c r="AF152" i="15"/>
  <c r="AI162" i="15"/>
  <c r="AH162" i="15"/>
  <c r="AG162" i="15"/>
  <c r="AE162" i="15"/>
  <c r="AD162" i="15"/>
  <c r="AC162" i="15"/>
  <c r="AB162" i="15"/>
  <c r="AA162" i="15"/>
  <c r="Z162" i="15"/>
  <c r="Y162" i="15"/>
  <c r="X162" i="15"/>
  <c r="W162" i="15"/>
  <c r="V162" i="15"/>
  <c r="U162" i="15"/>
  <c r="T162" i="15"/>
  <c r="AF161" i="15"/>
  <c r="AF160" i="15"/>
  <c r="AF159" i="15"/>
  <c r="AF158" i="15"/>
  <c r="AF157" i="15"/>
  <c r="AF156" i="15"/>
  <c r="AF155" i="15"/>
  <c r="AF154" i="15"/>
  <c r="AF153" i="15"/>
  <c r="N141" i="15"/>
  <c r="N68" i="15"/>
  <c r="N54" i="15"/>
  <c r="N35" i="15"/>
  <c r="N22" i="15"/>
  <c r="N9" i="15"/>
  <c r="I2" i="15"/>
  <c r="P221" i="15"/>
  <c r="O221" i="15"/>
  <c r="N221" i="15"/>
  <c r="M221" i="15"/>
  <c r="L221" i="15"/>
  <c r="K221" i="15"/>
  <c r="J221" i="15"/>
  <c r="I221" i="15"/>
  <c r="H221" i="15"/>
  <c r="G221" i="15"/>
  <c r="F221" i="15"/>
  <c r="E221" i="15"/>
  <c r="D221" i="15"/>
  <c r="Q221" i="15"/>
  <c r="Q222" i="15"/>
  <c r="P222" i="15"/>
  <c r="O222" i="15"/>
  <c r="N222" i="15"/>
  <c r="M222" i="15"/>
  <c r="L222" i="15"/>
  <c r="K222" i="15"/>
  <c r="J222" i="15"/>
  <c r="I222" i="15"/>
  <c r="H222" i="15"/>
  <c r="G222" i="15"/>
  <c r="F222" i="15"/>
  <c r="E222" i="15"/>
  <c r="D222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Q233" i="15"/>
  <c r="P233" i="15"/>
  <c r="O233" i="15"/>
  <c r="N233" i="15"/>
  <c r="M233" i="15"/>
  <c r="L233" i="15"/>
  <c r="K233" i="15"/>
  <c r="J233" i="15"/>
  <c r="I233" i="15"/>
  <c r="H233" i="15"/>
  <c r="G233" i="15"/>
  <c r="F233" i="15"/>
  <c r="E233" i="15"/>
  <c r="D233" i="15"/>
  <c r="C233" i="15"/>
  <c r="B233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Q216" i="15"/>
  <c r="P216" i="15"/>
  <c r="O216" i="15"/>
  <c r="N216" i="15"/>
  <c r="M216" i="15"/>
  <c r="L216" i="15"/>
  <c r="K216" i="15"/>
  <c r="J216" i="15"/>
  <c r="I216" i="15"/>
  <c r="H216" i="15"/>
  <c r="G216" i="15"/>
  <c r="F216" i="15"/>
  <c r="E216" i="15"/>
  <c r="D216" i="15"/>
  <c r="C216" i="15"/>
  <c r="B216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Q210" i="15"/>
  <c r="P210" i="15"/>
  <c r="O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Q209" i="15"/>
  <c r="P209" i="15"/>
  <c r="O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Q204" i="15"/>
  <c r="P204" i="15"/>
  <c r="O204" i="15"/>
  <c r="N204" i="15"/>
  <c r="M204" i="15"/>
  <c r="L204" i="15"/>
  <c r="K204" i="15"/>
  <c r="J204" i="15"/>
  <c r="I204" i="15"/>
  <c r="H204" i="15"/>
  <c r="G204" i="15"/>
  <c r="F204" i="15"/>
  <c r="E204" i="15"/>
  <c r="D204" i="15"/>
  <c r="C204" i="15"/>
  <c r="B204" i="15"/>
  <c r="Q203" i="15"/>
  <c r="P203" i="15"/>
  <c r="O203" i="15"/>
  <c r="N203" i="15"/>
  <c r="M203" i="15"/>
  <c r="L203" i="15"/>
  <c r="K203" i="15"/>
  <c r="J203" i="15"/>
  <c r="I203" i="15"/>
  <c r="H203" i="15"/>
  <c r="G203" i="15"/>
  <c r="F203" i="15"/>
  <c r="E203" i="15"/>
  <c r="D203" i="15"/>
  <c r="C203" i="15"/>
  <c r="B203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Q186" i="15"/>
  <c r="P186" i="15"/>
  <c r="O186" i="15"/>
  <c r="N186" i="15"/>
  <c r="M186" i="15"/>
  <c r="L186" i="15"/>
  <c r="K186" i="15"/>
  <c r="J186" i="15"/>
  <c r="I186" i="15"/>
  <c r="H186" i="15"/>
  <c r="G186" i="15"/>
  <c r="F186" i="15"/>
  <c r="E186" i="15"/>
  <c r="D186" i="15"/>
  <c r="C186" i="15"/>
  <c r="B186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BA110" i="15"/>
  <c r="AZ110" i="15"/>
  <c r="AY110" i="15"/>
  <c r="AW110" i="15"/>
  <c r="AV110" i="15"/>
  <c r="AU110" i="15"/>
  <c r="AT110" i="15"/>
  <c r="AS110" i="15"/>
  <c r="AR110" i="15"/>
  <c r="AQ110" i="15"/>
  <c r="AP110" i="15"/>
  <c r="AO110" i="15"/>
  <c r="AN110" i="15"/>
  <c r="AM110" i="15"/>
  <c r="AL110" i="15"/>
  <c r="AX109" i="15"/>
  <c r="AX108" i="15"/>
  <c r="AX107" i="15"/>
  <c r="AX106" i="15"/>
  <c r="AX105" i="15"/>
  <c r="AX104" i="15"/>
  <c r="AX103" i="15"/>
  <c r="AX102" i="15"/>
  <c r="AX101" i="15"/>
  <c r="AX100" i="15"/>
  <c r="AI149" i="15"/>
  <c r="AH149" i="15"/>
  <c r="AG149" i="15"/>
  <c r="AE149" i="15"/>
  <c r="AD149" i="15"/>
  <c r="AC149" i="15"/>
  <c r="AB149" i="15"/>
  <c r="AA149" i="15"/>
  <c r="Z149" i="15"/>
  <c r="Y149" i="15"/>
  <c r="X149" i="15"/>
  <c r="W149" i="15"/>
  <c r="V149" i="15"/>
  <c r="U149" i="15"/>
  <c r="T149" i="15"/>
  <c r="Q149" i="15"/>
  <c r="P149" i="15"/>
  <c r="O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AF148" i="15"/>
  <c r="N148" i="15"/>
  <c r="AF147" i="15"/>
  <c r="N147" i="15"/>
  <c r="AF146" i="15"/>
  <c r="N146" i="15"/>
  <c r="AF145" i="15"/>
  <c r="N145" i="15"/>
  <c r="AF144" i="15"/>
  <c r="N144" i="15"/>
  <c r="AF143" i="15"/>
  <c r="N143" i="15"/>
  <c r="AF142" i="15"/>
  <c r="N142" i="15"/>
  <c r="AF141" i="15"/>
  <c r="AF140" i="15"/>
  <c r="N140" i="15"/>
  <c r="AF139" i="15"/>
  <c r="N139" i="15"/>
  <c r="BA136" i="15"/>
  <c r="AZ136" i="15"/>
  <c r="AY136" i="15"/>
  <c r="AW136" i="15"/>
  <c r="AV136" i="15"/>
  <c r="AU136" i="15"/>
  <c r="AT136" i="15"/>
  <c r="AS136" i="15"/>
  <c r="AR136" i="15"/>
  <c r="AQ136" i="15"/>
  <c r="AP136" i="15"/>
  <c r="AO136" i="15"/>
  <c r="AN136" i="15"/>
  <c r="AM136" i="15"/>
  <c r="AL136" i="15"/>
  <c r="AI136" i="15"/>
  <c r="AH136" i="15"/>
  <c r="AG136" i="15"/>
  <c r="AE136" i="15"/>
  <c r="AD136" i="15"/>
  <c r="AC136" i="15"/>
  <c r="AB136" i="15"/>
  <c r="AA136" i="15"/>
  <c r="Z136" i="15"/>
  <c r="Y136" i="15"/>
  <c r="X136" i="15"/>
  <c r="W136" i="15"/>
  <c r="V136" i="15"/>
  <c r="U136" i="15"/>
  <c r="T136" i="15"/>
  <c r="Q136" i="15"/>
  <c r="P136" i="15"/>
  <c r="O136" i="15"/>
  <c r="M136" i="15"/>
  <c r="L136" i="15"/>
  <c r="K136" i="15"/>
  <c r="J136" i="15"/>
  <c r="I136" i="15"/>
  <c r="H136" i="15"/>
  <c r="G136" i="15"/>
  <c r="F136" i="15"/>
  <c r="E136" i="15"/>
  <c r="D136" i="15"/>
  <c r="C136" i="15"/>
  <c r="B136" i="15"/>
  <c r="AX135" i="15"/>
  <c r="AF135" i="15"/>
  <c r="N135" i="15"/>
  <c r="AX134" i="15"/>
  <c r="AF134" i="15"/>
  <c r="N134" i="15"/>
  <c r="AX133" i="15"/>
  <c r="AF133" i="15"/>
  <c r="N133" i="15"/>
  <c r="AX132" i="15"/>
  <c r="AF132" i="15"/>
  <c r="N132" i="15"/>
  <c r="AX131" i="15"/>
  <c r="AF131" i="15"/>
  <c r="N131" i="15"/>
  <c r="AX130" i="15"/>
  <c r="AF130" i="15"/>
  <c r="N130" i="15"/>
  <c r="AX129" i="15"/>
  <c r="AF129" i="15"/>
  <c r="N129" i="15"/>
  <c r="AX128" i="15"/>
  <c r="AF128" i="15"/>
  <c r="N128" i="15"/>
  <c r="AX127" i="15"/>
  <c r="AF127" i="15"/>
  <c r="N127" i="15"/>
  <c r="AX126" i="15"/>
  <c r="AF126" i="15"/>
  <c r="N126" i="15"/>
  <c r="BA123" i="15"/>
  <c r="AZ123" i="15"/>
  <c r="AY123" i="15"/>
  <c r="AW123" i="15"/>
  <c r="AV123" i="15"/>
  <c r="AU123" i="15"/>
  <c r="AT123" i="15"/>
  <c r="AS123" i="15"/>
  <c r="AR123" i="15"/>
  <c r="AQ123" i="15"/>
  <c r="AP123" i="15"/>
  <c r="AO123" i="15"/>
  <c r="AN123" i="15"/>
  <c r="AM123" i="15"/>
  <c r="AL123" i="15"/>
  <c r="AI123" i="15"/>
  <c r="AH123" i="15"/>
  <c r="AG123" i="15"/>
  <c r="AE123" i="15"/>
  <c r="AD123" i="15"/>
  <c r="AC123" i="15"/>
  <c r="AB123" i="15"/>
  <c r="AA123" i="15"/>
  <c r="Z123" i="15"/>
  <c r="Y123" i="15"/>
  <c r="X123" i="15"/>
  <c r="W123" i="15"/>
  <c r="V123" i="15"/>
  <c r="U123" i="15"/>
  <c r="T123" i="15"/>
  <c r="Q123" i="15"/>
  <c r="P123" i="15"/>
  <c r="O123" i="15"/>
  <c r="M123" i="15"/>
  <c r="L123" i="15"/>
  <c r="K123" i="15"/>
  <c r="J123" i="15"/>
  <c r="I123" i="15"/>
  <c r="H123" i="15"/>
  <c r="G123" i="15"/>
  <c r="F123" i="15"/>
  <c r="E123" i="15"/>
  <c r="D123" i="15"/>
  <c r="C123" i="15"/>
  <c r="B123" i="15"/>
  <c r="AX122" i="15"/>
  <c r="AF122" i="15"/>
  <c r="N122" i="15"/>
  <c r="AX121" i="15"/>
  <c r="AF121" i="15"/>
  <c r="N121" i="15"/>
  <c r="AX120" i="15"/>
  <c r="AF120" i="15"/>
  <c r="N120" i="15"/>
  <c r="AX119" i="15"/>
  <c r="AF119" i="15"/>
  <c r="N119" i="15"/>
  <c r="AX118" i="15"/>
  <c r="AF118" i="15"/>
  <c r="N118" i="15"/>
  <c r="AX117" i="15"/>
  <c r="AF117" i="15"/>
  <c r="N117" i="15"/>
  <c r="AX116" i="15"/>
  <c r="AF116" i="15"/>
  <c r="N116" i="15"/>
  <c r="AX115" i="15"/>
  <c r="AF115" i="15"/>
  <c r="N115" i="15"/>
  <c r="AX114" i="15"/>
  <c r="AF114" i="15"/>
  <c r="N114" i="15"/>
  <c r="AX113" i="15"/>
  <c r="AF113" i="15"/>
  <c r="N113" i="15"/>
  <c r="BA97" i="15"/>
  <c r="AZ97" i="15"/>
  <c r="AY97" i="15"/>
  <c r="AW97" i="15"/>
  <c r="AV97" i="15"/>
  <c r="AU97" i="15"/>
  <c r="AT97" i="15"/>
  <c r="AS97" i="15"/>
  <c r="AR97" i="15"/>
  <c r="AQ97" i="15"/>
  <c r="AP97" i="15"/>
  <c r="AO97" i="15"/>
  <c r="AN97" i="15"/>
  <c r="AM97" i="15"/>
  <c r="AL97" i="15"/>
  <c r="AI97" i="15"/>
  <c r="AH97" i="15"/>
  <c r="AG97" i="15"/>
  <c r="AE97" i="15"/>
  <c r="AD97" i="15"/>
  <c r="AC97" i="15"/>
  <c r="AB97" i="15"/>
  <c r="AA97" i="15"/>
  <c r="Z97" i="15"/>
  <c r="Y97" i="15"/>
  <c r="X97" i="15"/>
  <c r="W97" i="15"/>
  <c r="V97" i="15"/>
  <c r="U97" i="15"/>
  <c r="T97" i="15"/>
  <c r="Q97" i="15"/>
  <c r="P97" i="15"/>
  <c r="O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AX96" i="15"/>
  <c r="AF96" i="15"/>
  <c r="N96" i="15"/>
  <c r="AX95" i="15"/>
  <c r="AF95" i="15"/>
  <c r="N95" i="15"/>
  <c r="AX94" i="15"/>
  <c r="AF94" i="15"/>
  <c r="N94" i="15"/>
  <c r="AX93" i="15"/>
  <c r="AF93" i="15"/>
  <c r="N93" i="15"/>
  <c r="AX92" i="15"/>
  <c r="AF92" i="15"/>
  <c r="N92" i="15"/>
  <c r="AX91" i="15"/>
  <c r="AF91" i="15"/>
  <c r="N91" i="15"/>
  <c r="AX90" i="15"/>
  <c r="AF90" i="15"/>
  <c r="N90" i="15"/>
  <c r="AX89" i="15"/>
  <c r="AF89" i="15"/>
  <c r="N89" i="15"/>
  <c r="AX88" i="15"/>
  <c r="AF88" i="15"/>
  <c r="N88" i="15"/>
  <c r="AX87" i="15"/>
  <c r="AF87" i="15"/>
  <c r="N87" i="15"/>
  <c r="BA84" i="15"/>
  <c r="AZ84" i="15"/>
  <c r="AY84" i="15"/>
  <c r="AW84" i="15"/>
  <c r="AV84" i="15"/>
  <c r="AU84" i="15"/>
  <c r="AT84" i="15"/>
  <c r="AS84" i="15"/>
  <c r="AR84" i="15"/>
  <c r="AQ84" i="15"/>
  <c r="AP84" i="15"/>
  <c r="AO84" i="15"/>
  <c r="AN84" i="15"/>
  <c r="AM84" i="15"/>
  <c r="AL84" i="15"/>
  <c r="AI84" i="15"/>
  <c r="AH84" i="15"/>
  <c r="AG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Q84" i="15"/>
  <c r="P84" i="15"/>
  <c r="O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X83" i="15"/>
  <c r="AF83" i="15"/>
  <c r="N83" i="15"/>
  <c r="AX82" i="15"/>
  <c r="AF82" i="15"/>
  <c r="N82" i="15"/>
  <c r="AX81" i="15"/>
  <c r="AF81" i="15"/>
  <c r="N81" i="15"/>
  <c r="AX80" i="15"/>
  <c r="AF80" i="15"/>
  <c r="N80" i="15"/>
  <c r="AX79" i="15"/>
  <c r="AF79" i="15"/>
  <c r="N79" i="15"/>
  <c r="AX78" i="15"/>
  <c r="AF78" i="15"/>
  <c r="N78" i="15"/>
  <c r="AX77" i="15"/>
  <c r="AF77" i="15"/>
  <c r="N77" i="15"/>
  <c r="AX76" i="15"/>
  <c r="AF76" i="15"/>
  <c r="N76" i="15"/>
  <c r="AX75" i="15"/>
  <c r="AF75" i="15"/>
  <c r="N75" i="15"/>
  <c r="AX74" i="15"/>
  <c r="AF74" i="15"/>
  <c r="N74" i="15"/>
  <c r="BA71" i="15"/>
  <c r="AZ71" i="15"/>
  <c r="AY71" i="15"/>
  <c r="AW71" i="15"/>
  <c r="AV71" i="15"/>
  <c r="AU71" i="15"/>
  <c r="AT71" i="15"/>
  <c r="AS71" i="15"/>
  <c r="AR71" i="15"/>
  <c r="AQ71" i="15"/>
  <c r="AP71" i="15"/>
  <c r="AO71" i="15"/>
  <c r="AN71" i="15"/>
  <c r="AM71" i="15"/>
  <c r="AL71" i="15"/>
  <c r="AI71" i="15"/>
  <c r="AH71" i="15"/>
  <c r="AG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Q71" i="15"/>
  <c r="P71" i="15"/>
  <c r="O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X70" i="15"/>
  <c r="AF70" i="15"/>
  <c r="N70" i="15"/>
  <c r="AX69" i="15"/>
  <c r="AF69" i="15"/>
  <c r="N69" i="15"/>
  <c r="AX68" i="15"/>
  <c r="AF68" i="15"/>
  <c r="AX67" i="15"/>
  <c r="AF67" i="15"/>
  <c r="N67" i="15"/>
  <c r="AX66" i="15"/>
  <c r="AF66" i="15"/>
  <c r="N66" i="15"/>
  <c r="AX65" i="15"/>
  <c r="AF65" i="15"/>
  <c r="N65" i="15"/>
  <c r="AX64" i="15"/>
  <c r="AF64" i="15"/>
  <c r="N64" i="15"/>
  <c r="AX63" i="15"/>
  <c r="AF63" i="15"/>
  <c r="N63" i="15"/>
  <c r="AX62" i="15"/>
  <c r="AF62" i="15"/>
  <c r="N62" i="15"/>
  <c r="AX61" i="15"/>
  <c r="AF61" i="15"/>
  <c r="N61" i="15"/>
  <c r="BA58" i="15"/>
  <c r="AZ58" i="15"/>
  <c r="AY58" i="15"/>
  <c r="AW58" i="15"/>
  <c r="AV58" i="15"/>
  <c r="AU58" i="15"/>
  <c r="AT58" i="15"/>
  <c r="AS58" i="15"/>
  <c r="AR58" i="15"/>
  <c r="AQ58" i="15"/>
  <c r="AP58" i="15"/>
  <c r="AO58" i="15"/>
  <c r="AN58" i="15"/>
  <c r="AM58" i="15"/>
  <c r="AL58" i="15"/>
  <c r="AI58" i="15"/>
  <c r="AH58" i="15"/>
  <c r="AG58" i="15"/>
  <c r="AE58" i="15"/>
  <c r="AD58" i="15"/>
  <c r="AC58" i="15"/>
  <c r="AB58" i="15"/>
  <c r="AA58" i="15"/>
  <c r="Z58" i="15"/>
  <c r="Y58" i="15"/>
  <c r="X58" i="15"/>
  <c r="W58" i="15"/>
  <c r="V58" i="15"/>
  <c r="U58" i="15"/>
  <c r="T58" i="15"/>
  <c r="Q58" i="15"/>
  <c r="P58" i="15"/>
  <c r="O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X57" i="15"/>
  <c r="AF57" i="15"/>
  <c r="N57" i="15"/>
  <c r="AX56" i="15"/>
  <c r="AF56" i="15"/>
  <c r="N56" i="15"/>
  <c r="AX55" i="15"/>
  <c r="AF55" i="15"/>
  <c r="N55" i="15"/>
  <c r="AX54" i="15"/>
  <c r="AF54" i="15"/>
  <c r="AX53" i="15"/>
  <c r="AF53" i="15"/>
  <c r="N53" i="15"/>
  <c r="AX52" i="15"/>
  <c r="AF52" i="15"/>
  <c r="N52" i="15"/>
  <c r="AX51" i="15"/>
  <c r="AF51" i="15"/>
  <c r="N51" i="15"/>
  <c r="AX50" i="15"/>
  <c r="AF50" i="15"/>
  <c r="N50" i="15"/>
  <c r="AX49" i="15"/>
  <c r="AF49" i="15"/>
  <c r="N49" i="15"/>
  <c r="AX48" i="15"/>
  <c r="AF48" i="15"/>
  <c r="N48" i="15"/>
  <c r="BA45" i="15"/>
  <c r="AZ45" i="15"/>
  <c r="AY45" i="15"/>
  <c r="AW45" i="15"/>
  <c r="AV45" i="15"/>
  <c r="AU45" i="15"/>
  <c r="AT45" i="15"/>
  <c r="AS45" i="15"/>
  <c r="AR45" i="15"/>
  <c r="AQ45" i="15"/>
  <c r="AP45" i="15"/>
  <c r="AO45" i="15"/>
  <c r="AN45" i="15"/>
  <c r="AM45" i="15"/>
  <c r="AL45" i="15"/>
  <c r="AI45" i="15"/>
  <c r="AH45" i="15"/>
  <c r="AG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Q45" i="15"/>
  <c r="P45" i="15"/>
  <c r="O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X44" i="15"/>
  <c r="AF44" i="15"/>
  <c r="N44" i="15"/>
  <c r="AX43" i="15"/>
  <c r="AF43" i="15"/>
  <c r="N43" i="15"/>
  <c r="AX42" i="15"/>
  <c r="AF42" i="15"/>
  <c r="N42" i="15"/>
  <c r="AX41" i="15"/>
  <c r="AF41" i="15"/>
  <c r="N41" i="15"/>
  <c r="AX40" i="15"/>
  <c r="AF40" i="15"/>
  <c r="N40" i="15"/>
  <c r="AX39" i="15"/>
  <c r="AF39" i="15"/>
  <c r="N39" i="15"/>
  <c r="AX38" i="15"/>
  <c r="AF38" i="15"/>
  <c r="N38" i="15"/>
  <c r="AX37" i="15"/>
  <c r="AF37" i="15"/>
  <c r="N37" i="15"/>
  <c r="AX36" i="15"/>
  <c r="AF36" i="15"/>
  <c r="N36" i="15"/>
  <c r="AX35" i="15"/>
  <c r="AF35" i="15"/>
  <c r="BA32" i="15"/>
  <c r="AZ32" i="15"/>
  <c r="AY32" i="15"/>
  <c r="AW32" i="15"/>
  <c r="AV32" i="15"/>
  <c r="AU32" i="15"/>
  <c r="AT32" i="15"/>
  <c r="AS32" i="15"/>
  <c r="AR32" i="15"/>
  <c r="AQ32" i="15"/>
  <c r="AP32" i="15"/>
  <c r="AO32" i="15"/>
  <c r="AN32" i="15"/>
  <c r="AM32" i="15"/>
  <c r="AL32" i="15"/>
  <c r="AI32" i="15"/>
  <c r="AH32" i="15"/>
  <c r="AG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Q32" i="15"/>
  <c r="P32" i="15"/>
  <c r="O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X31" i="15"/>
  <c r="AF31" i="15"/>
  <c r="N31" i="15"/>
  <c r="AX30" i="15"/>
  <c r="AF30" i="15"/>
  <c r="N30" i="15"/>
  <c r="AX29" i="15"/>
  <c r="AF29" i="15"/>
  <c r="N29" i="15"/>
  <c r="AX28" i="15"/>
  <c r="AF28" i="15"/>
  <c r="N28" i="15"/>
  <c r="AX27" i="15"/>
  <c r="AF27" i="15"/>
  <c r="N27" i="15"/>
  <c r="AX26" i="15"/>
  <c r="AF26" i="15"/>
  <c r="N26" i="15"/>
  <c r="AX25" i="15"/>
  <c r="AF25" i="15"/>
  <c r="N25" i="15"/>
  <c r="AX24" i="15"/>
  <c r="AF24" i="15"/>
  <c r="N24" i="15"/>
  <c r="AX23" i="15"/>
  <c r="AF23" i="15"/>
  <c r="N23" i="15"/>
  <c r="AX22" i="15"/>
  <c r="AF22" i="15"/>
  <c r="BA19" i="15"/>
  <c r="AZ19" i="15"/>
  <c r="AY19" i="15"/>
  <c r="AW19" i="15"/>
  <c r="AV19" i="15"/>
  <c r="AU19" i="15"/>
  <c r="AT19" i="15"/>
  <c r="AS19" i="15"/>
  <c r="AR19" i="15"/>
  <c r="AQ19" i="15"/>
  <c r="AP19" i="15"/>
  <c r="AO19" i="15"/>
  <c r="AN19" i="15"/>
  <c r="AM19" i="15"/>
  <c r="AL19" i="15"/>
  <c r="AI19" i="15"/>
  <c r="AH19" i="15"/>
  <c r="AG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Q19" i="15"/>
  <c r="P19" i="15"/>
  <c r="O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X18" i="15"/>
  <c r="AF18" i="15"/>
  <c r="N18" i="15"/>
  <c r="AX17" i="15"/>
  <c r="AF17" i="15"/>
  <c r="N17" i="15"/>
  <c r="AX16" i="15"/>
  <c r="AF16" i="15"/>
  <c r="N16" i="15"/>
  <c r="AX15" i="15"/>
  <c r="AF15" i="15"/>
  <c r="N15" i="15"/>
  <c r="AX14" i="15"/>
  <c r="AF14" i="15"/>
  <c r="N14" i="15"/>
  <c r="AX13" i="15"/>
  <c r="AF13" i="15"/>
  <c r="N13" i="15"/>
  <c r="AX12" i="15"/>
  <c r="AF12" i="15"/>
  <c r="N12" i="15"/>
  <c r="AX11" i="15"/>
  <c r="AF11" i="15"/>
  <c r="N11" i="15"/>
  <c r="AX10" i="15"/>
  <c r="AF10" i="15"/>
  <c r="N10" i="15"/>
  <c r="AX9" i="15"/>
  <c r="AF9" i="15"/>
  <c r="H6" i="15"/>
  <c r="G6" i="15"/>
  <c r="F6" i="15"/>
  <c r="E6" i="15"/>
  <c r="D6" i="15"/>
  <c r="C6" i="15"/>
  <c r="H5" i="15"/>
  <c r="G5" i="15"/>
  <c r="F5" i="15"/>
  <c r="E5" i="15"/>
  <c r="D5" i="15"/>
  <c r="C5" i="15"/>
  <c r="I4" i="15"/>
  <c r="I3" i="15"/>
  <c r="W186" i="21" l="1"/>
  <c r="AH149" i="21"/>
  <c r="F75" i="21"/>
  <c r="AH186" i="21"/>
  <c r="H185" i="21"/>
  <c r="AF186" i="21"/>
  <c r="M112" i="21"/>
  <c r="F186" i="21"/>
  <c r="Z186" i="21"/>
  <c r="M74" i="21"/>
  <c r="B186" i="21"/>
  <c r="T74" i="22"/>
  <c r="X36" i="22"/>
  <c r="U74" i="22"/>
  <c r="AD74" i="22"/>
  <c r="AC74" i="22"/>
  <c r="AB74" i="22"/>
  <c r="AA73" i="22"/>
  <c r="AF37" i="22"/>
  <c r="Z73" i="22"/>
  <c r="AD37" i="22"/>
  <c r="S36" i="22"/>
  <c r="AC37" i="22"/>
  <c r="X74" i="22"/>
  <c r="AB37" i="22"/>
  <c r="W74" i="22"/>
  <c r="S73" i="22"/>
  <c r="V74" i="22"/>
  <c r="Z37" i="22"/>
  <c r="M37" i="22"/>
  <c r="AG37" i="22"/>
  <c r="AA74" i="22"/>
  <c r="X73" i="22"/>
  <c r="J37" i="22"/>
  <c r="W73" i="22"/>
  <c r="X37" i="22"/>
  <c r="V73" i="22"/>
  <c r="W37" i="22"/>
  <c r="AA37" i="22"/>
  <c r="T73" i="22"/>
  <c r="AF73" i="22"/>
  <c r="AC73" i="22"/>
  <c r="P37" i="22"/>
  <c r="AB73" i="22"/>
  <c r="T37" i="22"/>
  <c r="AH37" i="22"/>
  <c r="O138" i="16"/>
  <c r="T36" i="22"/>
  <c r="V36" i="22"/>
  <c r="W36" i="22"/>
  <c r="Y36" i="22"/>
  <c r="Z36" i="22"/>
  <c r="AA36" i="22"/>
  <c r="AB36" i="22"/>
  <c r="AC36" i="22"/>
  <c r="AD36" i="22"/>
  <c r="AF36" i="22"/>
  <c r="AG36" i="22"/>
  <c r="AH36" i="22"/>
  <c r="Q74" i="22"/>
  <c r="E74" i="22"/>
  <c r="F74" i="22"/>
  <c r="G74" i="22"/>
  <c r="H74" i="22"/>
  <c r="I74" i="22"/>
  <c r="J74" i="22"/>
  <c r="B73" i="22"/>
  <c r="K74" i="22"/>
  <c r="L74" i="22"/>
  <c r="M74" i="22"/>
  <c r="N71" i="22"/>
  <c r="O74" i="22"/>
  <c r="P74" i="22"/>
  <c r="AE23" i="22"/>
  <c r="C74" i="22"/>
  <c r="D74" i="22"/>
  <c r="C73" i="22"/>
  <c r="J73" i="22"/>
  <c r="K73" i="22"/>
  <c r="L73" i="22"/>
  <c r="M73" i="22"/>
  <c r="O73" i="22"/>
  <c r="P73" i="22"/>
  <c r="Q73" i="22"/>
  <c r="B74" i="22"/>
  <c r="O37" i="22"/>
  <c r="D73" i="22"/>
  <c r="E73" i="22"/>
  <c r="F73" i="22"/>
  <c r="K37" i="22"/>
  <c r="G73" i="22"/>
  <c r="H73" i="22"/>
  <c r="AE34" i="22"/>
  <c r="I73" i="22"/>
  <c r="AE12" i="22"/>
  <c r="H37" i="22"/>
  <c r="E37" i="22"/>
  <c r="C37" i="22"/>
  <c r="Q37" i="22"/>
  <c r="L37" i="22"/>
  <c r="F37" i="22"/>
  <c r="N60" i="22"/>
  <c r="D37" i="22"/>
  <c r="N49" i="22"/>
  <c r="H36" i="22"/>
  <c r="P36" i="22"/>
  <c r="Q36" i="22"/>
  <c r="B37" i="22"/>
  <c r="AE71" i="22"/>
  <c r="N34" i="22"/>
  <c r="G36" i="22"/>
  <c r="N23" i="22"/>
  <c r="N12" i="22"/>
  <c r="AE60" i="22"/>
  <c r="AE49" i="22"/>
  <c r="G37" i="22"/>
  <c r="O36" i="22"/>
  <c r="B36" i="22"/>
  <c r="C36" i="22"/>
  <c r="D36" i="22"/>
  <c r="E36" i="22"/>
  <c r="F36" i="22"/>
  <c r="I36" i="22"/>
  <c r="J36" i="22"/>
  <c r="K36" i="22"/>
  <c r="L36" i="22"/>
  <c r="M36" i="22"/>
  <c r="O186" i="21"/>
  <c r="J186" i="21"/>
  <c r="I186" i="21"/>
  <c r="AG186" i="21"/>
  <c r="AA149" i="21"/>
  <c r="G186" i="21"/>
  <c r="AD186" i="21"/>
  <c r="E186" i="21"/>
  <c r="D186" i="21"/>
  <c r="N183" i="21"/>
  <c r="AA186" i="21"/>
  <c r="Y186" i="21"/>
  <c r="AD260" i="21"/>
  <c r="Q186" i="21"/>
  <c r="AE161" i="21"/>
  <c r="AE185" i="21" s="1"/>
  <c r="X186" i="21"/>
  <c r="N172" i="21"/>
  <c r="X223" i="21"/>
  <c r="P186" i="21"/>
  <c r="F185" i="21"/>
  <c r="AC186" i="21"/>
  <c r="E112" i="21"/>
  <c r="G185" i="21"/>
  <c r="AB186" i="21"/>
  <c r="M186" i="21"/>
  <c r="H74" i="21"/>
  <c r="L186" i="21"/>
  <c r="N161" i="21"/>
  <c r="H186" i="21"/>
  <c r="V185" i="21"/>
  <c r="W185" i="21"/>
  <c r="L148" i="21"/>
  <c r="V259" i="21"/>
  <c r="K186" i="21"/>
  <c r="U186" i="21"/>
  <c r="E74" i="21"/>
  <c r="Z260" i="21"/>
  <c r="Z185" i="21"/>
  <c r="T223" i="21"/>
  <c r="AE172" i="21"/>
  <c r="X185" i="21"/>
  <c r="S186" i="21"/>
  <c r="AD259" i="21"/>
  <c r="I185" i="21"/>
  <c r="J185" i="21"/>
  <c r="Y185" i="21"/>
  <c r="K185" i="21"/>
  <c r="L185" i="21"/>
  <c r="AA185" i="21"/>
  <c r="M185" i="21"/>
  <c r="AB185" i="21"/>
  <c r="AC185" i="21"/>
  <c r="AE257" i="21"/>
  <c r="O185" i="21"/>
  <c r="AD185" i="21"/>
  <c r="P185" i="21"/>
  <c r="AB260" i="21"/>
  <c r="Q185" i="21"/>
  <c r="AF185" i="21"/>
  <c r="B185" i="21"/>
  <c r="AG185" i="21"/>
  <c r="C185" i="21"/>
  <c r="AH185" i="21"/>
  <c r="E75" i="21"/>
  <c r="L149" i="21"/>
  <c r="D185" i="21"/>
  <c r="S185" i="21"/>
  <c r="E185" i="21"/>
  <c r="T185" i="21"/>
  <c r="N137" i="16"/>
  <c r="C82" i="19"/>
  <c r="D82" i="19"/>
  <c r="F82" i="19"/>
  <c r="H82" i="19"/>
  <c r="M82" i="19"/>
  <c r="N82" i="19"/>
  <c r="B82" i="19"/>
  <c r="F209" i="16"/>
  <c r="D209" i="16"/>
  <c r="B209" i="16"/>
  <c r="V75" i="21"/>
  <c r="AC74" i="21"/>
  <c r="AC223" i="21"/>
  <c r="AE235" i="21"/>
  <c r="AE246" i="21"/>
  <c r="X260" i="21"/>
  <c r="H260" i="21"/>
  <c r="AC149" i="21"/>
  <c r="G260" i="21"/>
  <c r="AG260" i="21"/>
  <c r="N72" i="21"/>
  <c r="O111" i="21"/>
  <c r="Q223" i="21"/>
  <c r="P222" i="21"/>
  <c r="L112" i="21"/>
  <c r="O223" i="21"/>
  <c r="D259" i="21"/>
  <c r="L223" i="21"/>
  <c r="P223" i="21"/>
  <c r="D149" i="21"/>
  <c r="M149" i="21"/>
  <c r="T222" i="21"/>
  <c r="V260" i="21"/>
  <c r="M75" i="21"/>
  <c r="AB149" i="21"/>
  <c r="Y223" i="21"/>
  <c r="C223" i="21"/>
  <c r="AH260" i="21"/>
  <c r="W75" i="21"/>
  <c r="Z149" i="21"/>
  <c r="AE135" i="21"/>
  <c r="W223" i="21"/>
  <c r="H223" i="21"/>
  <c r="F260" i="21"/>
  <c r="I75" i="21"/>
  <c r="V223" i="21"/>
  <c r="AB223" i="21"/>
  <c r="AF260" i="21"/>
  <c r="U75" i="21"/>
  <c r="X149" i="21"/>
  <c r="G75" i="21"/>
  <c r="AC260" i="21"/>
  <c r="F74" i="21"/>
  <c r="S75" i="21"/>
  <c r="X75" i="21"/>
  <c r="N87" i="21"/>
  <c r="N111" i="21" s="1"/>
  <c r="AA260" i="21"/>
  <c r="Q149" i="21"/>
  <c r="I149" i="21"/>
  <c r="N146" i="21"/>
  <c r="Q260" i="21"/>
  <c r="AG75" i="21"/>
  <c r="B149" i="21"/>
  <c r="AD149" i="21"/>
  <c r="O149" i="21"/>
  <c r="S149" i="21"/>
  <c r="AC148" i="21"/>
  <c r="S260" i="21"/>
  <c r="AC75" i="21"/>
  <c r="E149" i="21"/>
  <c r="AG149" i="21"/>
  <c r="D223" i="21"/>
  <c r="L260" i="21"/>
  <c r="U260" i="21"/>
  <c r="P75" i="21"/>
  <c r="P112" i="21"/>
  <c r="K149" i="21"/>
  <c r="P74" i="21"/>
  <c r="O112" i="21"/>
  <c r="G112" i="21"/>
  <c r="J260" i="21"/>
  <c r="C260" i="21"/>
  <c r="T260" i="21"/>
  <c r="Y260" i="21"/>
  <c r="S259" i="21"/>
  <c r="AF112" i="21"/>
  <c r="AH75" i="21"/>
  <c r="AE61" i="21"/>
  <c r="J75" i="21"/>
  <c r="C75" i="21"/>
  <c r="Q112" i="21"/>
  <c r="G111" i="21"/>
  <c r="P149" i="21"/>
  <c r="N135" i="21"/>
  <c r="Q148" i="21"/>
  <c r="U149" i="21"/>
  <c r="AE198" i="21"/>
  <c r="H222" i="21"/>
  <c r="K260" i="21"/>
  <c r="T259" i="21"/>
  <c r="H75" i="21"/>
  <c r="AA148" i="21"/>
  <c r="I260" i="21"/>
  <c r="N13" i="21"/>
  <c r="W259" i="21"/>
  <c r="AE72" i="21"/>
  <c r="N50" i="21"/>
  <c r="N124" i="21"/>
  <c r="AH148" i="21"/>
  <c r="E222" i="21"/>
  <c r="X259" i="21"/>
  <c r="Z112" i="21"/>
  <c r="AB75" i="21"/>
  <c r="J223" i="21"/>
  <c r="N257" i="21"/>
  <c r="Y259" i="21"/>
  <c r="AA75" i="21"/>
  <c r="D75" i="21"/>
  <c r="C112" i="21"/>
  <c r="AF149" i="21"/>
  <c r="S223" i="21"/>
  <c r="I223" i="21"/>
  <c r="E260" i="21"/>
  <c r="Z259" i="21"/>
  <c r="AE24" i="21"/>
  <c r="Z75" i="21"/>
  <c r="I112" i="21"/>
  <c r="N98" i="21"/>
  <c r="N109" i="21"/>
  <c r="H149" i="21"/>
  <c r="J149" i="21"/>
  <c r="Y149" i="21"/>
  <c r="AH223" i="21"/>
  <c r="N220" i="21"/>
  <c r="K223" i="21"/>
  <c r="U223" i="21"/>
  <c r="D260" i="21"/>
  <c r="AA259" i="21"/>
  <c r="Y75" i="21"/>
  <c r="AF75" i="21"/>
  <c r="N61" i="21"/>
  <c r="K75" i="21"/>
  <c r="H112" i="21"/>
  <c r="B112" i="21"/>
  <c r="J112" i="21"/>
  <c r="G149" i="21"/>
  <c r="AG223" i="21"/>
  <c r="G223" i="21"/>
  <c r="AB259" i="21"/>
  <c r="U74" i="21"/>
  <c r="B75" i="21"/>
  <c r="F149" i="21"/>
  <c r="AF223" i="21"/>
  <c r="AE209" i="21"/>
  <c r="AE220" i="21"/>
  <c r="N235" i="21"/>
  <c r="N246" i="21"/>
  <c r="AC259" i="21"/>
  <c r="V74" i="21"/>
  <c r="Q75" i="21"/>
  <c r="F112" i="21"/>
  <c r="V149" i="21"/>
  <c r="B260" i="21"/>
  <c r="N24" i="21"/>
  <c r="O75" i="21"/>
  <c r="D112" i="21"/>
  <c r="C149" i="21"/>
  <c r="T149" i="21"/>
  <c r="M223" i="21"/>
  <c r="F223" i="21"/>
  <c r="P260" i="21"/>
  <c r="AF259" i="21"/>
  <c r="S112" i="21"/>
  <c r="T75" i="21"/>
  <c r="AE146" i="21"/>
  <c r="AA223" i="21"/>
  <c r="N198" i="21"/>
  <c r="O260" i="21"/>
  <c r="AG259" i="21"/>
  <c r="AE35" i="21"/>
  <c r="AE50" i="21"/>
  <c r="AD75" i="21"/>
  <c r="L75" i="21"/>
  <c r="K112" i="21"/>
  <c r="W149" i="21"/>
  <c r="Z223" i="21"/>
  <c r="B223" i="21"/>
  <c r="N209" i="21"/>
  <c r="S148" i="21"/>
  <c r="M260" i="21"/>
  <c r="AH259" i="21"/>
  <c r="F259" i="21"/>
  <c r="O259" i="21"/>
  <c r="K259" i="21"/>
  <c r="E223" i="21"/>
  <c r="T74" i="21"/>
  <c r="D74" i="21"/>
  <c r="F111" i="21"/>
  <c r="H148" i="21"/>
  <c r="Y148" i="21"/>
  <c r="L222" i="21"/>
  <c r="AF222" i="21"/>
  <c r="B259" i="21"/>
  <c r="Y222" i="21"/>
  <c r="I148" i="21"/>
  <c r="Z148" i="21"/>
  <c r="M222" i="21"/>
  <c r="AG222" i="21"/>
  <c r="C259" i="21"/>
  <c r="H111" i="21"/>
  <c r="J148" i="21"/>
  <c r="AH222" i="21"/>
  <c r="W74" i="21"/>
  <c r="G74" i="21"/>
  <c r="I111" i="21"/>
  <c r="K148" i="21"/>
  <c r="AB148" i="21"/>
  <c r="O222" i="21"/>
  <c r="S222" i="21"/>
  <c r="E259" i="21"/>
  <c r="T111" i="21"/>
  <c r="X74" i="21"/>
  <c r="J111" i="21"/>
  <c r="N35" i="21"/>
  <c r="AE98" i="21"/>
  <c r="Y74" i="21"/>
  <c r="I74" i="21"/>
  <c r="K111" i="21"/>
  <c r="M148" i="21"/>
  <c r="AD148" i="21"/>
  <c r="Q222" i="21"/>
  <c r="U222" i="21"/>
  <c r="G259" i="21"/>
  <c r="Z74" i="21"/>
  <c r="J74" i="21"/>
  <c r="L111" i="21"/>
  <c r="B222" i="21"/>
  <c r="V222" i="21"/>
  <c r="H259" i="21"/>
  <c r="AA74" i="21"/>
  <c r="K74" i="21"/>
  <c r="M111" i="21"/>
  <c r="O148" i="21"/>
  <c r="AF148" i="21"/>
  <c r="C222" i="21"/>
  <c r="W222" i="21"/>
  <c r="I259" i="21"/>
  <c r="AG111" i="21"/>
  <c r="AB74" i="21"/>
  <c r="L74" i="21"/>
  <c r="P148" i="21"/>
  <c r="AG148" i="21"/>
  <c r="D222" i="21"/>
  <c r="X222" i="21"/>
  <c r="J259" i="21"/>
  <c r="AD111" i="21"/>
  <c r="AD74" i="21"/>
  <c r="P111" i="21"/>
  <c r="B148" i="21"/>
  <c r="AE124" i="21"/>
  <c r="F222" i="21"/>
  <c r="Z222" i="21"/>
  <c r="L259" i="21"/>
  <c r="O74" i="21"/>
  <c r="Q111" i="21"/>
  <c r="C148" i="21"/>
  <c r="T148" i="21"/>
  <c r="G222" i="21"/>
  <c r="AA222" i="21"/>
  <c r="M259" i="21"/>
  <c r="AF74" i="21"/>
  <c r="B111" i="21"/>
  <c r="D148" i="21"/>
  <c r="U148" i="21"/>
  <c r="AB222" i="21"/>
  <c r="AG74" i="21"/>
  <c r="Q74" i="21"/>
  <c r="C111" i="21"/>
  <c r="E148" i="21"/>
  <c r="V148" i="21"/>
  <c r="I222" i="21"/>
  <c r="AC222" i="21"/>
  <c r="AH74" i="21"/>
  <c r="B74" i="21"/>
  <c r="D111" i="21"/>
  <c r="F148" i="21"/>
  <c r="W148" i="21"/>
  <c r="J222" i="21"/>
  <c r="AD222" i="21"/>
  <c r="P259" i="21"/>
  <c r="T112" i="21"/>
  <c r="S74" i="21"/>
  <c r="C74" i="21"/>
  <c r="E111" i="21"/>
  <c r="G148" i="21"/>
  <c r="X148" i="21"/>
  <c r="K222" i="21"/>
  <c r="Q259" i="21"/>
  <c r="AG112" i="21"/>
  <c r="AC112" i="21"/>
  <c r="AE109" i="21"/>
  <c r="AB112" i="21"/>
  <c r="AH112" i="21"/>
  <c r="AA112" i="21"/>
  <c r="AF111" i="21"/>
  <c r="Y112" i="21"/>
  <c r="AE87" i="21"/>
  <c r="X112" i="21"/>
  <c r="AD112" i="21"/>
  <c r="S111" i="21"/>
  <c r="W112" i="21"/>
  <c r="V112" i="21"/>
  <c r="U112" i="21"/>
  <c r="AH111" i="21"/>
  <c r="U111" i="21"/>
  <c r="V111" i="21"/>
  <c r="W111" i="21"/>
  <c r="X111" i="21"/>
  <c r="Y111" i="21"/>
  <c r="Z111" i="21"/>
  <c r="AA111" i="21"/>
  <c r="AB111" i="21"/>
  <c r="AC111" i="21"/>
  <c r="C38" i="21"/>
  <c r="O37" i="21"/>
  <c r="H38" i="21"/>
  <c r="Q38" i="21"/>
  <c r="G38" i="21"/>
  <c r="L38" i="21"/>
  <c r="K38" i="21"/>
  <c r="J38" i="21"/>
  <c r="I38" i="21"/>
  <c r="Z38" i="21"/>
  <c r="AA38" i="21"/>
  <c r="AB37" i="21"/>
  <c r="Y38" i="21"/>
  <c r="X38" i="21"/>
  <c r="U38" i="21"/>
  <c r="T38" i="21"/>
  <c r="AD37" i="21"/>
  <c r="AC38" i="21"/>
  <c r="AE13" i="21"/>
  <c r="U37" i="21"/>
  <c r="F38" i="21"/>
  <c r="K37" i="21"/>
  <c r="W38" i="21"/>
  <c r="E38" i="21"/>
  <c r="V38" i="21"/>
  <c r="D38" i="21"/>
  <c r="S37" i="21"/>
  <c r="B37" i="21"/>
  <c r="AB38" i="21"/>
  <c r="AH38" i="21"/>
  <c r="P38" i="21"/>
  <c r="J37" i="21"/>
  <c r="AG38" i="21"/>
  <c r="O38" i="21"/>
  <c r="C37" i="21"/>
  <c r="T37" i="21"/>
  <c r="AF38" i="21"/>
  <c r="M38" i="21"/>
  <c r="Y37" i="21"/>
  <c r="W37" i="21"/>
  <c r="AD38" i="21"/>
  <c r="L37" i="21"/>
  <c r="B38" i="21"/>
  <c r="Q37" i="21"/>
  <c r="P37" i="21"/>
  <c r="V37" i="21"/>
  <c r="X37" i="21"/>
  <c r="M37" i="21"/>
  <c r="Z37" i="21"/>
  <c r="AA37" i="21"/>
  <c r="I37" i="21"/>
  <c r="AC37" i="21"/>
  <c r="H37" i="21"/>
  <c r="G37" i="21"/>
  <c r="F37" i="21"/>
  <c r="AF37" i="21"/>
  <c r="E37" i="21"/>
  <c r="AG37" i="21"/>
  <c r="D37" i="21"/>
  <c r="AH37" i="21"/>
  <c r="S38" i="21"/>
  <c r="AK238" i="18"/>
  <c r="AM239" i="18"/>
  <c r="AM238" i="18"/>
  <c r="AT239" i="18"/>
  <c r="AK239" i="18"/>
  <c r="AF173" i="15"/>
  <c r="AF114" i="16"/>
  <c r="I6" i="16"/>
  <c r="AX114" i="16"/>
  <c r="N51" i="16"/>
  <c r="N42" i="16"/>
  <c r="AF51" i="16"/>
  <c r="N69" i="16"/>
  <c r="AF105" i="16"/>
  <c r="I6" i="15"/>
  <c r="AX149" i="15"/>
  <c r="AX162" i="15"/>
  <c r="N162" i="15"/>
  <c r="N110" i="15"/>
  <c r="AF162" i="15"/>
  <c r="M215" i="18"/>
  <c r="J214" i="18"/>
  <c r="N214" i="18"/>
  <c r="B214" i="18"/>
  <c r="AX45" i="18"/>
  <c r="AF84" i="18"/>
  <c r="N71" i="18"/>
  <c r="AF71" i="18"/>
  <c r="AX71" i="18"/>
  <c r="N149" i="18"/>
  <c r="AF149" i="18"/>
  <c r="AX149" i="18"/>
  <c r="N58" i="18"/>
  <c r="AX136" i="18"/>
  <c r="AF58" i="18"/>
  <c r="N97" i="18"/>
  <c r="AF123" i="18"/>
  <c r="AX58" i="18"/>
  <c r="AF97" i="18"/>
  <c r="AX123" i="18"/>
  <c r="N136" i="18"/>
  <c r="AX97" i="18"/>
  <c r="N123" i="18"/>
  <c r="AX110" i="18"/>
  <c r="AX32" i="18"/>
  <c r="N32" i="18"/>
  <c r="N84" i="18"/>
  <c r="AF110" i="18"/>
  <c r="AF19" i="18"/>
  <c r="AX84" i="18"/>
  <c r="B172" i="17"/>
  <c r="D172" i="17"/>
  <c r="N24" i="17"/>
  <c r="N15" i="17"/>
  <c r="AF24" i="17"/>
  <c r="AX24" i="17"/>
  <c r="AF42" i="17"/>
  <c r="AX15" i="17"/>
  <c r="AF33" i="17"/>
  <c r="N42" i="17"/>
  <c r="AX69" i="17"/>
  <c r="N96" i="17"/>
  <c r="AX105" i="17"/>
  <c r="AF87" i="17"/>
  <c r="AX87" i="17"/>
  <c r="AX60" i="17"/>
  <c r="AF96" i="17"/>
  <c r="N51" i="17"/>
  <c r="AF51" i="17"/>
  <c r="AX96" i="17"/>
  <c r="AX51" i="17"/>
  <c r="AF78" i="17"/>
  <c r="AX42" i="17"/>
  <c r="AX78" i="17"/>
  <c r="D204" i="16"/>
  <c r="N246" i="15"/>
  <c r="F245" i="15"/>
  <c r="E245" i="15"/>
  <c r="D245" i="15"/>
  <c r="J203" i="16"/>
  <c r="Q204" i="16"/>
  <c r="Q171" i="17"/>
  <c r="P171" i="17"/>
  <c r="O171" i="17"/>
  <c r="I5" i="18"/>
  <c r="AF78" i="16"/>
  <c r="AX105" i="16"/>
  <c r="AX51" i="16"/>
  <c r="AX69" i="16"/>
  <c r="AX15" i="16"/>
  <c r="AF110" i="15"/>
  <c r="N105" i="16"/>
  <c r="N78" i="16"/>
  <c r="B203" i="16"/>
  <c r="E204" i="16"/>
  <c r="O203" i="16"/>
  <c r="B222" i="15"/>
  <c r="C222" i="15"/>
  <c r="N185" i="16"/>
  <c r="P185" i="16"/>
  <c r="B185" i="16"/>
  <c r="C185" i="16"/>
  <c r="E185" i="16"/>
  <c r="N33" i="16"/>
  <c r="AF42" i="16"/>
  <c r="AX42" i="16"/>
  <c r="N60" i="16"/>
  <c r="AX96" i="16"/>
  <c r="N24" i="16"/>
  <c r="AF33" i="16"/>
  <c r="AF60" i="16"/>
  <c r="AF24" i="16"/>
  <c r="AX33" i="16"/>
  <c r="AX60" i="16"/>
  <c r="AF96" i="16"/>
  <c r="AX24" i="16"/>
  <c r="AF87" i="16"/>
  <c r="N96" i="16"/>
  <c r="N87" i="16"/>
  <c r="AF15" i="16"/>
  <c r="AX78" i="16"/>
  <c r="AX87" i="16"/>
  <c r="N15" i="16"/>
  <c r="AF69" i="16"/>
  <c r="I5" i="16"/>
  <c r="I5" i="15"/>
  <c r="AX110" i="15"/>
  <c r="N71" i="15"/>
  <c r="AF123" i="15"/>
  <c r="AF32" i="15"/>
  <c r="N45" i="15"/>
  <c r="N32" i="15"/>
  <c r="AF58" i="15"/>
  <c r="AX32" i="15"/>
  <c r="N58" i="15"/>
  <c r="AF71" i="15"/>
  <c r="AX123" i="15"/>
  <c r="AX71" i="15"/>
  <c r="AX45" i="15"/>
  <c r="N19" i="15"/>
  <c r="AF84" i="15"/>
  <c r="AX84" i="15"/>
  <c r="N149" i="15"/>
  <c r="AF45" i="15"/>
  <c r="N97" i="15"/>
  <c r="AF97" i="15"/>
  <c r="AF19" i="15"/>
  <c r="AX97" i="15"/>
  <c r="AF136" i="15"/>
  <c r="AX19" i="15"/>
  <c r="AX136" i="15"/>
  <c r="AX58" i="15"/>
  <c r="N136" i="15"/>
  <c r="N84" i="15"/>
  <c r="N123" i="15"/>
  <c r="AF149" i="15"/>
  <c r="AE186" i="21" l="1"/>
  <c r="N185" i="21"/>
  <c r="AE74" i="22"/>
  <c r="AE73" i="22"/>
  <c r="AE37" i="22"/>
  <c r="AE36" i="22"/>
  <c r="N74" i="22"/>
  <c r="N73" i="22"/>
  <c r="N37" i="22"/>
  <c r="N36" i="22"/>
  <c r="N186" i="21"/>
  <c r="AE260" i="21"/>
  <c r="N112" i="21"/>
  <c r="AE259" i="21"/>
  <c r="AE37" i="21"/>
  <c r="AE222" i="21"/>
  <c r="N223" i="21"/>
  <c r="N148" i="21"/>
  <c r="N74" i="21"/>
  <c r="N149" i="21"/>
  <c r="AE75" i="21"/>
  <c r="N75" i="21"/>
  <c r="N260" i="21"/>
  <c r="N38" i="21"/>
  <c r="AE223" i="21"/>
  <c r="N222" i="21"/>
  <c r="AE74" i="21"/>
  <c r="N259" i="21"/>
  <c r="N37" i="21"/>
  <c r="AE111" i="21"/>
  <c r="AE149" i="21"/>
  <c r="AE148" i="21"/>
  <c r="AE112" i="21"/>
  <c r="AE38" i="21"/>
</calcChain>
</file>

<file path=xl/sharedStrings.xml><?xml version="1.0" encoding="utf-8"?>
<sst xmlns="http://schemas.openxmlformats.org/spreadsheetml/2006/main" count="771" uniqueCount="126">
  <si>
    <t>mAP</t>
  </si>
  <si>
    <t xml:space="preserve"> CP</t>
  </si>
  <si>
    <t xml:space="preserve"> CR</t>
  </si>
  <si>
    <t xml:space="preserve"> CF1</t>
  </si>
  <si>
    <t xml:space="preserve"> OP</t>
  </si>
  <si>
    <t xml:space="preserve"> OR</t>
  </si>
  <si>
    <t xml:space="preserve"> OF1</t>
  </si>
  <si>
    <t xml:space="preserve"> muf1</t>
  </si>
  <si>
    <t xml:space="preserve"> muar</t>
  </si>
  <si>
    <t xml:space="preserve"> mauc</t>
  </si>
  <si>
    <t xml:space="preserve"> acc_P</t>
  </si>
  <si>
    <t xml:space="preserve"> acc_N</t>
  </si>
  <si>
    <t xml:space="preserve"> avg</t>
  </si>
  <si>
    <t xml:space="preserve"> diff</t>
  </si>
  <si>
    <t xml:space="preserve"> pn</t>
  </si>
  <si>
    <t xml:space="preserve"> mmcc</t>
  </si>
  <si>
    <t>agem_3D_1</t>
  </si>
  <si>
    <t>er_3D_1</t>
  </si>
  <si>
    <t>derpp_3D_1</t>
  </si>
  <si>
    <t>ewc_2D_1</t>
    <phoneticPr fontId="3" type="noConversion"/>
  </si>
  <si>
    <t>lwf_2D_1</t>
    <phoneticPr fontId="3" type="noConversion"/>
  </si>
  <si>
    <t>agcn_3D_1</t>
    <phoneticPr fontId="3" type="noConversion"/>
  </si>
  <si>
    <t>agcnr_3D_1</t>
    <phoneticPr fontId="3" type="noConversion"/>
  </si>
  <si>
    <t>apple_3D_1</t>
    <phoneticPr fontId="3" type="noConversion"/>
  </si>
  <si>
    <t>csc_3D_1</t>
    <phoneticPr fontId="3" type="noConversion"/>
  </si>
  <si>
    <t>krt_3D_1</t>
    <phoneticPr fontId="3" type="noConversion"/>
  </si>
  <si>
    <t>podnet_3D_1</t>
    <phoneticPr fontId="3" type="noConversion"/>
  </si>
  <si>
    <t>agcn_2D_1</t>
    <phoneticPr fontId="3" type="noConversion"/>
  </si>
  <si>
    <t>agcnr_2D_1</t>
    <phoneticPr fontId="3" type="noConversion"/>
  </si>
  <si>
    <t>apple_2D_1</t>
    <phoneticPr fontId="3" type="noConversion"/>
  </si>
  <si>
    <t>csc_2D_1</t>
    <phoneticPr fontId="3" type="noConversion"/>
  </si>
  <si>
    <t>krt_2D_1</t>
    <phoneticPr fontId="3" type="noConversion"/>
  </si>
  <si>
    <t>podnet_2D_1</t>
    <phoneticPr fontId="3" type="noConversion"/>
  </si>
  <si>
    <t>emed_2D_1</t>
    <phoneticPr fontId="3" type="noConversion"/>
  </si>
  <si>
    <t>ewc_2D_2</t>
    <phoneticPr fontId="3" type="noConversion"/>
  </si>
  <si>
    <t>er_2D_1</t>
    <phoneticPr fontId="3" type="noConversion"/>
  </si>
  <si>
    <t>ewc_2D_3</t>
    <phoneticPr fontId="3" type="noConversion"/>
  </si>
  <si>
    <t>lwf_2D_2</t>
    <phoneticPr fontId="3" type="noConversion"/>
  </si>
  <si>
    <t>acc</t>
  </si>
  <si>
    <t>AVERAGE</t>
    <phoneticPr fontId="3" type="noConversion"/>
  </si>
  <si>
    <t>agcn_2D_2</t>
    <phoneticPr fontId="3" type="noConversion"/>
  </si>
  <si>
    <t>agcnr_2D_2</t>
    <phoneticPr fontId="3" type="noConversion"/>
  </si>
  <si>
    <t>apple_2D_2</t>
    <phoneticPr fontId="3" type="noConversion"/>
  </si>
  <si>
    <t>csc_2D_2</t>
    <phoneticPr fontId="3" type="noConversion"/>
  </si>
  <si>
    <t>krt_2D_2</t>
    <phoneticPr fontId="3" type="noConversion"/>
  </si>
  <si>
    <t>lwf_2D_3</t>
    <phoneticPr fontId="3" type="noConversion"/>
  </si>
  <si>
    <t>podnet_2D_2</t>
    <phoneticPr fontId="3" type="noConversion"/>
  </si>
  <si>
    <t>agem_3D_3</t>
    <phoneticPr fontId="3" type="noConversion"/>
  </si>
  <si>
    <t>agem_3D_2</t>
    <phoneticPr fontId="3" type="noConversion"/>
  </si>
  <si>
    <t>apple_2D_3</t>
    <phoneticPr fontId="3" type="noConversion"/>
  </si>
  <si>
    <t>csc_2D_3</t>
    <phoneticPr fontId="3" type="noConversion"/>
  </si>
  <si>
    <t>krt_2D_3</t>
    <phoneticPr fontId="3" type="noConversion"/>
  </si>
  <si>
    <t>podnet_2D_3</t>
    <phoneticPr fontId="3" type="noConversion"/>
  </si>
  <si>
    <t>agcn_2D_3</t>
    <phoneticPr fontId="3" type="noConversion"/>
  </si>
  <si>
    <t>agcnr_2D_3</t>
    <phoneticPr fontId="3" type="noConversion"/>
  </si>
  <si>
    <t>er_2D_2</t>
    <phoneticPr fontId="3" type="noConversion"/>
  </si>
  <si>
    <t>derpp_3D_2</t>
    <phoneticPr fontId="3" type="noConversion"/>
  </si>
  <si>
    <t>er_3D_2</t>
    <phoneticPr fontId="3" type="noConversion"/>
  </si>
  <si>
    <t>er_2D_3</t>
    <phoneticPr fontId="3" type="noConversion"/>
  </si>
  <si>
    <t>derpp_3D_3</t>
    <phoneticPr fontId="3" type="noConversion"/>
  </si>
  <si>
    <t>er_3D_3</t>
    <phoneticPr fontId="3" type="noConversion"/>
  </si>
  <si>
    <t>STDEV.S</t>
    <phoneticPr fontId="3" type="noConversion"/>
  </si>
  <si>
    <t>ewc</t>
  </si>
  <si>
    <t>lwf</t>
  </si>
  <si>
    <t>up</t>
    <phoneticPr fontId="3" type="noConversion"/>
  </si>
  <si>
    <t>agem_3D_1</t>
    <phoneticPr fontId="3" type="noConversion"/>
  </si>
  <si>
    <t>ewc_3D_1</t>
  </si>
  <si>
    <t>ewc_3D_1</t>
    <phoneticPr fontId="3" type="noConversion"/>
  </si>
  <si>
    <t>lwf_3D_1</t>
  </si>
  <si>
    <t>lwf_3D_1</t>
    <phoneticPr fontId="3" type="noConversion"/>
  </si>
  <si>
    <t>emed_3D_1</t>
    <phoneticPr fontId="3" type="noConversion"/>
  </si>
  <si>
    <t>C3</t>
    <phoneticPr fontId="3" type="noConversion"/>
  </si>
  <si>
    <t>C4</t>
    <phoneticPr fontId="3" type="noConversion"/>
  </si>
  <si>
    <t>a0.1</t>
    <phoneticPr fontId="3" type="noConversion"/>
  </si>
  <si>
    <t>s0.1</t>
    <phoneticPr fontId="3" type="noConversion"/>
  </si>
  <si>
    <t>a0.3</t>
    <phoneticPr fontId="3" type="noConversion"/>
  </si>
  <si>
    <t>a0.5</t>
    <phoneticPr fontId="3" type="noConversion"/>
  </si>
  <si>
    <t>a0.7</t>
    <phoneticPr fontId="3" type="noConversion"/>
  </si>
  <si>
    <t>s0.3</t>
    <phoneticPr fontId="3" type="noConversion"/>
  </si>
  <si>
    <t>a0.9</t>
    <phoneticPr fontId="3" type="noConversion"/>
  </si>
  <si>
    <t>r</t>
    <phoneticPr fontId="3" type="noConversion"/>
  </si>
  <si>
    <t>r1</t>
    <phoneticPr fontId="3" type="noConversion"/>
  </si>
  <si>
    <t>r2</t>
    <phoneticPr fontId="3" type="noConversion"/>
  </si>
  <si>
    <t>lamda=0.25</t>
    <phoneticPr fontId="3" type="noConversion"/>
  </si>
  <si>
    <t>lamda=0.5</t>
    <phoneticPr fontId="3" type="noConversion"/>
  </si>
  <si>
    <t>lamda=0.75</t>
    <phoneticPr fontId="3" type="noConversion"/>
  </si>
  <si>
    <t>lamda=0</t>
    <phoneticPr fontId="3" type="noConversion"/>
  </si>
  <si>
    <t>lamda=1</t>
    <phoneticPr fontId="3" type="noConversion"/>
  </si>
  <si>
    <t>b=0.001</t>
    <phoneticPr fontId="3" type="noConversion"/>
  </si>
  <si>
    <t>b=0.002</t>
    <phoneticPr fontId="3" type="noConversion"/>
  </si>
  <si>
    <t>b=0.004</t>
    <phoneticPr fontId="3" type="noConversion"/>
  </si>
  <si>
    <t>b=0.006</t>
    <phoneticPr fontId="3" type="noConversion"/>
  </si>
  <si>
    <t>b=0.008</t>
    <phoneticPr fontId="3" type="noConversion"/>
  </si>
  <si>
    <t>a=0.05</t>
    <phoneticPr fontId="3" type="noConversion"/>
  </si>
  <si>
    <t>a=0.1</t>
    <phoneticPr fontId="3" type="noConversion"/>
  </si>
  <si>
    <t>a=0.15</t>
    <phoneticPr fontId="3" type="noConversion"/>
  </si>
  <si>
    <t>a=0.2</t>
    <phoneticPr fontId="3" type="noConversion"/>
  </si>
  <si>
    <t>a=0.25</t>
    <phoneticPr fontId="3" type="noConversion"/>
  </si>
  <si>
    <t>r3</t>
    <phoneticPr fontId="3" type="noConversion"/>
  </si>
  <si>
    <t>ae_010</t>
    <phoneticPr fontId="3" type="noConversion"/>
  </si>
  <si>
    <t>ae_000</t>
    <phoneticPr fontId="3" type="noConversion"/>
  </si>
  <si>
    <t>ae_001</t>
    <phoneticPr fontId="3" type="noConversion"/>
  </si>
  <si>
    <t>AGCN++</t>
    <phoneticPr fontId="3" type="noConversion"/>
  </si>
  <si>
    <t>APPLE</t>
    <phoneticPr fontId="3" type="noConversion"/>
  </si>
  <si>
    <t>CSC</t>
    <phoneticPr fontId="3" type="noConversion"/>
  </si>
  <si>
    <t>PodNet</t>
    <phoneticPr fontId="3" type="noConversion"/>
  </si>
  <si>
    <t>EMed-MCLM</t>
    <phoneticPr fontId="3" type="noConversion"/>
  </si>
  <si>
    <t>Chest-C3-Diff</t>
    <phoneticPr fontId="3" type="noConversion"/>
  </si>
  <si>
    <t>Chest-C3-Avg</t>
    <phoneticPr fontId="3" type="noConversion"/>
  </si>
  <si>
    <t>Chest-C4-Diff</t>
    <phoneticPr fontId="3" type="noConversion"/>
  </si>
  <si>
    <t>Chest-C4-Avg</t>
    <phoneticPr fontId="3" type="noConversion"/>
  </si>
  <si>
    <t>M1-T1</t>
    <phoneticPr fontId="3" type="noConversion"/>
  </si>
  <si>
    <t>M2-T1</t>
    <phoneticPr fontId="3" type="noConversion"/>
  </si>
  <si>
    <t>M2-T2</t>
    <phoneticPr fontId="3" type="noConversion"/>
  </si>
  <si>
    <t>M3-T1</t>
    <phoneticPr fontId="3" type="noConversion"/>
  </si>
  <si>
    <t>M3-T2</t>
    <phoneticPr fontId="3" type="noConversion"/>
  </si>
  <si>
    <t>M3-T3</t>
    <phoneticPr fontId="3" type="noConversion"/>
  </si>
  <si>
    <t>M4-T1</t>
    <phoneticPr fontId="3" type="noConversion"/>
  </si>
  <si>
    <t>M4-T2</t>
    <phoneticPr fontId="3" type="noConversion"/>
  </si>
  <si>
    <t>M4-T3</t>
    <phoneticPr fontId="3" type="noConversion"/>
  </si>
  <si>
    <t>M4-T4</t>
    <phoneticPr fontId="3" type="noConversion"/>
  </si>
  <si>
    <t>Gene-C3-Diff</t>
    <phoneticPr fontId="3" type="noConversion"/>
  </si>
  <si>
    <t>Gene-C3-Avg</t>
    <phoneticPr fontId="3" type="noConversion"/>
  </si>
  <si>
    <t>Gene-C4-Diff</t>
    <phoneticPr fontId="3" type="noConversion"/>
  </si>
  <si>
    <t>Gene-C4-Avg</t>
    <phoneticPr fontId="3" type="noConversion"/>
  </si>
  <si>
    <t>ae_100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</si>
</sst>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plot_pic!$A$2</c:f>
              <c:strCache>
                <c:ptCount val="1"/>
                <c:pt idx="0">
                  <c:v>AGCN++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plot_pic!$B$1:$K$1</c:f>
              <c:strCache>
                <c:ptCount val="10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  <c:pt idx="6">
                  <c:v>M4-T1</c:v>
                </c:pt>
                <c:pt idx="7">
                  <c:v>M4-T2</c:v>
                </c:pt>
                <c:pt idx="8">
                  <c:v>M4-T3</c:v>
                </c:pt>
                <c:pt idx="9">
                  <c:v>M4-T4</c:v>
                </c:pt>
              </c:strCache>
            </c:strRef>
          </c:cat>
          <c:val>
            <c:numRef>
              <c:f>plot_pic!$B$2:$K$2</c:f>
              <c:numCache>
                <c:formatCode>General</c:formatCode>
                <c:ptCount val="10"/>
                <c:pt idx="0">
                  <c:v>6.25</c:v>
                </c:pt>
                <c:pt idx="1">
                  <c:v>58.176666666666669</c:v>
                </c:pt>
                <c:pt idx="2">
                  <c:v>25.863333333333333</c:v>
                </c:pt>
                <c:pt idx="3">
                  <c:v>71.446666666666658</c:v>
                </c:pt>
                <c:pt idx="4">
                  <c:v>71.98</c:v>
                </c:pt>
                <c:pt idx="5">
                  <c:v>49.20333333333334</c:v>
                </c:pt>
                <c:pt idx="6">
                  <c:v>78.739999999999995</c:v>
                </c:pt>
                <c:pt idx="7">
                  <c:v>85.42</c:v>
                </c:pt>
                <c:pt idx="8">
                  <c:v>83.963333333333338</c:v>
                </c:pt>
                <c:pt idx="9">
                  <c:v>65.843333333333334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26-4B67-85F6-E72D44991DCD}"/>
            </c:ext>
          </c:extLst>
        </c:ser>
        <c:ser>
          <c:idx val="1"/>
          <c:order val="1"/>
          <c:tx>
            <c:strRef>
              <c:f>plot_pic!$A$3</c:f>
              <c:strCache>
                <c:ptCount val="1"/>
                <c:pt idx="0">
                  <c:v>APPLE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plot_pic!$B$1:$K$1</c:f>
              <c:strCache>
                <c:ptCount val="10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  <c:pt idx="6">
                  <c:v>M4-T1</c:v>
                </c:pt>
                <c:pt idx="7">
                  <c:v>M4-T2</c:v>
                </c:pt>
                <c:pt idx="8">
                  <c:v>M4-T3</c:v>
                </c:pt>
                <c:pt idx="9">
                  <c:v>M4-T4</c:v>
                </c:pt>
              </c:strCache>
            </c:strRef>
          </c:cat>
          <c:val>
            <c:numRef>
              <c:f>plot_pic!$B$3:$K$3</c:f>
              <c:numCache>
                <c:formatCode>General</c:formatCode>
                <c:ptCount val="10"/>
                <c:pt idx="0">
                  <c:v>23.590000000000003</c:v>
                </c:pt>
                <c:pt idx="1">
                  <c:v>47.086666666666666</c:v>
                </c:pt>
                <c:pt idx="2">
                  <c:v>20.266666666666666</c:v>
                </c:pt>
                <c:pt idx="3">
                  <c:v>42.580000000000005</c:v>
                </c:pt>
                <c:pt idx="4">
                  <c:v>40.903333333333329</c:v>
                </c:pt>
                <c:pt idx="5">
                  <c:v>28.76</c:v>
                </c:pt>
                <c:pt idx="6">
                  <c:v>36.47</c:v>
                </c:pt>
                <c:pt idx="7">
                  <c:v>45.27</c:v>
                </c:pt>
                <c:pt idx="8">
                  <c:v>45.68</c:v>
                </c:pt>
                <c:pt idx="9">
                  <c:v>36.663333333333334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26-4B67-85F6-E72D44991DCD}"/>
            </c:ext>
          </c:extLst>
        </c:ser>
        <c:ser>
          <c:idx val="2"/>
          <c:order val="2"/>
          <c:tx>
            <c:strRef>
              <c:f>plot_pic!$A$4</c:f>
              <c:strCache>
                <c:ptCount val="1"/>
                <c:pt idx="0">
                  <c:v>CSC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plot_pic!$B$1:$K$1</c:f>
              <c:strCache>
                <c:ptCount val="10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  <c:pt idx="6">
                  <c:v>M4-T1</c:v>
                </c:pt>
                <c:pt idx="7">
                  <c:v>M4-T2</c:v>
                </c:pt>
                <c:pt idx="8">
                  <c:v>M4-T3</c:v>
                </c:pt>
                <c:pt idx="9">
                  <c:v>M4-T4</c:v>
                </c:pt>
              </c:strCache>
            </c:strRef>
          </c:cat>
          <c:val>
            <c:numRef>
              <c:f>plot_pic!$B$4:$K$4</c:f>
              <c:numCache>
                <c:formatCode>General</c:formatCode>
                <c:ptCount val="10"/>
                <c:pt idx="0">
                  <c:v>7.7366666666666672</c:v>
                </c:pt>
                <c:pt idx="1">
                  <c:v>52.106666666666662</c:v>
                </c:pt>
                <c:pt idx="2">
                  <c:v>26.14</c:v>
                </c:pt>
                <c:pt idx="3">
                  <c:v>52.646666666666668</c:v>
                </c:pt>
                <c:pt idx="4">
                  <c:v>51.176666666666669</c:v>
                </c:pt>
                <c:pt idx="5">
                  <c:v>34.996666666666663</c:v>
                </c:pt>
                <c:pt idx="6">
                  <c:v>60.150000000000006</c:v>
                </c:pt>
                <c:pt idx="7">
                  <c:v>57.620000000000005</c:v>
                </c:pt>
                <c:pt idx="8">
                  <c:v>61.839999999999996</c:v>
                </c:pt>
                <c:pt idx="9">
                  <c:v>47.566666666666663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26-4B67-85F6-E72D44991DCD}"/>
            </c:ext>
          </c:extLst>
        </c:ser>
        <c:ser>
          <c:idx val="3"/>
          <c:order val="3"/>
          <c:tx>
            <c:strRef>
              <c:f>plot_pic!$A$5</c:f>
              <c:strCache>
                <c:ptCount val="1"/>
                <c:pt idx="0">
                  <c:v>PodNet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plot_pic!$B$1:$K$1</c:f>
              <c:strCache>
                <c:ptCount val="10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  <c:pt idx="6">
                  <c:v>M4-T1</c:v>
                </c:pt>
                <c:pt idx="7">
                  <c:v>M4-T2</c:v>
                </c:pt>
                <c:pt idx="8">
                  <c:v>M4-T3</c:v>
                </c:pt>
                <c:pt idx="9">
                  <c:v>M4-T4</c:v>
                </c:pt>
              </c:strCache>
            </c:strRef>
          </c:cat>
          <c:val>
            <c:numRef>
              <c:f>plot_pic!$B$5:$K$5</c:f>
              <c:numCache>
                <c:formatCode>General</c:formatCode>
                <c:ptCount val="10"/>
                <c:pt idx="0">
                  <c:v>15.709999999999999</c:v>
                </c:pt>
                <c:pt idx="1">
                  <c:v>19.856666666666666</c:v>
                </c:pt>
                <c:pt idx="2">
                  <c:v>6.06</c:v>
                </c:pt>
                <c:pt idx="3">
                  <c:v>8.7933333333333348</c:v>
                </c:pt>
                <c:pt idx="4">
                  <c:v>16.556666666666668</c:v>
                </c:pt>
                <c:pt idx="5">
                  <c:v>11.533333333333331</c:v>
                </c:pt>
                <c:pt idx="6">
                  <c:v>27.62</c:v>
                </c:pt>
                <c:pt idx="7">
                  <c:v>36.286666666666669</c:v>
                </c:pt>
                <c:pt idx="8">
                  <c:v>41.923333333333339</c:v>
                </c:pt>
                <c:pt idx="9">
                  <c:v>33.190000000000005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26-4B67-85F6-E72D44991DCD}"/>
            </c:ext>
          </c:extLst>
        </c:ser>
        <c:ser>
          <c:idx val="4"/>
          <c:order val="4"/>
          <c:tx>
            <c:strRef>
              <c:f>plot_pic!$A$6</c:f>
              <c:strCache>
                <c:ptCount val="1"/>
                <c:pt idx="0">
                  <c:v>EMed-MCLM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plot_pic!$B$1:$K$1</c:f>
              <c:strCache>
                <c:ptCount val="10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  <c:pt idx="6">
                  <c:v>M4-T1</c:v>
                </c:pt>
                <c:pt idx="7">
                  <c:v>M4-T2</c:v>
                </c:pt>
                <c:pt idx="8">
                  <c:v>M4-T3</c:v>
                </c:pt>
                <c:pt idx="9">
                  <c:v>M4-T4</c:v>
                </c:pt>
              </c:strCache>
            </c:strRef>
          </c:cat>
          <c:val>
            <c:numRef>
              <c:f>plot_pic!$B$6:$K$6</c:f>
              <c:numCache>
                <c:formatCode>General</c:formatCode>
                <c:ptCount val="10"/>
                <c:pt idx="0">
                  <c:v>12.94</c:v>
                </c:pt>
                <c:pt idx="1">
                  <c:v>5.4200000000000008</c:v>
                </c:pt>
                <c:pt idx="2">
                  <c:v>3.9033333333333329</c:v>
                </c:pt>
                <c:pt idx="3">
                  <c:v>7.43</c:v>
                </c:pt>
                <c:pt idx="4">
                  <c:v>4.0733333333333333</c:v>
                </c:pt>
                <c:pt idx="5">
                  <c:v>6.169999999999999</c:v>
                </c:pt>
                <c:pt idx="6">
                  <c:v>22.316666666666666</c:v>
                </c:pt>
                <c:pt idx="7">
                  <c:v>15.456666666666669</c:v>
                </c:pt>
                <c:pt idx="8">
                  <c:v>14.683333333333335</c:v>
                </c:pt>
                <c:pt idx="9">
                  <c:v>9.7566666666666677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26-4B67-85F6-E72D44991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9728159"/>
        <c:axId val="2069746399"/>
      </c:lineChart>
      <c:catAx>
        <c:axId val="206972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069746399"/>
        <c:crosses val="autoZero"/>
        <c:auto val="1"/>
        <c:lblAlgn val="ctr"/>
        <c:lblOffset val="100"/>
        <c:noMultiLvlLbl val="0"/>
      </c:catAx>
      <c:valAx>
        <c:axId val="20697463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Diff(%)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06972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000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plot_pic!$A$8</c:f>
              <c:strCache>
                <c:ptCount val="1"/>
                <c:pt idx="0">
                  <c:v>AGCN++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plot_pic!$B$1:$K$1</c:f>
              <c:strCache>
                <c:ptCount val="10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  <c:pt idx="6">
                  <c:v>M4-T1</c:v>
                </c:pt>
                <c:pt idx="7">
                  <c:v>M4-T2</c:v>
                </c:pt>
                <c:pt idx="8">
                  <c:v>M4-T3</c:v>
                </c:pt>
                <c:pt idx="9">
                  <c:v>M4-T4</c:v>
                </c:pt>
              </c:strCache>
            </c:strRef>
          </c:cat>
          <c:val>
            <c:numRef>
              <c:f>plot_pic!$B$8:$L$8</c:f>
              <c:numCache>
                <c:formatCode>General</c:formatCode>
                <c:ptCount val="11"/>
                <c:pt idx="0">
                  <c:v>59.75</c:v>
                </c:pt>
                <c:pt idx="1">
                  <c:v>55.166666666666664</c:v>
                </c:pt>
                <c:pt idx="2">
                  <c:v>58.166666666666664</c:v>
                </c:pt>
                <c:pt idx="3">
                  <c:v>54.406666666666666</c:v>
                </c:pt>
                <c:pt idx="4">
                  <c:v>55.526666666666671</c:v>
                </c:pt>
                <c:pt idx="5">
                  <c:v>55.706666666666671</c:v>
                </c:pt>
                <c:pt idx="6">
                  <c:v>52.976666666666667</c:v>
                </c:pt>
                <c:pt idx="7">
                  <c:v>53.286666666666669</c:v>
                </c:pt>
                <c:pt idx="8">
                  <c:v>52.04</c:v>
                </c:pt>
                <c:pt idx="9">
                  <c:v>53.176666666666669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96-42CC-B79A-047FD70891D2}"/>
            </c:ext>
          </c:extLst>
        </c:ser>
        <c:ser>
          <c:idx val="1"/>
          <c:order val="1"/>
          <c:tx>
            <c:strRef>
              <c:f>plot_pic!$A$9</c:f>
              <c:strCache>
                <c:ptCount val="1"/>
                <c:pt idx="0">
                  <c:v>APPLE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plot_pic!$B$1:$K$1</c:f>
              <c:strCache>
                <c:ptCount val="10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  <c:pt idx="6">
                  <c:v>M4-T1</c:v>
                </c:pt>
                <c:pt idx="7">
                  <c:v>M4-T2</c:v>
                </c:pt>
                <c:pt idx="8">
                  <c:v>M4-T3</c:v>
                </c:pt>
                <c:pt idx="9">
                  <c:v>M4-T4</c:v>
                </c:pt>
              </c:strCache>
            </c:strRef>
          </c:cat>
          <c:val>
            <c:numRef>
              <c:f>plot_pic!$B$9:$L$9</c:f>
              <c:numCache>
                <c:formatCode>General</c:formatCode>
                <c:ptCount val="11"/>
                <c:pt idx="0">
                  <c:v>58.120000000000005</c:v>
                </c:pt>
                <c:pt idx="1">
                  <c:v>58.54666666666666</c:v>
                </c:pt>
                <c:pt idx="2">
                  <c:v>59.556666666666672</c:v>
                </c:pt>
                <c:pt idx="3">
                  <c:v>59.426666666666669</c:v>
                </c:pt>
                <c:pt idx="4">
                  <c:v>59.143333333333338</c:v>
                </c:pt>
                <c:pt idx="5">
                  <c:v>61.199999999999996</c:v>
                </c:pt>
                <c:pt idx="6">
                  <c:v>58.62</c:v>
                </c:pt>
                <c:pt idx="7">
                  <c:v>57.84</c:v>
                </c:pt>
                <c:pt idx="8">
                  <c:v>58.376666666666665</c:v>
                </c:pt>
                <c:pt idx="9">
                  <c:v>58.473333333333329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96-42CC-B79A-047FD70891D2}"/>
            </c:ext>
          </c:extLst>
        </c:ser>
        <c:ser>
          <c:idx val="2"/>
          <c:order val="2"/>
          <c:tx>
            <c:strRef>
              <c:f>plot_pic!$A$10</c:f>
              <c:strCache>
                <c:ptCount val="1"/>
                <c:pt idx="0">
                  <c:v>CSC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plot_pic!$B$1:$K$1</c:f>
              <c:strCache>
                <c:ptCount val="10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  <c:pt idx="6">
                  <c:v>M4-T1</c:v>
                </c:pt>
                <c:pt idx="7">
                  <c:v>M4-T2</c:v>
                </c:pt>
                <c:pt idx="8">
                  <c:v>M4-T3</c:v>
                </c:pt>
                <c:pt idx="9">
                  <c:v>M4-T4</c:v>
                </c:pt>
              </c:strCache>
            </c:strRef>
          </c:cat>
          <c:val>
            <c:numRef>
              <c:f>plot_pic!$B$10:$L$10</c:f>
              <c:numCache>
                <c:formatCode>General</c:formatCode>
                <c:ptCount val="11"/>
                <c:pt idx="0">
                  <c:v>55.38</c:v>
                </c:pt>
                <c:pt idx="1">
                  <c:v>54.346666666666664</c:v>
                </c:pt>
                <c:pt idx="2">
                  <c:v>57.35</c:v>
                </c:pt>
                <c:pt idx="3">
                  <c:v>53.54</c:v>
                </c:pt>
                <c:pt idx="4">
                  <c:v>55.18</c:v>
                </c:pt>
                <c:pt idx="5">
                  <c:v>55.256666666666668</c:v>
                </c:pt>
                <c:pt idx="6">
                  <c:v>52.22</c:v>
                </c:pt>
                <c:pt idx="7">
                  <c:v>54.026666666666664</c:v>
                </c:pt>
                <c:pt idx="8">
                  <c:v>53.156666666666666</c:v>
                </c:pt>
                <c:pt idx="9">
                  <c:v>54.23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96-42CC-B79A-047FD70891D2}"/>
            </c:ext>
          </c:extLst>
        </c:ser>
        <c:ser>
          <c:idx val="3"/>
          <c:order val="3"/>
          <c:tx>
            <c:strRef>
              <c:f>plot_pic!$A$11</c:f>
              <c:strCache>
                <c:ptCount val="1"/>
                <c:pt idx="0">
                  <c:v>PodNet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plot_pic!$B$1:$K$1</c:f>
              <c:strCache>
                <c:ptCount val="10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  <c:pt idx="6">
                  <c:v>M4-T1</c:v>
                </c:pt>
                <c:pt idx="7">
                  <c:v>M4-T2</c:v>
                </c:pt>
                <c:pt idx="8">
                  <c:v>M4-T3</c:v>
                </c:pt>
                <c:pt idx="9">
                  <c:v>M4-T4</c:v>
                </c:pt>
              </c:strCache>
            </c:strRef>
          </c:cat>
          <c:val>
            <c:numRef>
              <c:f>plot_pic!$B$11:$L$11</c:f>
              <c:numCache>
                <c:formatCode>General</c:formatCode>
                <c:ptCount val="11"/>
                <c:pt idx="0">
                  <c:v>59.800000000000004</c:v>
                </c:pt>
                <c:pt idx="1">
                  <c:v>61.419999999999995</c:v>
                </c:pt>
                <c:pt idx="2">
                  <c:v>60.293333333333329</c:v>
                </c:pt>
                <c:pt idx="3">
                  <c:v>60.556666666666672</c:v>
                </c:pt>
                <c:pt idx="4">
                  <c:v>58.569999999999993</c:v>
                </c:pt>
                <c:pt idx="5">
                  <c:v>61.136666666666663</c:v>
                </c:pt>
                <c:pt idx="6">
                  <c:v>57.683333333333337</c:v>
                </c:pt>
                <c:pt idx="7">
                  <c:v>56.813333333333333</c:v>
                </c:pt>
                <c:pt idx="8">
                  <c:v>57.346666666666664</c:v>
                </c:pt>
                <c:pt idx="9">
                  <c:v>58.586666666666666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96-42CC-B79A-047FD70891D2}"/>
            </c:ext>
          </c:extLst>
        </c:ser>
        <c:ser>
          <c:idx val="4"/>
          <c:order val="4"/>
          <c:tx>
            <c:strRef>
              <c:f>plot_pic!$A$12</c:f>
              <c:strCache>
                <c:ptCount val="1"/>
                <c:pt idx="0">
                  <c:v>EMed-MCLM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plot_pic!$B$1:$K$1</c:f>
              <c:strCache>
                <c:ptCount val="10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  <c:pt idx="6">
                  <c:v>M4-T1</c:v>
                </c:pt>
                <c:pt idx="7">
                  <c:v>M4-T2</c:v>
                </c:pt>
                <c:pt idx="8">
                  <c:v>M4-T3</c:v>
                </c:pt>
                <c:pt idx="9">
                  <c:v>M4-T4</c:v>
                </c:pt>
              </c:strCache>
            </c:strRef>
          </c:cat>
          <c:val>
            <c:numRef>
              <c:f>plot_pic!$B$12:$L$12</c:f>
              <c:numCache>
                <c:formatCode>General</c:formatCode>
                <c:ptCount val="11"/>
                <c:pt idx="0">
                  <c:v>61.4</c:v>
                </c:pt>
                <c:pt idx="1">
                  <c:v>62.376666666666665</c:v>
                </c:pt>
                <c:pt idx="2">
                  <c:v>60.49666666666667</c:v>
                </c:pt>
                <c:pt idx="3">
                  <c:v>62.31</c:v>
                </c:pt>
                <c:pt idx="4">
                  <c:v>59.98</c:v>
                </c:pt>
                <c:pt idx="5">
                  <c:v>60.870000000000005</c:v>
                </c:pt>
                <c:pt idx="6">
                  <c:v>60.346666666666664</c:v>
                </c:pt>
                <c:pt idx="7">
                  <c:v>59.373333333333335</c:v>
                </c:pt>
                <c:pt idx="8">
                  <c:v>59.96</c:v>
                </c:pt>
                <c:pt idx="9">
                  <c:v>59.936666666666667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96-42CC-B79A-047FD7089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7254655"/>
        <c:axId val="1907255135"/>
      </c:lineChart>
      <c:catAx>
        <c:axId val="190725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907255135"/>
        <c:crosses val="autoZero"/>
        <c:auto val="1"/>
        <c:lblAlgn val="ctr"/>
        <c:lblOffset val="100"/>
        <c:noMultiLvlLbl val="0"/>
      </c:catAx>
      <c:valAx>
        <c:axId val="1907255135"/>
        <c:scaling>
          <c:orientation val="minMax"/>
          <c:max val="65"/>
          <c:min val="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Avg(%)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90725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plot_pic!$A$14</c:f>
              <c:strCache>
                <c:ptCount val="1"/>
                <c:pt idx="0">
                  <c:v>AGCN++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plot_pic!$B$13:$G$13</c:f>
              <c:strCache>
                <c:ptCount val="6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</c:strCache>
            </c:strRef>
          </c:cat>
          <c:val>
            <c:numRef>
              <c:f>plot_pic!$B$14:$G$14</c:f>
              <c:numCache>
                <c:formatCode>General</c:formatCode>
                <c:ptCount val="6"/>
                <c:pt idx="0">
                  <c:v>6.43</c:v>
                </c:pt>
                <c:pt idx="1">
                  <c:v>59.73</c:v>
                </c:pt>
                <c:pt idx="2">
                  <c:v>29.653333333333336</c:v>
                </c:pt>
                <c:pt idx="3">
                  <c:v>76.026666666666671</c:v>
                </c:pt>
                <c:pt idx="4">
                  <c:v>78.11333333333333</c:v>
                </c:pt>
                <c:pt idx="5">
                  <c:v>55.013333333333328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F-4E97-A342-FFB043C931A4}"/>
            </c:ext>
          </c:extLst>
        </c:ser>
        <c:ser>
          <c:idx val="1"/>
          <c:order val="1"/>
          <c:tx>
            <c:strRef>
              <c:f>plot_pic!$A$15</c:f>
              <c:strCache>
                <c:ptCount val="1"/>
                <c:pt idx="0">
                  <c:v>APPLE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plot_pic!$B$13:$G$13</c:f>
              <c:strCache>
                <c:ptCount val="6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</c:strCache>
            </c:strRef>
          </c:cat>
          <c:val>
            <c:numRef>
              <c:f>plot_pic!$B$15:$G$15</c:f>
              <c:numCache>
                <c:formatCode>General</c:formatCode>
                <c:ptCount val="6"/>
                <c:pt idx="0">
                  <c:v>13.693333333333333</c:v>
                </c:pt>
                <c:pt idx="1">
                  <c:v>48.483333333333327</c:v>
                </c:pt>
                <c:pt idx="2">
                  <c:v>21.276666666666667</c:v>
                </c:pt>
                <c:pt idx="3">
                  <c:v>41.116666666666667</c:v>
                </c:pt>
                <c:pt idx="4">
                  <c:v>38.333333333333336</c:v>
                </c:pt>
                <c:pt idx="5">
                  <c:v>31.606666666666666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F-4E97-A342-FFB043C931A4}"/>
            </c:ext>
          </c:extLst>
        </c:ser>
        <c:ser>
          <c:idx val="2"/>
          <c:order val="2"/>
          <c:tx>
            <c:strRef>
              <c:f>plot_pic!$A$16</c:f>
              <c:strCache>
                <c:ptCount val="1"/>
                <c:pt idx="0">
                  <c:v>CSC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plot_pic!$B$13:$G$13</c:f>
              <c:strCache>
                <c:ptCount val="6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</c:strCache>
            </c:strRef>
          </c:cat>
          <c:val>
            <c:numRef>
              <c:f>plot_pic!$B$16:$G$16</c:f>
              <c:numCache>
                <c:formatCode>General</c:formatCode>
                <c:ptCount val="6"/>
                <c:pt idx="0">
                  <c:v>18.286666666666665</c:v>
                </c:pt>
                <c:pt idx="1">
                  <c:v>54.063333333333333</c:v>
                </c:pt>
                <c:pt idx="2">
                  <c:v>26.23</c:v>
                </c:pt>
                <c:pt idx="3">
                  <c:v>65.676666666666662</c:v>
                </c:pt>
                <c:pt idx="4">
                  <c:v>65.100000000000009</c:v>
                </c:pt>
                <c:pt idx="5">
                  <c:v>52.013333333333328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F-4E97-A342-FFB043C931A4}"/>
            </c:ext>
          </c:extLst>
        </c:ser>
        <c:ser>
          <c:idx val="3"/>
          <c:order val="3"/>
          <c:tx>
            <c:strRef>
              <c:f>plot_pic!$A$17</c:f>
              <c:strCache>
                <c:ptCount val="1"/>
                <c:pt idx="0">
                  <c:v>PodNet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plot_pic!$B$13:$G$13</c:f>
              <c:strCache>
                <c:ptCount val="6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</c:strCache>
            </c:strRef>
          </c:cat>
          <c:val>
            <c:numRef>
              <c:f>plot_pic!$B$17:$G$17</c:f>
              <c:numCache>
                <c:formatCode>General</c:formatCode>
                <c:ptCount val="6"/>
                <c:pt idx="0">
                  <c:v>8.56</c:v>
                </c:pt>
                <c:pt idx="1">
                  <c:v>8.5366666666666671</c:v>
                </c:pt>
                <c:pt idx="2">
                  <c:v>2.14</c:v>
                </c:pt>
                <c:pt idx="3">
                  <c:v>14.6</c:v>
                </c:pt>
                <c:pt idx="4">
                  <c:v>13.923333333333332</c:v>
                </c:pt>
                <c:pt idx="5">
                  <c:v>15.049999999999999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AF-4E97-A342-FFB043C931A4}"/>
            </c:ext>
          </c:extLst>
        </c:ser>
        <c:ser>
          <c:idx val="4"/>
          <c:order val="4"/>
          <c:tx>
            <c:strRef>
              <c:f>plot_pic!$A$18</c:f>
              <c:strCache>
                <c:ptCount val="1"/>
                <c:pt idx="0">
                  <c:v>EMed-MCLM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plot_pic!$B$13:$G$13</c:f>
              <c:strCache>
                <c:ptCount val="6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</c:strCache>
            </c:strRef>
          </c:cat>
          <c:val>
            <c:numRef>
              <c:f>plot_pic!$B$18:$G$18</c:f>
              <c:numCache>
                <c:formatCode>General</c:formatCode>
                <c:ptCount val="6"/>
                <c:pt idx="0">
                  <c:v>9.51</c:v>
                </c:pt>
                <c:pt idx="1">
                  <c:v>6.63</c:v>
                </c:pt>
                <c:pt idx="2">
                  <c:v>3.6833333333333336</c:v>
                </c:pt>
                <c:pt idx="3">
                  <c:v>11</c:v>
                </c:pt>
                <c:pt idx="4">
                  <c:v>12.196666666666667</c:v>
                </c:pt>
                <c:pt idx="5">
                  <c:v>15.770000000000001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AF-4E97-A342-FFB043C93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726127"/>
        <c:axId val="279726607"/>
      </c:lineChart>
      <c:catAx>
        <c:axId val="27972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79726607"/>
        <c:crosses val="autoZero"/>
        <c:auto val="1"/>
        <c:lblAlgn val="ctr"/>
        <c:lblOffset val="100"/>
        <c:noMultiLvlLbl val="0"/>
      </c:catAx>
      <c:valAx>
        <c:axId val="279726607"/>
        <c:scaling>
          <c:orientation val="minMax"/>
          <c:max val="8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Diff(%)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7972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plot_pic!$A$20</c:f>
              <c:strCache>
                <c:ptCount val="1"/>
                <c:pt idx="0">
                  <c:v>AGCN++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plot_pic!$B$13:$G$13</c:f>
              <c:strCache>
                <c:ptCount val="6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</c:strCache>
            </c:strRef>
          </c:cat>
          <c:val>
            <c:numRef>
              <c:f>plot_pic!$B$20:$G$20</c:f>
              <c:numCache>
                <c:formatCode>General</c:formatCode>
                <c:ptCount val="6"/>
                <c:pt idx="0">
                  <c:v>57.49666666666667</c:v>
                </c:pt>
                <c:pt idx="1">
                  <c:v>56.056666666666672</c:v>
                </c:pt>
                <c:pt idx="2">
                  <c:v>57.243333333333339</c:v>
                </c:pt>
                <c:pt idx="3">
                  <c:v>53.813333333333333</c:v>
                </c:pt>
                <c:pt idx="4">
                  <c:v>53.633333333333333</c:v>
                </c:pt>
                <c:pt idx="5">
                  <c:v>54.073333333333331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D7-4630-BD80-19019288D244}"/>
            </c:ext>
          </c:extLst>
        </c:ser>
        <c:ser>
          <c:idx val="1"/>
          <c:order val="1"/>
          <c:tx>
            <c:strRef>
              <c:f>plot_pic!$A$21</c:f>
              <c:strCache>
                <c:ptCount val="1"/>
                <c:pt idx="0">
                  <c:v>APPLE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plot_pic!$B$13:$G$13</c:f>
              <c:strCache>
                <c:ptCount val="6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</c:strCache>
            </c:strRef>
          </c:cat>
          <c:val>
            <c:numRef>
              <c:f>plot_pic!$B$21:$G$21</c:f>
              <c:numCache>
                <c:formatCode>General</c:formatCode>
                <c:ptCount val="6"/>
                <c:pt idx="0">
                  <c:v>57.556666666666672</c:v>
                </c:pt>
                <c:pt idx="1">
                  <c:v>58.199999999999996</c:v>
                </c:pt>
                <c:pt idx="2">
                  <c:v>58.206666666666671</c:v>
                </c:pt>
                <c:pt idx="3">
                  <c:v>58.04666666666666</c:v>
                </c:pt>
                <c:pt idx="4">
                  <c:v>57.193333333333328</c:v>
                </c:pt>
                <c:pt idx="5">
                  <c:v>59.69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D7-4630-BD80-19019288D244}"/>
            </c:ext>
          </c:extLst>
        </c:ser>
        <c:ser>
          <c:idx val="2"/>
          <c:order val="2"/>
          <c:tx>
            <c:strRef>
              <c:f>plot_pic!$A$22</c:f>
              <c:strCache>
                <c:ptCount val="1"/>
                <c:pt idx="0">
                  <c:v>CSC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plot_pic!$B$13:$G$13</c:f>
              <c:strCache>
                <c:ptCount val="6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</c:strCache>
            </c:strRef>
          </c:cat>
          <c:val>
            <c:numRef>
              <c:f>plot_pic!$B$22:$G$22</c:f>
              <c:numCache>
                <c:formatCode>General</c:formatCode>
                <c:ptCount val="6"/>
                <c:pt idx="0">
                  <c:v>54.18</c:v>
                </c:pt>
                <c:pt idx="1">
                  <c:v>54.129999999999995</c:v>
                </c:pt>
                <c:pt idx="2">
                  <c:v>54.78</c:v>
                </c:pt>
                <c:pt idx="3">
                  <c:v>52.413333333333334</c:v>
                </c:pt>
                <c:pt idx="4">
                  <c:v>52.20333333333334</c:v>
                </c:pt>
                <c:pt idx="5">
                  <c:v>54.126666666666665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D7-4630-BD80-19019288D244}"/>
            </c:ext>
          </c:extLst>
        </c:ser>
        <c:ser>
          <c:idx val="3"/>
          <c:order val="3"/>
          <c:tx>
            <c:strRef>
              <c:f>plot_pic!$A$23</c:f>
              <c:strCache>
                <c:ptCount val="1"/>
                <c:pt idx="0">
                  <c:v>PodNet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plot_pic!$B$13:$G$13</c:f>
              <c:strCache>
                <c:ptCount val="6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</c:strCache>
            </c:strRef>
          </c:cat>
          <c:val>
            <c:numRef>
              <c:f>plot_pic!$B$23:$G$23</c:f>
              <c:numCache>
                <c:formatCode>General</c:formatCode>
                <c:ptCount val="6"/>
                <c:pt idx="0">
                  <c:v>58.25333333333333</c:v>
                </c:pt>
                <c:pt idx="1">
                  <c:v>58.873333333333335</c:v>
                </c:pt>
                <c:pt idx="2">
                  <c:v>58.656666666666666</c:v>
                </c:pt>
                <c:pt idx="3">
                  <c:v>58.43</c:v>
                </c:pt>
                <c:pt idx="4">
                  <c:v>56.683333333333337</c:v>
                </c:pt>
                <c:pt idx="5">
                  <c:v>60.02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D7-4630-BD80-19019288D244}"/>
            </c:ext>
          </c:extLst>
        </c:ser>
        <c:ser>
          <c:idx val="4"/>
          <c:order val="4"/>
          <c:tx>
            <c:strRef>
              <c:f>plot_pic!$A$24</c:f>
              <c:strCache>
                <c:ptCount val="1"/>
                <c:pt idx="0">
                  <c:v>EMed-MCLM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plot_pic!$B$13:$G$13</c:f>
              <c:strCache>
                <c:ptCount val="6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</c:strCache>
            </c:strRef>
          </c:cat>
          <c:val>
            <c:numRef>
              <c:f>plot_pic!$B$24:$G$24</c:f>
              <c:numCache>
                <c:formatCode>General</c:formatCode>
                <c:ptCount val="6"/>
                <c:pt idx="0">
                  <c:v>59.563333333333333</c:v>
                </c:pt>
                <c:pt idx="1">
                  <c:v>60.456666666666671</c:v>
                </c:pt>
                <c:pt idx="2">
                  <c:v>58.933333333333337</c:v>
                </c:pt>
                <c:pt idx="3">
                  <c:v>59.966666666666661</c:v>
                </c:pt>
                <c:pt idx="4">
                  <c:v>58.71</c:v>
                </c:pt>
                <c:pt idx="5">
                  <c:v>60.363333333333337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D7-4630-BD80-19019288D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431247"/>
        <c:axId val="269432207"/>
      </c:lineChart>
      <c:catAx>
        <c:axId val="26943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69432207"/>
        <c:crosses val="autoZero"/>
        <c:auto val="1"/>
        <c:lblAlgn val="ctr"/>
        <c:lblOffset val="100"/>
        <c:noMultiLvlLbl val="0"/>
      </c:catAx>
      <c:valAx>
        <c:axId val="269432207"/>
        <c:scaling>
          <c:orientation val="minMax"/>
          <c:max val="65"/>
          <c:min val="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Avg(%)</a:t>
                </a:r>
                <a:endParaRPr lang="zh-CN" alt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9431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plot_pic!$U$2</c:f>
              <c:strCache>
                <c:ptCount val="1"/>
                <c:pt idx="0">
                  <c:v>AGCN++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plot_pic!$V$1:$AE$1</c:f>
              <c:strCache>
                <c:ptCount val="10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  <c:pt idx="6">
                  <c:v>M4-T1</c:v>
                </c:pt>
                <c:pt idx="7">
                  <c:v>M4-T2</c:v>
                </c:pt>
                <c:pt idx="8">
                  <c:v>M4-T3</c:v>
                </c:pt>
                <c:pt idx="9">
                  <c:v>M4-T4</c:v>
                </c:pt>
              </c:strCache>
            </c:strRef>
          </c:cat>
          <c:val>
            <c:numRef>
              <c:f>plot_pic!$V$2:$AE$2</c:f>
              <c:numCache>
                <c:formatCode>General</c:formatCode>
                <c:ptCount val="10"/>
                <c:pt idx="0">
                  <c:v>16.346666666666668</c:v>
                </c:pt>
                <c:pt idx="1">
                  <c:v>38.080000000000005</c:v>
                </c:pt>
                <c:pt idx="2">
                  <c:v>21.516666666666666</c:v>
                </c:pt>
                <c:pt idx="3">
                  <c:v>44.956666666666671</c:v>
                </c:pt>
                <c:pt idx="4">
                  <c:v>44.073333333333331</c:v>
                </c:pt>
                <c:pt idx="5">
                  <c:v>29.016666666666666</c:v>
                </c:pt>
                <c:pt idx="6">
                  <c:v>61.26</c:v>
                </c:pt>
                <c:pt idx="7">
                  <c:v>30.69</c:v>
                </c:pt>
                <c:pt idx="8">
                  <c:v>32.716666666666661</c:v>
                </c:pt>
                <c:pt idx="9">
                  <c:v>26.933333333333334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5E-427C-9BE2-73D7358B943F}"/>
            </c:ext>
          </c:extLst>
        </c:ser>
        <c:ser>
          <c:idx val="1"/>
          <c:order val="1"/>
          <c:tx>
            <c:strRef>
              <c:f>plot_pic!$U$3</c:f>
              <c:strCache>
                <c:ptCount val="1"/>
                <c:pt idx="0">
                  <c:v>APPLE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plot_pic!$V$1:$AE$1</c:f>
              <c:strCache>
                <c:ptCount val="10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  <c:pt idx="6">
                  <c:v>M4-T1</c:v>
                </c:pt>
                <c:pt idx="7">
                  <c:v>M4-T2</c:v>
                </c:pt>
                <c:pt idx="8">
                  <c:v>M4-T3</c:v>
                </c:pt>
                <c:pt idx="9">
                  <c:v>M4-T4</c:v>
                </c:pt>
              </c:strCache>
            </c:strRef>
          </c:cat>
          <c:val>
            <c:numRef>
              <c:f>plot_pic!$V$3:$AE$3</c:f>
              <c:numCache>
                <c:formatCode>General</c:formatCode>
                <c:ptCount val="10"/>
                <c:pt idx="0">
                  <c:v>6.6099999999999994</c:v>
                </c:pt>
                <c:pt idx="1">
                  <c:v>47.273333333333333</c:v>
                </c:pt>
                <c:pt idx="2">
                  <c:v>37.08</c:v>
                </c:pt>
                <c:pt idx="3">
                  <c:v>24.973333333333333</c:v>
                </c:pt>
                <c:pt idx="4">
                  <c:v>26.906666666666666</c:v>
                </c:pt>
                <c:pt idx="5">
                  <c:v>25.883333333333336</c:v>
                </c:pt>
                <c:pt idx="6">
                  <c:v>8.2166666666666668</c:v>
                </c:pt>
                <c:pt idx="7">
                  <c:v>20.66333333333333</c:v>
                </c:pt>
                <c:pt idx="8">
                  <c:v>22.400000000000002</c:v>
                </c:pt>
                <c:pt idx="9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5E-427C-9BE2-73D7358B943F}"/>
            </c:ext>
          </c:extLst>
        </c:ser>
        <c:ser>
          <c:idx val="2"/>
          <c:order val="2"/>
          <c:tx>
            <c:strRef>
              <c:f>plot_pic!$U$4</c:f>
              <c:strCache>
                <c:ptCount val="1"/>
                <c:pt idx="0">
                  <c:v>CSC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plot_pic!$V$1:$AE$1</c:f>
              <c:strCache>
                <c:ptCount val="10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  <c:pt idx="6">
                  <c:v>M4-T1</c:v>
                </c:pt>
                <c:pt idx="7">
                  <c:v>M4-T2</c:v>
                </c:pt>
                <c:pt idx="8">
                  <c:v>M4-T3</c:v>
                </c:pt>
                <c:pt idx="9">
                  <c:v>M4-T4</c:v>
                </c:pt>
              </c:strCache>
            </c:strRef>
          </c:cat>
          <c:val>
            <c:numRef>
              <c:f>plot_pic!$V$4:$AE$4</c:f>
              <c:numCache>
                <c:formatCode>General</c:formatCode>
                <c:ptCount val="10"/>
                <c:pt idx="0">
                  <c:v>11.219999999999999</c:v>
                </c:pt>
                <c:pt idx="1">
                  <c:v>57.870000000000005</c:v>
                </c:pt>
                <c:pt idx="2">
                  <c:v>45.323333333333331</c:v>
                </c:pt>
                <c:pt idx="3">
                  <c:v>43.91</c:v>
                </c:pt>
                <c:pt idx="4">
                  <c:v>34.943333333333335</c:v>
                </c:pt>
                <c:pt idx="5">
                  <c:v>29.223333333333333</c:v>
                </c:pt>
                <c:pt idx="6">
                  <c:v>39.173333333333339</c:v>
                </c:pt>
                <c:pt idx="7">
                  <c:v>46.02</c:v>
                </c:pt>
                <c:pt idx="8">
                  <c:v>54.6</c:v>
                </c:pt>
                <c:pt idx="9">
                  <c:v>49.593333333333334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5E-427C-9BE2-73D7358B943F}"/>
            </c:ext>
          </c:extLst>
        </c:ser>
        <c:ser>
          <c:idx val="3"/>
          <c:order val="3"/>
          <c:tx>
            <c:strRef>
              <c:f>plot_pic!$U$5</c:f>
              <c:strCache>
                <c:ptCount val="1"/>
                <c:pt idx="0">
                  <c:v>PodNet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plot_pic!$V$1:$AE$1</c:f>
              <c:strCache>
                <c:ptCount val="10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  <c:pt idx="6">
                  <c:v>M4-T1</c:v>
                </c:pt>
                <c:pt idx="7">
                  <c:v>M4-T2</c:v>
                </c:pt>
                <c:pt idx="8">
                  <c:v>M4-T3</c:v>
                </c:pt>
                <c:pt idx="9">
                  <c:v>M4-T4</c:v>
                </c:pt>
              </c:strCache>
            </c:strRef>
          </c:cat>
          <c:val>
            <c:numRef>
              <c:f>plot_pic!$V$5:$AE$5</c:f>
              <c:numCache>
                <c:formatCode>General</c:formatCode>
                <c:ptCount val="10"/>
                <c:pt idx="0">
                  <c:v>29.943333333333332</c:v>
                </c:pt>
                <c:pt idx="1">
                  <c:v>20.106666666666666</c:v>
                </c:pt>
                <c:pt idx="2">
                  <c:v>11.866666666666665</c:v>
                </c:pt>
                <c:pt idx="3">
                  <c:v>40.923333333333332</c:v>
                </c:pt>
                <c:pt idx="4">
                  <c:v>7.586666666666666</c:v>
                </c:pt>
                <c:pt idx="5">
                  <c:v>17.513333333333335</c:v>
                </c:pt>
                <c:pt idx="6">
                  <c:v>8.0566666666666666</c:v>
                </c:pt>
                <c:pt idx="7">
                  <c:v>7.8533333333333344</c:v>
                </c:pt>
                <c:pt idx="8">
                  <c:v>9.8033333333333328</c:v>
                </c:pt>
                <c:pt idx="9">
                  <c:v>19.586666666666666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5E-427C-9BE2-73D7358B943F}"/>
            </c:ext>
          </c:extLst>
        </c:ser>
        <c:ser>
          <c:idx val="4"/>
          <c:order val="4"/>
          <c:tx>
            <c:strRef>
              <c:f>plot_pic!$U$6</c:f>
              <c:strCache>
                <c:ptCount val="1"/>
                <c:pt idx="0">
                  <c:v>EMed-MCLM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plot_pic!$V$1:$AE$1</c:f>
              <c:strCache>
                <c:ptCount val="10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  <c:pt idx="6">
                  <c:v>M4-T1</c:v>
                </c:pt>
                <c:pt idx="7">
                  <c:v>M4-T2</c:v>
                </c:pt>
                <c:pt idx="8">
                  <c:v>M4-T3</c:v>
                </c:pt>
                <c:pt idx="9">
                  <c:v>M4-T4</c:v>
                </c:pt>
              </c:strCache>
            </c:strRef>
          </c:cat>
          <c:val>
            <c:numRef>
              <c:f>plot_pic!$V$6:$AE$6</c:f>
              <c:numCache>
                <c:formatCode>General</c:formatCode>
                <c:ptCount val="10"/>
                <c:pt idx="0">
                  <c:v>12.840000000000002</c:v>
                </c:pt>
                <c:pt idx="1">
                  <c:v>4.9933333333333332</c:v>
                </c:pt>
                <c:pt idx="2">
                  <c:v>10.406666666666666</c:v>
                </c:pt>
                <c:pt idx="3">
                  <c:v>7.9566666666666661</c:v>
                </c:pt>
                <c:pt idx="4">
                  <c:v>22.256666666666664</c:v>
                </c:pt>
                <c:pt idx="5">
                  <c:v>14.986666666666665</c:v>
                </c:pt>
                <c:pt idx="6">
                  <c:v>5.5166666666666666</c:v>
                </c:pt>
                <c:pt idx="7">
                  <c:v>20.206666666666667</c:v>
                </c:pt>
                <c:pt idx="8">
                  <c:v>20.74</c:v>
                </c:pt>
                <c:pt idx="9">
                  <c:v>7.2700000000000005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5E-427C-9BE2-73D7358B9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6358511"/>
        <c:axId val="1916348911"/>
      </c:lineChart>
      <c:catAx>
        <c:axId val="191635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916348911"/>
        <c:crosses val="autoZero"/>
        <c:auto val="1"/>
        <c:lblAlgn val="ctr"/>
        <c:lblOffset val="100"/>
        <c:noMultiLvlLbl val="0"/>
      </c:catAx>
      <c:valAx>
        <c:axId val="1916348911"/>
        <c:scaling>
          <c:orientation val="minMax"/>
          <c:max val="6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Diff(%)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916358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plot_pic!$U$8</c:f>
              <c:strCache>
                <c:ptCount val="1"/>
                <c:pt idx="0">
                  <c:v>AGCN++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plot_pic!$V$1:$AE$1</c:f>
              <c:strCache>
                <c:ptCount val="10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  <c:pt idx="6">
                  <c:v>M4-T1</c:v>
                </c:pt>
                <c:pt idx="7">
                  <c:v>M4-T2</c:v>
                </c:pt>
                <c:pt idx="8">
                  <c:v>M4-T3</c:v>
                </c:pt>
                <c:pt idx="9">
                  <c:v>M4-T4</c:v>
                </c:pt>
              </c:strCache>
            </c:strRef>
          </c:cat>
          <c:val>
            <c:numRef>
              <c:f>plot_pic!$V$8:$AE$8</c:f>
              <c:numCache>
                <c:formatCode>General</c:formatCode>
                <c:ptCount val="10"/>
                <c:pt idx="0">
                  <c:v>67.709999999999994</c:v>
                </c:pt>
                <c:pt idx="1">
                  <c:v>53.233333333333327</c:v>
                </c:pt>
                <c:pt idx="2">
                  <c:v>52.816666666666663</c:v>
                </c:pt>
                <c:pt idx="3">
                  <c:v>52.983333333333327</c:v>
                </c:pt>
                <c:pt idx="4">
                  <c:v>52.85</c:v>
                </c:pt>
                <c:pt idx="5">
                  <c:v>50.59</c:v>
                </c:pt>
                <c:pt idx="6">
                  <c:v>53.816666666666663</c:v>
                </c:pt>
                <c:pt idx="7">
                  <c:v>52.896666666666668</c:v>
                </c:pt>
                <c:pt idx="8">
                  <c:v>52.493333333333332</c:v>
                </c:pt>
                <c:pt idx="9">
                  <c:v>50.303333333333335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9C-4635-A346-2F243B3E661B}"/>
            </c:ext>
          </c:extLst>
        </c:ser>
        <c:ser>
          <c:idx val="1"/>
          <c:order val="1"/>
          <c:tx>
            <c:strRef>
              <c:f>plot_pic!$U$9</c:f>
              <c:strCache>
                <c:ptCount val="1"/>
                <c:pt idx="0">
                  <c:v>APPLE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plot_pic!$V$1:$AE$1</c:f>
              <c:strCache>
                <c:ptCount val="10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  <c:pt idx="6">
                  <c:v>M4-T1</c:v>
                </c:pt>
                <c:pt idx="7">
                  <c:v>M4-T2</c:v>
                </c:pt>
                <c:pt idx="8">
                  <c:v>M4-T3</c:v>
                </c:pt>
                <c:pt idx="9">
                  <c:v>M4-T4</c:v>
                </c:pt>
              </c:strCache>
            </c:strRef>
          </c:cat>
          <c:val>
            <c:numRef>
              <c:f>plot_pic!$V$9:$AE$9</c:f>
              <c:numCache>
                <c:formatCode>General</c:formatCode>
                <c:ptCount val="10"/>
                <c:pt idx="0">
                  <c:v>61.926666666666669</c:v>
                </c:pt>
                <c:pt idx="1">
                  <c:v>61.783333333333339</c:v>
                </c:pt>
                <c:pt idx="2">
                  <c:v>58.70333333333334</c:v>
                </c:pt>
                <c:pt idx="3">
                  <c:v>64.006666666666661</c:v>
                </c:pt>
                <c:pt idx="4">
                  <c:v>66.219999999999985</c:v>
                </c:pt>
                <c:pt idx="5">
                  <c:v>59.28</c:v>
                </c:pt>
                <c:pt idx="6">
                  <c:v>72.64</c:v>
                </c:pt>
                <c:pt idx="7">
                  <c:v>66.660000000000011</c:v>
                </c:pt>
                <c:pt idx="8">
                  <c:v>61.75333333333333</c:v>
                </c:pt>
                <c:pt idx="9">
                  <c:v>64.156666666666652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9C-4635-A346-2F243B3E661B}"/>
            </c:ext>
          </c:extLst>
        </c:ser>
        <c:ser>
          <c:idx val="2"/>
          <c:order val="2"/>
          <c:tx>
            <c:strRef>
              <c:f>plot_pic!$U$10</c:f>
              <c:strCache>
                <c:ptCount val="1"/>
                <c:pt idx="0">
                  <c:v>CSC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plot_pic!$V$1:$AE$1</c:f>
              <c:strCache>
                <c:ptCount val="10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  <c:pt idx="6">
                  <c:v>M4-T1</c:v>
                </c:pt>
                <c:pt idx="7">
                  <c:v>M4-T2</c:v>
                </c:pt>
                <c:pt idx="8">
                  <c:v>M4-T3</c:v>
                </c:pt>
                <c:pt idx="9">
                  <c:v>M4-T4</c:v>
                </c:pt>
              </c:strCache>
            </c:strRef>
          </c:cat>
          <c:val>
            <c:numRef>
              <c:f>plot_pic!$V$10:$AE$10</c:f>
              <c:numCache>
                <c:formatCode>General</c:formatCode>
                <c:ptCount val="10"/>
                <c:pt idx="0">
                  <c:v>59.589999999999996</c:v>
                </c:pt>
                <c:pt idx="1">
                  <c:v>59.35</c:v>
                </c:pt>
                <c:pt idx="2">
                  <c:v>54.473333333333336</c:v>
                </c:pt>
                <c:pt idx="3">
                  <c:v>59.163333333333327</c:v>
                </c:pt>
                <c:pt idx="4">
                  <c:v>55.923333333333325</c:v>
                </c:pt>
                <c:pt idx="5">
                  <c:v>55.483333333333327</c:v>
                </c:pt>
                <c:pt idx="6">
                  <c:v>59.24666666666667</c:v>
                </c:pt>
                <c:pt idx="7">
                  <c:v>53.25</c:v>
                </c:pt>
                <c:pt idx="8">
                  <c:v>57</c:v>
                </c:pt>
                <c:pt idx="9">
                  <c:v>55.696666666666658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9C-4635-A346-2F243B3E661B}"/>
            </c:ext>
          </c:extLst>
        </c:ser>
        <c:ser>
          <c:idx val="3"/>
          <c:order val="3"/>
          <c:tx>
            <c:strRef>
              <c:f>plot_pic!$U$11</c:f>
              <c:strCache>
                <c:ptCount val="1"/>
                <c:pt idx="0">
                  <c:v>PodNet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plot_pic!$V$1:$AE$1</c:f>
              <c:strCache>
                <c:ptCount val="10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  <c:pt idx="6">
                  <c:v>M4-T1</c:v>
                </c:pt>
                <c:pt idx="7">
                  <c:v>M4-T2</c:v>
                </c:pt>
                <c:pt idx="8">
                  <c:v>M4-T3</c:v>
                </c:pt>
                <c:pt idx="9">
                  <c:v>M4-T4</c:v>
                </c:pt>
              </c:strCache>
            </c:strRef>
          </c:cat>
          <c:val>
            <c:numRef>
              <c:f>plot_pic!$V$11:$AE$11</c:f>
              <c:numCache>
                <c:formatCode>General</c:formatCode>
                <c:ptCount val="10"/>
                <c:pt idx="0">
                  <c:v>53.236666666666672</c:v>
                </c:pt>
                <c:pt idx="1">
                  <c:v>58.966666666666669</c:v>
                </c:pt>
                <c:pt idx="2">
                  <c:v>55.46</c:v>
                </c:pt>
                <c:pt idx="3">
                  <c:v>60.606666666666662</c:v>
                </c:pt>
                <c:pt idx="4">
                  <c:v>54.00333333333333</c:v>
                </c:pt>
                <c:pt idx="5">
                  <c:v>56.21</c:v>
                </c:pt>
                <c:pt idx="6">
                  <c:v>61.456666666666671</c:v>
                </c:pt>
                <c:pt idx="7">
                  <c:v>54.826666666666675</c:v>
                </c:pt>
                <c:pt idx="8">
                  <c:v>55.096666666666671</c:v>
                </c:pt>
                <c:pt idx="9">
                  <c:v>55.01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9C-4635-A346-2F243B3E661B}"/>
            </c:ext>
          </c:extLst>
        </c:ser>
        <c:ser>
          <c:idx val="4"/>
          <c:order val="4"/>
          <c:tx>
            <c:strRef>
              <c:f>plot_pic!$U$12</c:f>
              <c:strCache>
                <c:ptCount val="1"/>
                <c:pt idx="0">
                  <c:v>EMed-MCLM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plot_pic!$V$1:$AE$1</c:f>
              <c:strCache>
                <c:ptCount val="10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  <c:pt idx="6">
                  <c:v>M4-T1</c:v>
                </c:pt>
                <c:pt idx="7">
                  <c:v>M4-T2</c:v>
                </c:pt>
                <c:pt idx="8">
                  <c:v>M4-T3</c:v>
                </c:pt>
                <c:pt idx="9">
                  <c:v>M4-T4</c:v>
                </c:pt>
              </c:strCache>
            </c:strRef>
          </c:cat>
          <c:val>
            <c:numRef>
              <c:f>plot_pic!$V$12:$AE$12</c:f>
              <c:numCache>
                <c:formatCode>General</c:formatCode>
                <c:ptCount val="10"/>
                <c:pt idx="0">
                  <c:v>69.123333333333321</c:v>
                </c:pt>
                <c:pt idx="1">
                  <c:v>71.209999999999994</c:v>
                </c:pt>
                <c:pt idx="2">
                  <c:v>64.313333333333333</c:v>
                </c:pt>
                <c:pt idx="3">
                  <c:v>71.100000000000009</c:v>
                </c:pt>
                <c:pt idx="4">
                  <c:v>69.510000000000005</c:v>
                </c:pt>
                <c:pt idx="5">
                  <c:v>61.266666666666673</c:v>
                </c:pt>
                <c:pt idx="6">
                  <c:v>73.92</c:v>
                </c:pt>
                <c:pt idx="7">
                  <c:v>67.436666666666667</c:v>
                </c:pt>
                <c:pt idx="8">
                  <c:v>65.319999999999993</c:v>
                </c:pt>
                <c:pt idx="9">
                  <c:v>65.946666666666673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9C-4635-A346-2F243B3E6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6349391"/>
        <c:axId val="1916349871"/>
      </c:lineChart>
      <c:catAx>
        <c:axId val="191634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916349871"/>
        <c:crosses val="autoZero"/>
        <c:auto val="1"/>
        <c:lblAlgn val="ctr"/>
        <c:lblOffset val="100"/>
        <c:noMultiLvlLbl val="0"/>
      </c:catAx>
      <c:valAx>
        <c:axId val="1916349871"/>
        <c:scaling>
          <c:orientation val="minMax"/>
          <c:max val="75"/>
          <c:min val="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Avg(%)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91634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plot_pic!$U$14</c:f>
              <c:strCache>
                <c:ptCount val="1"/>
                <c:pt idx="0">
                  <c:v>AGCN++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plot_pic!$V$13:$AA$13</c:f>
              <c:strCache>
                <c:ptCount val="6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</c:strCache>
            </c:strRef>
          </c:cat>
          <c:val>
            <c:numRef>
              <c:f>plot_pic!$V$14:$AA$14</c:f>
              <c:numCache>
                <c:formatCode>General</c:formatCode>
                <c:ptCount val="6"/>
                <c:pt idx="0">
                  <c:v>25.120000000000005</c:v>
                </c:pt>
                <c:pt idx="1">
                  <c:v>17.89</c:v>
                </c:pt>
                <c:pt idx="2">
                  <c:v>12.153333333333334</c:v>
                </c:pt>
                <c:pt idx="3">
                  <c:v>42.25333333333333</c:v>
                </c:pt>
                <c:pt idx="4">
                  <c:v>38.806666666666665</c:v>
                </c:pt>
                <c:pt idx="5">
                  <c:v>21.349999999999998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DC-475A-B7CD-F39338996419}"/>
            </c:ext>
          </c:extLst>
        </c:ser>
        <c:ser>
          <c:idx val="1"/>
          <c:order val="1"/>
          <c:tx>
            <c:strRef>
              <c:f>plot_pic!$U$15</c:f>
              <c:strCache>
                <c:ptCount val="1"/>
                <c:pt idx="0">
                  <c:v>APPLE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plot_pic!$V$13:$AA$13</c:f>
              <c:strCache>
                <c:ptCount val="6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</c:strCache>
            </c:strRef>
          </c:cat>
          <c:val>
            <c:numRef>
              <c:f>plot_pic!$V$15:$AA$15</c:f>
              <c:numCache>
                <c:formatCode>General</c:formatCode>
                <c:ptCount val="6"/>
                <c:pt idx="0">
                  <c:v>18.18</c:v>
                </c:pt>
                <c:pt idx="1">
                  <c:v>12.616666666666667</c:v>
                </c:pt>
                <c:pt idx="2">
                  <c:v>8.4533333333333331</c:v>
                </c:pt>
                <c:pt idx="3">
                  <c:v>20.220000000000002</c:v>
                </c:pt>
                <c:pt idx="4">
                  <c:v>25.676666666666666</c:v>
                </c:pt>
                <c:pt idx="5">
                  <c:v>20.616666666666667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DC-475A-B7CD-F39338996419}"/>
            </c:ext>
          </c:extLst>
        </c:ser>
        <c:ser>
          <c:idx val="2"/>
          <c:order val="2"/>
          <c:tx>
            <c:strRef>
              <c:f>plot_pic!$U$16</c:f>
              <c:strCache>
                <c:ptCount val="1"/>
                <c:pt idx="0">
                  <c:v>CSC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plot_pic!$V$13:$AA$13</c:f>
              <c:strCache>
                <c:ptCount val="6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</c:strCache>
            </c:strRef>
          </c:cat>
          <c:val>
            <c:numRef>
              <c:f>plot_pic!$V$16:$AA$16</c:f>
              <c:numCache>
                <c:formatCode>General</c:formatCode>
                <c:ptCount val="6"/>
                <c:pt idx="0">
                  <c:v>10.18</c:v>
                </c:pt>
                <c:pt idx="1">
                  <c:v>30.796666666666667</c:v>
                </c:pt>
                <c:pt idx="2">
                  <c:v>33.199999999999996</c:v>
                </c:pt>
                <c:pt idx="3">
                  <c:v>23.51</c:v>
                </c:pt>
                <c:pt idx="4">
                  <c:v>22.673333333333332</c:v>
                </c:pt>
                <c:pt idx="5">
                  <c:v>29.62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DC-475A-B7CD-F39338996419}"/>
            </c:ext>
          </c:extLst>
        </c:ser>
        <c:ser>
          <c:idx val="3"/>
          <c:order val="3"/>
          <c:tx>
            <c:strRef>
              <c:f>plot_pic!$U$17</c:f>
              <c:strCache>
                <c:ptCount val="1"/>
                <c:pt idx="0">
                  <c:v>PodNet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plot_pic!$V$13:$AA$13</c:f>
              <c:strCache>
                <c:ptCount val="6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</c:strCache>
            </c:strRef>
          </c:cat>
          <c:val>
            <c:numRef>
              <c:f>plot_pic!$V$17:$AA$17</c:f>
              <c:numCache>
                <c:formatCode>General</c:formatCode>
                <c:ptCount val="6"/>
                <c:pt idx="0">
                  <c:v>16.946666666666669</c:v>
                </c:pt>
                <c:pt idx="1">
                  <c:v>46.406666666666666</c:v>
                </c:pt>
                <c:pt idx="2">
                  <c:v>23.833333333333332</c:v>
                </c:pt>
                <c:pt idx="3">
                  <c:v>46.983333333333327</c:v>
                </c:pt>
                <c:pt idx="4">
                  <c:v>34.723333333333329</c:v>
                </c:pt>
                <c:pt idx="5">
                  <c:v>16.756666666666664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DC-475A-B7CD-F39338996419}"/>
            </c:ext>
          </c:extLst>
        </c:ser>
        <c:ser>
          <c:idx val="4"/>
          <c:order val="4"/>
          <c:tx>
            <c:strRef>
              <c:f>plot_pic!$U$18</c:f>
              <c:strCache>
                <c:ptCount val="1"/>
                <c:pt idx="0">
                  <c:v>EMed-MCLM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plot_pic!$V$13:$AA$13</c:f>
              <c:strCache>
                <c:ptCount val="6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</c:strCache>
            </c:strRef>
          </c:cat>
          <c:val>
            <c:numRef>
              <c:f>plot_pic!$V$18:$AA$18</c:f>
              <c:numCache>
                <c:formatCode>General</c:formatCode>
                <c:ptCount val="6"/>
                <c:pt idx="0">
                  <c:v>13.326666666666666</c:v>
                </c:pt>
                <c:pt idx="1">
                  <c:v>10.723333333333334</c:v>
                </c:pt>
                <c:pt idx="2">
                  <c:v>7.13</c:v>
                </c:pt>
                <c:pt idx="3">
                  <c:v>12.913333333333334</c:v>
                </c:pt>
                <c:pt idx="4">
                  <c:v>14.769999999999998</c:v>
                </c:pt>
                <c:pt idx="5">
                  <c:v>13.923333333333332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DC-475A-B7CD-F39338996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877679"/>
        <c:axId val="2068891119"/>
      </c:lineChart>
      <c:catAx>
        <c:axId val="206887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068891119"/>
        <c:crosses val="autoZero"/>
        <c:auto val="1"/>
        <c:lblAlgn val="ctr"/>
        <c:lblOffset val="100"/>
        <c:noMultiLvlLbl val="0"/>
      </c:catAx>
      <c:valAx>
        <c:axId val="20688911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Diff(%)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068877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plot_pic!$U$20</c:f>
              <c:strCache>
                <c:ptCount val="1"/>
                <c:pt idx="0">
                  <c:v>AGCN++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plot_pic!$V$13:$AA$13</c:f>
              <c:strCache>
                <c:ptCount val="6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</c:strCache>
            </c:strRef>
          </c:cat>
          <c:val>
            <c:numRef>
              <c:f>plot_pic!$V$20:$AA$20</c:f>
              <c:numCache>
                <c:formatCode>General</c:formatCode>
                <c:ptCount val="6"/>
                <c:pt idx="0">
                  <c:v>64.910000000000011</c:v>
                </c:pt>
                <c:pt idx="1">
                  <c:v>56.486666666666657</c:v>
                </c:pt>
                <c:pt idx="2">
                  <c:v>53.19</c:v>
                </c:pt>
                <c:pt idx="3">
                  <c:v>51.736666666666672</c:v>
                </c:pt>
                <c:pt idx="4">
                  <c:v>51.716666666666669</c:v>
                </c:pt>
                <c:pt idx="5">
                  <c:v>51.543333333333329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CA-4980-B7DF-7BD8FE1BF8BA}"/>
            </c:ext>
          </c:extLst>
        </c:ser>
        <c:ser>
          <c:idx val="1"/>
          <c:order val="1"/>
          <c:tx>
            <c:strRef>
              <c:f>plot_pic!$U$21</c:f>
              <c:strCache>
                <c:ptCount val="1"/>
                <c:pt idx="0">
                  <c:v>APPLE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plot_pic!$V$13:$AA$13</c:f>
              <c:strCache>
                <c:ptCount val="6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</c:strCache>
            </c:strRef>
          </c:cat>
          <c:val>
            <c:numRef>
              <c:f>plot_pic!$V$21:$AA$21</c:f>
              <c:numCache>
                <c:formatCode>General</c:formatCode>
                <c:ptCount val="6"/>
                <c:pt idx="0">
                  <c:v>63.95000000000001</c:v>
                </c:pt>
                <c:pt idx="1">
                  <c:v>69.343333333333334</c:v>
                </c:pt>
                <c:pt idx="2">
                  <c:v>67.41</c:v>
                </c:pt>
                <c:pt idx="3">
                  <c:v>69.50333333333333</c:v>
                </c:pt>
                <c:pt idx="4">
                  <c:v>66.89</c:v>
                </c:pt>
                <c:pt idx="5">
                  <c:v>67.666666666666671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CA-4980-B7DF-7BD8FE1BF8BA}"/>
            </c:ext>
          </c:extLst>
        </c:ser>
        <c:ser>
          <c:idx val="2"/>
          <c:order val="2"/>
          <c:tx>
            <c:strRef>
              <c:f>plot_pic!$U$22</c:f>
              <c:strCache>
                <c:ptCount val="1"/>
                <c:pt idx="0">
                  <c:v>CSC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plot_pic!$V$13:$AA$13</c:f>
              <c:strCache>
                <c:ptCount val="6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</c:strCache>
            </c:strRef>
          </c:cat>
          <c:val>
            <c:numRef>
              <c:f>plot_pic!$V$22:$AA$22</c:f>
              <c:numCache>
                <c:formatCode>General</c:formatCode>
                <c:ptCount val="6"/>
                <c:pt idx="0">
                  <c:v>59.786666666666669</c:v>
                </c:pt>
                <c:pt idx="1">
                  <c:v>60.080000000000005</c:v>
                </c:pt>
                <c:pt idx="2">
                  <c:v>59.243333333333332</c:v>
                </c:pt>
                <c:pt idx="3">
                  <c:v>62.370000000000005</c:v>
                </c:pt>
                <c:pt idx="4">
                  <c:v>60.31</c:v>
                </c:pt>
                <c:pt idx="5">
                  <c:v>58.009999999999991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CA-4980-B7DF-7BD8FE1BF8BA}"/>
            </c:ext>
          </c:extLst>
        </c:ser>
        <c:ser>
          <c:idx val="3"/>
          <c:order val="3"/>
          <c:tx>
            <c:strRef>
              <c:f>plot_pic!$U$23</c:f>
              <c:strCache>
                <c:ptCount val="1"/>
                <c:pt idx="0">
                  <c:v>PodNet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plot_pic!$V$13:$AA$13</c:f>
              <c:strCache>
                <c:ptCount val="6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</c:strCache>
            </c:strRef>
          </c:cat>
          <c:val>
            <c:numRef>
              <c:f>plot_pic!$V$23:$AA$23</c:f>
              <c:numCache>
                <c:formatCode>General</c:formatCode>
                <c:ptCount val="6"/>
                <c:pt idx="0">
                  <c:v>57.26</c:v>
                </c:pt>
                <c:pt idx="1">
                  <c:v>55.176666666666669</c:v>
                </c:pt>
                <c:pt idx="2">
                  <c:v>54.153333333333336</c:v>
                </c:pt>
                <c:pt idx="3">
                  <c:v>55.763333333333343</c:v>
                </c:pt>
                <c:pt idx="4">
                  <c:v>55.583333333333336</c:v>
                </c:pt>
                <c:pt idx="5">
                  <c:v>54.143333333333338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CA-4980-B7DF-7BD8FE1BF8BA}"/>
            </c:ext>
          </c:extLst>
        </c:ser>
        <c:ser>
          <c:idx val="4"/>
          <c:order val="4"/>
          <c:tx>
            <c:strRef>
              <c:f>plot_pic!$U$24</c:f>
              <c:strCache>
                <c:ptCount val="1"/>
                <c:pt idx="0">
                  <c:v>EMed-MCLM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plot_pic!$V$13:$AA$13</c:f>
              <c:strCache>
                <c:ptCount val="6"/>
                <c:pt idx="0">
                  <c:v>M1-T1</c:v>
                </c:pt>
                <c:pt idx="1">
                  <c:v>M2-T1</c:v>
                </c:pt>
                <c:pt idx="2">
                  <c:v>M2-T2</c:v>
                </c:pt>
                <c:pt idx="3">
                  <c:v>M3-T1</c:v>
                </c:pt>
                <c:pt idx="4">
                  <c:v>M3-T2</c:v>
                </c:pt>
                <c:pt idx="5">
                  <c:v>M3-T3</c:v>
                </c:pt>
              </c:strCache>
            </c:strRef>
          </c:cat>
          <c:val>
            <c:numRef>
              <c:f>plot_pic!$V$24:$AA$24</c:f>
              <c:numCache>
                <c:formatCode>General</c:formatCode>
                <c:ptCount val="6"/>
                <c:pt idx="0">
                  <c:v>70.56</c:v>
                </c:pt>
                <c:pt idx="1">
                  <c:v>69.08</c:v>
                </c:pt>
                <c:pt idx="2">
                  <c:v>70.966666666666683</c:v>
                </c:pt>
                <c:pt idx="3">
                  <c:v>72.576666666666654</c:v>
                </c:pt>
                <c:pt idx="4">
                  <c:v>72.663333333333327</c:v>
                </c:pt>
                <c:pt idx="5">
                  <c:v>69.756666666666661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CA-4980-B7DF-7BD8FE1BF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885839"/>
        <c:axId val="2068879119"/>
      </c:lineChart>
      <c:catAx>
        <c:axId val="206888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068879119"/>
        <c:crosses val="autoZero"/>
        <c:auto val="1"/>
        <c:lblAlgn val="ctr"/>
        <c:lblOffset val="100"/>
        <c:noMultiLvlLbl val="0"/>
      </c:catAx>
      <c:valAx>
        <c:axId val="2068879119"/>
        <c:scaling>
          <c:orientation val="minMax"/>
          <c:min val="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Avg(%)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06888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</xdr:colOff>
      <xdr:row>0</xdr:row>
      <xdr:rowOff>0</xdr:rowOff>
    </xdr:from>
    <xdr:to>
      <xdr:col>19</xdr:col>
      <xdr:colOff>15240</xdr:colOff>
      <xdr:row>14</xdr:row>
      <xdr:rowOff>167640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25C3B5C-0B58-9642-691B-C0ADF09CE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7620</xdr:colOff>
      <xdr:row>19</xdr:row>
      <xdr:rowOff>9005</xdr:rowOff>
    </xdr:from>
    <xdr:to>
      <xdr:col>19</xdr:col>
      <xdr:colOff>15240</xdr:colOff>
      <xdr:row>34</xdr:row>
      <xdr:rowOff>9006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E59FC98-1510-4ACE-CA5D-FF1659ED48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21772</xdr:colOff>
      <xdr:row>24</xdr:row>
      <xdr:rowOff>5444</xdr:rowOff>
    </xdr:from>
    <xdr:to>
      <xdr:col>9</xdr:col>
      <xdr:colOff>21772</xdr:colOff>
      <xdr:row>38</xdr:row>
      <xdr:rowOff>157844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FD56B53C-A3BD-F43A-5570-51F593572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5763</xdr:colOff>
      <xdr:row>40</xdr:row>
      <xdr:rowOff>3522</xdr:rowOff>
    </xdr:from>
    <xdr:to>
      <xdr:col>8</xdr:col>
      <xdr:colOff>604476</xdr:colOff>
      <xdr:row>54</xdr:row>
      <xdr:rowOff>150159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7F70E85F-CE89-D6BC-DB83-DF6D93578C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13445</xdr:colOff>
      <xdr:row>0</xdr:row>
      <xdr:rowOff>0</xdr:rowOff>
    </xdr:from>
    <xdr:to>
      <xdr:col>39</xdr:col>
      <xdr:colOff>17928</xdr:colOff>
      <xdr:row>14</xdr:row>
      <xdr:rowOff>170329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B49E2E06-B03E-A0E5-6DA5-ACC7F6DC3D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13445</xdr:colOff>
      <xdr:row>15</xdr:row>
      <xdr:rowOff>17929</xdr:rowOff>
    </xdr:from>
    <xdr:to>
      <xdr:col>39</xdr:col>
      <xdr:colOff>17928</xdr:colOff>
      <xdr:row>30</xdr:row>
      <xdr:rowOff>71717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B0D1F65A-2D79-E4EB-327F-4C759257B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13449</xdr:colOff>
      <xdr:row>23</xdr:row>
      <xdr:rowOff>170328</xdr:rowOff>
    </xdr:from>
    <xdr:to>
      <xdr:col>26</xdr:col>
      <xdr:colOff>510988</xdr:colOff>
      <xdr:row>39</xdr:row>
      <xdr:rowOff>44822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7B034D5F-608A-7335-46A2-DB0515B0A0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22411</xdr:colOff>
      <xdr:row>39</xdr:row>
      <xdr:rowOff>62752</xdr:rowOff>
    </xdr:from>
    <xdr:to>
      <xdr:col>26</xdr:col>
      <xdr:colOff>510988</xdr:colOff>
      <xdr:row>54</xdr:row>
      <xdr:rowOff>116541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B3021462-021F-7487-7D85-E9BAFDFBC8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PHD\paper\baiduNet\&#33041;&#32959;&#30244;&#22522;&#22240;&#39044;&#27979;_&#20462;&#31295;\&#23454;&#39564;&#32467;&#26524;&#35760;&#24405;.xlsx" TargetMode="External"/><Relationship Id="rId1" Type="http://schemas.openxmlformats.org/officeDocument/2006/relationships/externalLinkPath" Target="&#23454;&#39564;&#32467;&#26524;&#35760;&#2440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ne_y"/>
      <sheetName val="gene_C3_y"/>
      <sheetName val="chest"/>
      <sheetName val="chest_C3"/>
      <sheetName val="location"/>
      <sheetName val="param_record"/>
      <sheetName val="emed_lamda_C3"/>
      <sheetName val="emed_a_C3"/>
      <sheetName val="emed_b_C3"/>
      <sheetName val="emed_lamda"/>
      <sheetName val="emed_a"/>
      <sheetName val="emed_b"/>
      <sheetName val="Sheet6"/>
      <sheetName val="gene"/>
      <sheetName val="gene_C3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T1" t="str">
            <v>AVERAGE</v>
          </cell>
        </row>
        <row r="2">
          <cell r="T2" t="str">
            <v>STDEV.S</v>
          </cell>
        </row>
        <row r="3">
          <cell r="U3" t="str">
            <v>mAP</v>
          </cell>
          <cell r="V3" t="str">
            <v xml:space="preserve"> CP</v>
          </cell>
          <cell r="W3" t="str">
            <v xml:space="preserve"> CR</v>
          </cell>
          <cell r="X3" t="str">
            <v xml:space="preserve"> CF1</v>
          </cell>
          <cell r="Y3" t="str">
            <v xml:space="preserve"> OP</v>
          </cell>
          <cell r="Z3" t="str">
            <v xml:space="preserve"> OR</v>
          </cell>
          <cell r="AA3" t="str">
            <v xml:space="preserve"> OF1</v>
          </cell>
          <cell r="AB3" t="str">
            <v xml:space="preserve"> muf1</v>
          </cell>
          <cell r="AC3" t="str">
            <v xml:space="preserve"> muar</v>
          </cell>
          <cell r="AD3" t="str">
            <v xml:space="preserve"> mauc</v>
          </cell>
          <cell r="AE3" t="str">
            <v xml:space="preserve"> acc_P</v>
          </cell>
          <cell r="AF3" t="str">
            <v xml:space="preserve"> acc_N</v>
          </cell>
          <cell r="AG3" t="str">
            <v xml:space="preserve"> avg</v>
          </cell>
          <cell r="AH3" t="str">
            <v xml:space="preserve"> diff</v>
          </cell>
          <cell r="AI3" t="str">
            <v xml:space="preserve"> pn</v>
          </cell>
          <cell r="AJ3" t="str">
            <v xml:space="preserve"> mmcc</v>
          </cell>
        </row>
        <row r="4">
          <cell r="T4">
            <v>0.25</v>
          </cell>
          <cell r="U4">
            <v>77.045000000000002</v>
          </cell>
          <cell r="V4">
            <v>71.725000000000009</v>
          </cell>
          <cell r="W4">
            <v>73.259999999999991</v>
          </cell>
          <cell r="X4">
            <v>71.578333333333333</v>
          </cell>
          <cell r="Y4">
            <v>73.778333333333336</v>
          </cell>
          <cell r="Z4">
            <v>75.778333333333322</v>
          </cell>
          <cell r="AA4">
            <v>74.75333333333333</v>
          </cell>
          <cell r="AB4">
            <v>67.823333333333323</v>
          </cell>
          <cell r="AC4">
            <v>68.550000000000011</v>
          </cell>
          <cell r="AD4">
            <v>76.163333333333341</v>
          </cell>
          <cell r="AE4">
            <v>73.259999999999991</v>
          </cell>
          <cell r="AF4">
            <v>63.836666666666666</v>
          </cell>
          <cell r="AG4">
            <v>68.548333333333332</v>
          </cell>
          <cell r="AH4">
            <v>9.4250000000000007</v>
          </cell>
          <cell r="AI4">
            <v>68.550000000000011</v>
          </cell>
          <cell r="AJ4">
            <v>37.974999999999994</v>
          </cell>
        </row>
        <row r="5">
          <cell r="U5">
            <v>80.39166666666668</v>
          </cell>
          <cell r="V5">
            <v>74.45</v>
          </cell>
          <cell r="W5">
            <v>72.931666666666672</v>
          </cell>
          <cell r="X5">
            <v>72.7</v>
          </cell>
          <cell r="Y5">
            <v>75.731666666666669</v>
          </cell>
          <cell r="Z5">
            <v>73.285000000000011</v>
          </cell>
          <cell r="AA5">
            <v>74.456666666666663</v>
          </cell>
          <cell r="AB5">
            <v>69.86999999999999</v>
          </cell>
          <cell r="AC5">
            <v>71.445000000000007</v>
          </cell>
          <cell r="AD5">
            <v>78.853333333333339</v>
          </cell>
          <cell r="AE5">
            <v>72.931666666666672</v>
          </cell>
          <cell r="AF5">
            <v>69.956666666666663</v>
          </cell>
          <cell r="AG5">
            <v>71.444166666666675</v>
          </cell>
          <cell r="AH5">
            <v>2.9766666666666666</v>
          </cell>
          <cell r="AI5">
            <v>71.445000000000007</v>
          </cell>
          <cell r="AJ5">
            <v>41.574999999999996</v>
          </cell>
        </row>
        <row r="6">
          <cell r="U6">
            <v>77.601666666666674</v>
          </cell>
          <cell r="V6">
            <v>70.141666666666652</v>
          </cell>
          <cell r="W6">
            <v>76.010000000000005</v>
          </cell>
          <cell r="X6">
            <v>72.153333333333322</v>
          </cell>
          <cell r="Y6">
            <v>71.746666666666655</v>
          </cell>
          <cell r="Z6">
            <v>77.314999999999998</v>
          </cell>
          <cell r="AA6">
            <v>74.401666666666657</v>
          </cell>
          <cell r="AB6">
            <v>67.048333333333332</v>
          </cell>
          <cell r="AC6">
            <v>68.096666666666664</v>
          </cell>
          <cell r="AD6">
            <v>76.14</v>
          </cell>
          <cell r="AE6">
            <v>76.010000000000005</v>
          </cell>
          <cell r="AF6">
            <v>60.180000000000007</v>
          </cell>
          <cell r="AG6">
            <v>68.095000000000013</v>
          </cell>
          <cell r="AH6">
            <v>15.828333333333335</v>
          </cell>
          <cell r="AI6">
            <v>68.096666666666664</v>
          </cell>
          <cell r="AJ6">
            <v>36.273333333333333</v>
          </cell>
        </row>
        <row r="7">
          <cell r="U7">
            <v>78.346111111111114</v>
          </cell>
          <cell r="V7">
            <v>72.105555555555554</v>
          </cell>
          <cell r="W7">
            <v>74.067222222222213</v>
          </cell>
          <cell r="X7">
            <v>72.143888888888895</v>
          </cell>
          <cell r="Y7">
            <v>73.752222222222215</v>
          </cell>
          <cell r="Z7">
            <v>75.459444444444443</v>
          </cell>
          <cell r="AA7">
            <v>74.537222222222212</v>
          </cell>
          <cell r="AB7">
            <v>68.24722222222222</v>
          </cell>
          <cell r="AC7">
            <v>69.363888888888894</v>
          </cell>
          <cell r="AD7">
            <v>77.052222222222227</v>
          </cell>
          <cell r="AE7">
            <v>74.067222222222213</v>
          </cell>
          <cell r="AF7">
            <v>64.657777777777781</v>
          </cell>
          <cell r="AG7">
            <v>69.362500000000011</v>
          </cell>
          <cell r="AH7">
            <v>9.4100000000000019</v>
          </cell>
          <cell r="AI7">
            <v>69.363888888888894</v>
          </cell>
          <cell r="AJ7">
            <v>38.607777777777777</v>
          </cell>
        </row>
        <row r="8">
          <cell r="U8">
            <v>1.7932352306913371</v>
          </cell>
          <cell r="V8">
            <v>2.1792317283680411</v>
          </cell>
          <cell r="W8">
            <v>1.6904850826951494</v>
          </cell>
          <cell r="X8">
            <v>0.56089297189920961</v>
          </cell>
          <cell r="Y8">
            <v>1.9926283127047604</v>
          </cell>
          <cell r="Z8">
            <v>2.0338369139615304</v>
          </cell>
          <cell r="AA8">
            <v>0.18916727851100523</v>
          </cell>
          <cell r="AB8">
            <v>1.4578107000008702</v>
          </cell>
          <cell r="AC8">
            <v>1.8164926012429501</v>
          </cell>
          <cell r="AD8">
            <v>1.5598516073771376</v>
          </cell>
          <cell r="AE8">
            <v>1.6904850826951494</v>
          </cell>
          <cell r="AF8">
            <v>4.9397844457395426</v>
          </cell>
          <cell r="AG8">
            <v>1.816969967036085</v>
          </cell>
          <cell r="AH8">
            <v>6.4258464639125767</v>
          </cell>
          <cell r="AI8">
            <v>1.8164926012429501</v>
          </cell>
          <cell r="AJ8">
            <v>2.7068843987411317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自定义 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F8D2B4"/>
      </a:accent1>
      <a:accent2>
        <a:srgbClr val="FDE89F"/>
      </a:accent2>
      <a:accent3>
        <a:srgbClr val="CDE7BA"/>
      </a:accent3>
      <a:accent4>
        <a:srgbClr val="F5BEC4"/>
      </a:accent4>
      <a:accent5>
        <a:srgbClr val="8EA1FF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898FC-42D5-44CD-831E-A07CBA08198D}">
  <dimension ref="A1:AE24"/>
  <sheetViews>
    <sheetView topLeftCell="A7" zoomScale="55" zoomScaleNormal="55" workbookViewId="0">
      <selection activeCell="AJ40" sqref="AJ40"/>
    </sheetView>
  </sheetViews>
  <sheetFormatPr defaultRowHeight="14.4" x14ac:dyDescent="0.25"/>
  <cols>
    <col min="1" max="1" width="15" bestFit="1" customWidth="1"/>
    <col min="21" max="21" width="19.33203125" bestFit="1" customWidth="1"/>
  </cols>
  <sheetData>
    <row r="1" spans="1:31" x14ac:dyDescent="0.25">
      <c r="A1" s="2" t="s">
        <v>107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U1" s="2" t="s">
        <v>121</v>
      </c>
      <c r="V1" s="1" t="s">
        <v>111</v>
      </c>
      <c r="W1" s="1" t="s">
        <v>112</v>
      </c>
      <c r="X1" s="1" t="s">
        <v>113</v>
      </c>
      <c r="Y1" s="1" t="s">
        <v>114</v>
      </c>
      <c r="Z1" s="1" t="s">
        <v>115</v>
      </c>
      <c r="AA1" s="1" t="s">
        <v>116</v>
      </c>
      <c r="AB1" s="1" t="s">
        <v>117</v>
      </c>
      <c r="AC1" s="1" t="s">
        <v>118</v>
      </c>
      <c r="AD1" s="1" t="s">
        <v>119</v>
      </c>
      <c r="AE1" s="1" t="s">
        <v>120</v>
      </c>
    </row>
    <row r="2" spans="1:31" x14ac:dyDescent="0.25">
      <c r="A2" s="1" t="s">
        <v>102</v>
      </c>
      <c r="B2">
        <v>6.25</v>
      </c>
      <c r="C2">
        <v>58.176666666666669</v>
      </c>
      <c r="D2">
        <v>25.863333333333333</v>
      </c>
      <c r="E2">
        <v>71.446666666666658</v>
      </c>
      <c r="F2">
        <v>71.98</v>
      </c>
      <c r="G2">
        <v>49.20333333333334</v>
      </c>
      <c r="H2">
        <v>78.739999999999995</v>
      </c>
      <c r="I2">
        <v>85.42</v>
      </c>
      <c r="J2">
        <v>83.963333333333338</v>
      </c>
      <c r="K2">
        <v>65.843333333333334</v>
      </c>
      <c r="U2" s="1" t="s">
        <v>102</v>
      </c>
      <c r="V2">
        <v>16.346666666666668</v>
      </c>
      <c r="W2">
        <v>38.080000000000005</v>
      </c>
      <c r="X2">
        <v>21.516666666666666</v>
      </c>
      <c r="Y2">
        <v>44.956666666666671</v>
      </c>
      <c r="Z2">
        <v>44.073333333333331</v>
      </c>
      <c r="AA2">
        <v>29.016666666666666</v>
      </c>
      <c r="AB2">
        <v>61.26</v>
      </c>
      <c r="AC2">
        <v>30.69</v>
      </c>
      <c r="AD2">
        <v>32.716666666666661</v>
      </c>
      <c r="AE2">
        <v>26.933333333333334</v>
      </c>
    </row>
    <row r="3" spans="1:31" x14ac:dyDescent="0.25">
      <c r="A3" s="1" t="s">
        <v>103</v>
      </c>
      <c r="B3">
        <v>23.590000000000003</v>
      </c>
      <c r="C3">
        <v>47.086666666666666</v>
      </c>
      <c r="D3">
        <v>20.266666666666666</v>
      </c>
      <c r="E3">
        <v>42.580000000000005</v>
      </c>
      <c r="F3">
        <v>40.903333333333329</v>
      </c>
      <c r="G3">
        <v>28.76</v>
      </c>
      <c r="H3">
        <v>36.47</v>
      </c>
      <c r="I3">
        <v>45.27</v>
      </c>
      <c r="J3">
        <v>45.68</v>
      </c>
      <c r="K3">
        <v>36.663333333333334</v>
      </c>
      <c r="U3" s="1" t="s">
        <v>103</v>
      </c>
      <c r="V3">
        <v>6.6099999999999994</v>
      </c>
      <c r="W3">
        <v>47.273333333333333</v>
      </c>
      <c r="X3">
        <v>37.08</v>
      </c>
      <c r="Y3">
        <v>24.973333333333333</v>
      </c>
      <c r="Z3">
        <v>26.906666666666666</v>
      </c>
      <c r="AA3">
        <v>25.883333333333336</v>
      </c>
      <c r="AB3">
        <v>8.2166666666666668</v>
      </c>
      <c r="AC3">
        <v>20.66333333333333</v>
      </c>
      <c r="AD3">
        <v>22.400000000000002</v>
      </c>
      <c r="AE3">
        <v>7.3</v>
      </c>
    </row>
    <row r="4" spans="1:31" x14ac:dyDescent="0.25">
      <c r="A4" s="1" t="s">
        <v>104</v>
      </c>
      <c r="B4">
        <v>7.7366666666666672</v>
      </c>
      <c r="C4">
        <v>52.106666666666662</v>
      </c>
      <c r="D4">
        <v>26.14</v>
      </c>
      <c r="E4">
        <v>52.646666666666668</v>
      </c>
      <c r="F4">
        <v>51.176666666666669</v>
      </c>
      <c r="G4">
        <v>34.996666666666663</v>
      </c>
      <c r="H4">
        <v>60.150000000000006</v>
      </c>
      <c r="I4">
        <v>57.620000000000005</v>
      </c>
      <c r="J4">
        <v>61.839999999999996</v>
      </c>
      <c r="K4">
        <v>47.566666666666663</v>
      </c>
      <c r="U4" s="1" t="s">
        <v>104</v>
      </c>
      <c r="V4">
        <v>11.219999999999999</v>
      </c>
      <c r="W4">
        <v>57.870000000000005</v>
      </c>
      <c r="X4">
        <v>45.323333333333331</v>
      </c>
      <c r="Y4">
        <v>43.91</v>
      </c>
      <c r="Z4">
        <v>34.943333333333335</v>
      </c>
      <c r="AA4">
        <v>29.223333333333333</v>
      </c>
      <c r="AB4">
        <v>39.173333333333339</v>
      </c>
      <c r="AC4">
        <v>46.02</v>
      </c>
      <c r="AD4">
        <v>54.6</v>
      </c>
      <c r="AE4">
        <v>49.593333333333334</v>
      </c>
    </row>
    <row r="5" spans="1:31" x14ac:dyDescent="0.25">
      <c r="A5" s="1" t="s">
        <v>105</v>
      </c>
      <c r="B5">
        <v>15.709999999999999</v>
      </c>
      <c r="C5">
        <v>19.856666666666666</v>
      </c>
      <c r="D5">
        <v>6.06</v>
      </c>
      <c r="E5">
        <v>8.7933333333333348</v>
      </c>
      <c r="F5">
        <v>16.556666666666668</v>
      </c>
      <c r="G5">
        <v>11.533333333333331</v>
      </c>
      <c r="H5">
        <v>27.62</v>
      </c>
      <c r="I5">
        <v>36.286666666666669</v>
      </c>
      <c r="J5">
        <v>41.923333333333339</v>
      </c>
      <c r="K5">
        <v>33.190000000000005</v>
      </c>
      <c r="U5" s="1" t="s">
        <v>105</v>
      </c>
      <c r="V5">
        <v>29.943333333333332</v>
      </c>
      <c r="W5">
        <v>20.106666666666666</v>
      </c>
      <c r="X5">
        <v>11.866666666666665</v>
      </c>
      <c r="Y5">
        <v>40.923333333333332</v>
      </c>
      <c r="Z5">
        <v>7.586666666666666</v>
      </c>
      <c r="AA5">
        <v>17.513333333333335</v>
      </c>
      <c r="AB5">
        <v>8.0566666666666666</v>
      </c>
      <c r="AC5">
        <v>7.8533333333333344</v>
      </c>
      <c r="AD5">
        <v>9.8033333333333328</v>
      </c>
      <c r="AE5">
        <v>19.586666666666666</v>
      </c>
    </row>
    <row r="6" spans="1:31" x14ac:dyDescent="0.25">
      <c r="A6" s="1" t="s">
        <v>106</v>
      </c>
      <c r="B6">
        <v>12.94</v>
      </c>
      <c r="C6">
        <v>5.4200000000000008</v>
      </c>
      <c r="D6">
        <v>3.9033333333333329</v>
      </c>
      <c r="E6">
        <v>7.43</v>
      </c>
      <c r="F6">
        <v>4.0733333333333333</v>
      </c>
      <c r="G6">
        <v>6.169999999999999</v>
      </c>
      <c r="H6">
        <v>22.316666666666666</v>
      </c>
      <c r="I6">
        <v>15.456666666666669</v>
      </c>
      <c r="J6">
        <v>14.683333333333335</v>
      </c>
      <c r="K6">
        <v>9.7566666666666677</v>
      </c>
      <c r="U6" s="1" t="s">
        <v>106</v>
      </c>
      <c r="V6">
        <v>12.840000000000002</v>
      </c>
      <c r="W6">
        <v>4.9933333333333332</v>
      </c>
      <c r="X6">
        <v>10.406666666666666</v>
      </c>
      <c r="Y6">
        <v>7.9566666666666661</v>
      </c>
      <c r="Z6">
        <v>22.256666666666664</v>
      </c>
      <c r="AA6">
        <v>14.986666666666665</v>
      </c>
      <c r="AB6">
        <v>5.5166666666666666</v>
      </c>
      <c r="AC6">
        <v>20.206666666666667</v>
      </c>
      <c r="AD6">
        <v>20.74</v>
      </c>
      <c r="AE6">
        <v>7.2700000000000005</v>
      </c>
    </row>
    <row r="7" spans="1:31" x14ac:dyDescent="0.25">
      <c r="A7" s="2" t="s">
        <v>108</v>
      </c>
      <c r="U7" s="2" t="s">
        <v>122</v>
      </c>
    </row>
    <row r="8" spans="1:31" x14ac:dyDescent="0.25">
      <c r="A8" s="1" t="s">
        <v>102</v>
      </c>
      <c r="B8">
        <v>59.75</v>
      </c>
      <c r="C8">
        <v>55.166666666666664</v>
      </c>
      <c r="D8">
        <v>58.166666666666664</v>
      </c>
      <c r="E8">
        <v>54.406666666666666</v>
      </c>
      <c r="F8">
        <v>55.526666666666671</v>
      </c>
      <c r="G8">
        <v>55.706666666666671</v>
      </c>
      <c r="H8">
        <v>52.976666666666667</v>
      </c>
      <c r="I8">
        <v>53.286666666666669</v>
      </c>
      <c r="J8">
        <v>52.04</v>
      </c>
      <c r="K8">
        <v>53.176666666666669</v>
      </c>
      <c r="U8" s="1" t="s">
        <v>102</v>
      </c>
      <c r="V8">
        <v>67.709999999999994</v>
      </c>
      <c r="W8">
        <v>53.233333333333327</v>
      </c>
      <c r="X8">
        <v>52.816666666666663</v>
      </c>
      <c r="Y8">
        <v>52.983333333333327</v>
      </c>
      <c r="Z8">
        <v>52.85</v>
      </c>
      <c r="AA8">
        <v>50.59</v>
      </c>
      <c r="AB8">
        <v>53.816666666666663</v>
      </c>
      <c r="AC8">
        <v>52.896666666666668</v>
      </c>
      <c r="AD8">
        <v>52.493333333333332</v>
      </c>
      <c r="AE8">
        <v>50.303333333333335</v>
      </c>
    </row>
    <row r="9" spans="1:31" x14ac:dyDescent="0.25">
      <c r="A9" s="1" t="s">
        <v>103</v>
      </c>
      <c r="B9">
        <v>58.120000000000005</v>
      </c>
      <c r="C9">
        <v>58.54666666666666</v>
      </c>
      <c r="D9">
        <v>59.556666666666672</v>
      </c>
      <c r="E9">
        <v>59.426666666666669</v>
      </c>
      <c r="F9">
        <v>59.143333333333338</v>
      </c>
      <c r="G9">
        <v>61.199999999999996</v>
      </c>
      <c r="H9">
        <v>58.62</v>
      </c>
      <c r="I9">
        <v>57.84</v>
      </c>
      <c r="J9">
        <v>58.376666666666665</v>
      </c>
      <c r="K9">
        <v>58.473333333333329</v>
      </c>
      <c r="U9" s="1" t="s">
        <v>103</v>
      </c>
      <c r="V9">
        <v>61.926666666666669</v>
      </c>
      <c r="W9">
        <v>61.783333333333339</v>
      </c>
      <c r="X9">
        <v>58.70333333333334</v>
      </c>
      <c r="Y9">
        <v>64.006666666666661</v>
      </c>
      <c r="Z9">
        <v>66.219999999999985</v>
      </c>
      <c r="AA9">
        <v>59.28</v>
      </c>
      <c r="AB9">
        <v>72.64</v>
      </c>
      <c r="AC9">
        <v>66.660000000000011</v>
      </c>
      <c r="AD9">
        <v>61.75333333333333</v>
      </c>
      <c r="AE9">
        <v>64.156666666666652</v>
      </c>
    </row>
    <row r="10" spans="1:31" x14ac:dyDescent="0.25">
      <c r="A10" s="1" t="s">
        <v>104</v>
      </c>
      <c r="B10">
        <v>55.38</v>
      </c>
      <c r="C10">
        <v>54.346666666666664</v>
      </c>
      <c r="D10">
        <v>57.35</v>
      </c>
      <c r="E10">
        <v>53.54</v>
      </c>
      <c r="F10">
        <v>55.18</v>
      </c>
      <c r="G10">
        <v>55.256666666666668</v>
      </c>
      <c r="H10">
        <v>52.22</v>
      </c>
      <c r="I10">
        <v>54.026666666666664</v>
      </c>
      <c r="J10">
        <v>53.156666666666666</v>
      </c>
      <c r="K10">
        <v>54.23</v>
      </c>
      <c r="U10" s="1" t="s">
        <v>104</v>
      </c>
      <c r="V10">
        <v>59.589999999999996</v>
      </c>
      <c r="W10">
        <v>59.35</v>
      </c>
      <c r="X10">
        <v>54.473333333333336</v>
      </c>
      <c r="Y10">
        <v>59.163333333333327</v>
      </c>
      <c r="Z10">
        <v>55.923333333333325</v>
      </c>
      <c r="AA10">
        <v>55.483333333333327</v>
      </c>
      <c r="AB10">
        <v>59.24666666666667</v>
      </c>
      <c r="AC10">
        <v>53.25</v>
      </c>
      <c r="AD10">
        <v>57</v>
      </c>
      <c r="AE10">
        <v>55.696666666666658</v>
      </c>
    </row>
    <row r="11" spans="1:31" x14ac:dyDescent="0.25">
      <c r="A11" s="1" t="s">
        <v>105</v>
      </c>
      <c r="B11">
        <v>59.800000000000004</v>
      </c>
      <c r="C11">
        <v>61.419999999999995</v>
      </c>
      <c r="D11">
        <v>60.293333333333329</v>
      </c>
      <c r="E11">
        <v>60.556666666666672</v>
      </c>
      <c r="F11">
        <v>58.569999999999993</v>
      </c>
      <c r="G11">
        <v>61.136666666666663</v>
      </c>
      <c r="H11">
        <v>57.683333333333337</v>
      </c>
      <c r="I11">
        <v>56.813333333333333</v>
      </c>
      <c r="J11">
        <v>57.346666666666664</v>
      </c>
      <c r="K11">
        <v>58.586666666666666</v>
      </c>
      <c r="U11" s="1" t="s">
        <v>105</v>
      </c>
      <c r="V11">
        <v>53.236666666666672</v>
      </c>
      <c r="W11">
        <v>58.966666666666669</v>
      </c>
      <c r="X11">
        <v>55.46</v>
      </c>
      <c r="Y11">
        <v>60.606666666666662</v>
      </c>
      <c r="Z11">
        <v>54.00333333333333</v>
      </c>
      <c r="AA11">
        <v>56.21</v>
      </c>
      <c r="AB11">
        <v>61.456666666666671</v>
      </c>
      <c r="AC11">
        <v>54.826666666666675</v>
      </c>
      <c r="AD11">
        <v>55.096666666666671</v>
      </c>
      <c r="AE11">
        <v>55.01</v>
      </c>
    </row>
    <row r="12" spans="1:31" x14ac:dyDescent="0.25">
      <c r="A12" s="1" t="s">
        <v>106</v>
      </c>
      <c r="B12">
        <v>61.4</v>
      </c>
      <c r="C12">
        <v>62.376666666666665</v>
      </c>
      <c r="D12">
        <v>60.49666666666667</v>
      </c>
      <c r="E12">
        <v>62.31</v>
      </c>
      <c r="F12">
        <v>59.98</v>
      </c>
      <c r="G12">
        <v>60.870000000000005</v>
      </c>
      <c r="H12">
        <v>60.346666666666664</v>
      </c>
      <c r="I12">
        <v>59.373333333333335</v>
      </c>
      <c r="J12">
        <v>59.96</v>
      </c>
      <c r="K12">
        <v>59.936666666666667</v>
      </c>
      <c r="U12" s="1" t="s">
        <v>106</v>
      </c>
      <c r="V12">
        <v>69.123333333333321</v>
      </c>
      <c r="W12">
        <v>71.209999999999994</v>
      </c>
      <c r="X12">
        <v>64.313333333333333</v>
      </c>
      <c r="Y12">
        <v>71.100000000000009</v>
      </c>
      <c r="Z12">
        <v>69.510000000000005</v>
      </c>
      <c r="AA12">
        <v>61.266666666666673</v>
      </c>
      <c r="AB12">
        <v>73.92</v>
      </c>
      <c r="AC12">
        <v>67.436666666666667</v>
      </c>
      <c r="AD12">
        <v>65.319999999999993</v>
      </c>
      <c r="AE12">
        <v>65.946666666666673</v>
      </c>
    </row>
    <row r="13" spans="1:31" x14ac:dyDescent="0.25">
      <c r="A13" s="2" t="s">
        <v>109</v>
      </c>
      <c r="B13" s="1" t="s">
        <v>111</v>
      </c>
      <c r="C13" s="1" t="s">
        <v>112</v>
      </c>
      <c r="D13" s="1" t="s">
        <v>113</v>
      </c>
      <c r="E13" s="1" t="s">
        <v>114</v>
      </c>
      <c r="F13" s="1" t="s">
        <v>115</v>
      </c>
      <c r="G13" s="1" t="s">
        <v>116</v>
      </c>
      <c r="U13" s="2" t="s">
        <v>123</v>
      </c>
      <c r="V13" s="1" t="s">
        <v>111</v>
      </c>
      <c r="W13" s="1" t="s">
        <v>112</v>
      </c>
      <c r="X13" s="1" t="s">
        <v>113</v>
      </c>
      <c r="Y13" s="1" t="s">
        <v>114</v>
      </c>
      <c r="Z13" s="1" t="s">
        <v>115</v>
      </c>
      <c r="AA13" s="1" t="s">
        <v>116</v>
      </c>
    </row>
    <row r="14" spans="1:31" x14ac:dyDescent="0.25">
      <c r="A14" s="1" t="s">
        <v>102</v>
      </c>
      <c r="B14">
        <v>6.43</v>
      </c>
      <c r="C14">
        <v>59.73</v>
      </c>
      <c r="D14">
        <v>29.653333333333336</v>
      </c>
      <c r="E14">
        <v>76.026666666666671</v>
      </c>
      <c r="F14">
        <v>78.11333333333333</v>
      </c>
      <c r="G14">
        <v>55.013333333333328</v>
      </c>
      <c r="U14" s="1" t="s">
        <v>102</v>
      </c>
      <c r="V14">
        <v>25.120000000000005</v>
      </c>
      <c r="W14">
        <v>17.89</v>
      </c>
      <c r="X14">
        <v>12.153333333333334</v>
      </c>
      <c r="Y14">
        <v>42.25333333333333</v>
      </c>
      <c r="Z14">
        <v>38.806666666666665</v>
      </c>
      <c r="AA14">
        <v>21.349999999999998</v>
      </c>
    </row>
    <row r="15" spans="1:31" x14ac:dyDescent="0.25">
      <c r="A15" s="1" t="s">
        <v>103</v>
      </c>
      <c r="B15">
        <v>13.693333333333333</v>
      </c>
      <c r="C15">
        <v>48.483333333333327</v>
      </c>
      <c r="D15">
        <v>21.276666666666667</v>
      </c>
      <c r="E15">
        <v>41.116666666666667</v>
      </c>
      <c r="F15">
        <v>38.333333333333336</v>
      </c>
      <c r="G15">
        <v>31.606666666666666</v>
      </c>
      <c r="U15" s="1" t="s">
        <v>103</v>
      </c>
      <c r="V15">
        <v>18.18</v>
      </c>
      <c r="W15">
        <v>12.616666666666667</v>
      </c>
      <c r="X15">
        <v>8.4533333333333331</v>
      </c>
      <c r="Y15">
        <v>20.220000000000002</v>
      </c>
      <c r="Z15">
        <v>25.676666666666666</v>
      </c>
      <c r="AA15">
        <v>20.616666666666667</v>
      </c>
    </row>
    <row r="16" spans="1:31" x14ac:dyDescent="0.25">
      <c r="A16" s="1" t="s">
        <v>104</v>
      </c>
      <c r="B16">
        <v>18.286666666666665</v>
      </c>
      <c r="C16">
        <v>54.063333333333333</v>
      </c>
      <c r="D16">
        <v>26.23</v>
      </c>
      <c r="E16">
        <v>65.676666666666662</v>
      </c>
      <c r="F16">
        <v>65.100000000000009</v>
      </c>
      <c r="G16">
        <v>52.013333333333328</v>
      </c>
      <c r="U16" s="1" t="s">
        <v>104</v>
      </c>
      <c r="V16">
        <v>10.18</v>
      </c>
      <c r="W16">
        <v>30.796666666666667</v>
      </c>
      <c r="X16">
        <v>33.199999999999996</v>
      </c>
      <c r="Y16">
        <v>23.51</v>
      </c>
      <c r="Z16">
        <v>22.673333333333332</v>
      </c>
      <c r="AA16">
        <v>29.62</v>
      </c>
    </row>
    <row r="17" spans="1:27" x14ac:dyDescent="0.25">
      <c r="A17" s="1" t="s">
        <v>105</v>
      </c>
      <c r="B17">
        <v>8.56</v>
      </c>
      <c r="C17">
        <v>8.5366666666666671</v>
      </c>
      <c r="D17">
        <v>2.14</v>
      </c>
      <c r="E17">
        <v>14.6</v>
      </c>
      <c r="F17">
        <v>13.923333333333332</v>
      </c>
      <c r="G17">
        <v>15.049999999999999</v>
      </c>
      <c r="U17" s="1" t="s">
        <v>105</v>
      </c>
      <c r="V17">
        <v>16.946666666666669</v>
      </c>
      <c r="W17">
        <v>46.406666666666666</v>
      </c>
      <c r="X17">
        <v>23.833333333333332</v>
      </c>
      <c r="Y17">
        <v>46.983333333333327</v>
      </c>
      <c r="Z17">
        <v>34.723333333333329</v>
      </c>
      <c r="AA17">
        <v>16.756666666666664</v>
      </c>
    </row>
    <row r="18" spans="1:27" x14ac:dyDescent="0.25">
      <c r="A18" s="1" t="s">
        <v>106</v>
      </c>
      <c r="B18">
        <v>9.51</v>
      </c>
      <c r="C18">
        <v>6.63</v>
      </c>
      <c r="D18">
        <v>3.6833333333333336</v>
      </c>
      <c r="E18">
        <v>11</v>
      </c>
      <c r="F18">
        <v>12.196666666666667</v>
      </c>
      <c r="G18">
        <v>15.770000000000001</v>
      </c>
      <c r="U18" s="1" t="s">
        <v>106</v>
      </c>
      <c r="V18">
        <v>13.326666666666666</v>
      </c>
      <c r="W18">
        <v>10.723333333333334</v>
      </c>
      <c r="X18">
        <v>7.13</v>
      </c>
      <c r="Y18">
        <v>12.913333333333334</v>
      </c>
      <c r="Z18">
        <v>14.769999999999998</v>
      </c>
      <c r="AA18">
        <v>13.923333333333332</v>
      </c>
    </row>
    <row r="19" spans="1:27" x14ac:dyDescent="0.25">
      <c r="A19" s="2" t="s">
        <v>110</v>
      </c>
      <c r="U19" s="2" t="s">
        <v>124</v>
      </c>
    </row>
    <row r="20" spans="1:27" x14ac:dyDescent="0.25">
      <c r="A20" s="1" t="s">
        <v>102</v>
      </c>
      <c r="B20">
        <v>57.49666666666667</v>
      </c>
      <c r="C20">
        <v>56.056666666666672</v>
      </c>
      <c r="D20">
        <v>57.243333333333339</v>
      </c>
      <c r="E20">
        <v>53.813333333333333</v>
      </c>
      <c r="F20">
        <v>53.633333333333333</v>
      </c>
      <c r="G20">
        <v>54.073333333333331</v>
      </c>
      <c r="U20" s="1" t="s">
        <v>102</v>
      </c>
      <c r="V20">
        <v>64.910000000000011</v>
      </c>
      <c r="W20">
        <v>56.486666666666657</v>
      </c>
      <c r="X20">
        <v>53.19</v>
      </c>
      <c r="Y20">
        <v>51.736666666666672</v>
      </c>
      <c r="Z20">
        <v>51.716666666666669</v>
      </c>
      <c r="AA20">
        <v>51.543333333333329</v>
      </c>
    </row>
    <row r="21" spans="1:27" x14ac:dyDescent="0.25">
      <c r="A21" s="1" t="s">
        <v>103</v>
      </c>
      <c r="B21">
        <v>57.556666666666672</v>
      </c>
      <c r="C21">
        <v>58.199999999999996</v>
      </c>
      <c r="D21">
        <v>58.206666666666671</v>
      </c>
      <c r="E21">
        <v>58.04666666666666</v>
      </c>
      <c r="F21">
        <v>57.193333333333328</v>
      </c>
      <c r="G21">
        <v>59.69</v>
      </c>
      <c r="U21" s="1" t="s">
        <v>103</v>
      </c>
      <c r="V21">
        <v>63.95000000000001</v>
      </c>
      <c r="W21">
        <v>69.343333333333334</v>
      </c>
      <c r="X21">
        <v>67.41</v>
      </c>
      <c r="Y21">
        <v>69.50333333333333</v>
      </c>
      <c r="Z21">
        <v>66.89</v>
      </c>
      <c r="AA21">
        <v>67.666666666666671</v>
      </c>
    </row>
    <row r="22" spans="1:27" x14ac:dyDescent="0.25">
      <c r="A22" s="1" t="s">
        <v>104</v>
      </c>
      <c r="B22">
        <v>54.18</v>
      </c>
      <c r="C22">
        <v>54.129999999999995</v>
      </c>
      <c r="D22">
        <v>54.78</v>
      </c>
      <c r="E22">
        <v>52.413333333333334</v>
      </c>
      <c r="F22">
        <v>52.20333333333334</v>
      </c>
      <c r="G22">
        <v>54.126666666666665</v>
      </c>
      <c r="U22" s="1" t="s">
        <v>104</v>
      </c>
      <c r="V22">
        <v>59.786666666666669</v>
      </c>
      <c r="W22">
        <v>60.080000000000005</v>
      </c>
      <c r="X22">
        <v>59.243333333333332</v>
      </c>
      <c r="Y22">
        <v>62.370000000000005</v>
      </c>
      <c r="Z22">
        <v>60.31</v>
      </c>
      <c r="AA22">
        <v>58.009999999999991</v>
      </c>
    </row>
    <row r="23" spans="1:27" x14ac:dyDescent="0.25">
      <c r="A23" s="1" t="s">
        <v>105</v>
      </c>
      <c r="B23">
        <v>58.25333333333333</v>
      </c>
      <c r="C23">
        <v>58.873333333333335</v>
      </c>
      <c r="D23">
        <v>58.656666666666666</v>
      </c>
      <c r="E23">
        <v>58.43</v>
      </c>
      <c r="F23">
        <v>56.683333333333337</v>
      </c>
      <c r="G23">
        <v>60.02</v>
      </c>
      <c r="U23" s="1" t="s">
        <v>105</v>
      </c>
      <c r="V23">
        <v>57.26</v>
      </c>
      <c r="W23">
        <v>55.176666666666669</v>
      </c>
      <c r="X23">
        <v>54.153333333333336</v>
      </c>
      <c r="Y23">
        <v>55.763333333333343</v>
      </c>
      <c r="Z23">
        <v>55.583333333333336</v>
      </c>
      <c r="AA23">
        <v>54.143333333333338</v>
      </c>
    </row>
    <row r="24" spans="1:27" x14ac:dyDescent="0.25">
      <c r="A24" s="1" t="s">
        <v>106</v>
      </c>
      <c r="B24">
        <v>59.563333333333333</v>
      </c>
      <c r="C24">
        <v>60.456666666666671</v>
      </c>
      <c r="D24">
        <v>58.933333333333337</v>
      </c>
      <c r="E24">
        <v>59.966666666666661</v>
      </c>
      <c r="F24">
        <v>58.71</v>
      </c>
      <c r="G24">
        <v>60.363333333333337</v>
      </c>
      <c r="U24" s="1" t="s">
        <v>106</v>
      </c>
      <c r="V24">
        <v>70.56</v>
      </c>
      <c r="W24">
        <v>69.08</v>
      </c>
      <c r="X24">
        <v>70.966666666666683</v>
      </c>
      <c r="Y24">
        <v>72.576666666666654</v>
      </c>
      <c r="Z24">
        <v>72.663333333333327</v>
      </c>
      <c r="AA24">
        <v>69.756666666666661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0C0F1-BC6B-4859-866C-1742B499F49D}">
  <dimension ref="A1:BR246"/>
  <sheetViews>
    <sheetView topLeftCell="AB203" zoomScale="55" zoomScaleNormal="55" workbookViewId="0">
      <selection activeCell="S215" sqref="S215"/>
    </sheetView>
  </sheetViews>
  <sheetFormatPr defaultRowHeight="14.4" x14ac:dyDescent="0.25"/>
  <cols>
    <col min="1" max="1" width="15.88671875" bestFit="1" customWidth="1"/>
    <col min="2" max="17" width="15.33203125" bestFit="1" customWidth="1"/>
    <col min="19" max="19" width="15.88671875" bestFit="1" customWidth="1"/>
    <col min="37" max="37" width="15.88671875" bestFit="1" customWidth="1"/>
    <col min="57" max="57" width="10.44140625" bestFit="1" customWidth="1"/>
  </cols>
  <sheetData>
    <row r="1" spans="1:70" x14ac:dyDescent="0.25">
      <c r="B1" t="s">
        <v>38</v>
      </c>
      <c r="C1" t="s">
        <v>10</v>
      </c>
      <c r="D1" t="s">
        <v>11</v>
      </c>
      <c r="E1" t="s">
        <v>9</v>
      </c>
      <c r="F1" t="s">
        <v>15</v>
      </c>
      <c r="G1" t="s">
        <v>7</v>
      </c>
      <c r="H1" t="s">
        <v>8</v>
      </c>
      <c r="I1" s="1" t="s">
        <v>12</v>
      </c>
      <c r="BE1" s="1"/>
    </row>
    <row r="2" spans="1:70" x14ac:dyDescent="0.25">
      <c r="A2" s="2" t="s">
        <v>64</v>
      </c>
      <c r="B2">
        <v>71.260000000000005</v>
      </c>
      <c r="C2">
        <v>70.97</v>
      </c>
      <c r="D2">
        <v>71.400000000000006</v>
      </c>
      <c r="E2">
        <v>78.63</v>
      </c>
      <c r="F2">
        <v>20.62</v>
      </c>
      <c r="G2">
        <v>51.55</v>
      </c>
      <c r="H2">
        <v>71.19</v>
      </c>
      <c r="I2">
        <f>(C2+D2)/2</f>
        <v>71.185000000000002</v>
      </c>
      <c r="J2">
        <f t="shared" ref="J2:J4" si="0">ABS(C2-D2)</f>
        <v>0.43000000000000682</v>
      </c>
    </row>
    <row r="3" spans="1:70" x14ac:dyDescent="0.25">
      <c r="B3">
        <v>72.459999999999994</v>
      </c>
      <c r="C3">
        <v>67.959999999999994</v>
      </c>
      <c r="D3">
        <v>73.040000000000006</v>
      </c>
      <c r="E3">
        <v>77.23</v>
      </c>
      <c r="F3">
        <v>19.649999999999999</v>
      </c>
      <c r="G3">
        <v>52.01</v>
      </c>
      <c r="H3">
        <v>70.5</v>
      </c>
      <c r="I3">
        <f>(C3+D3)/2</f>
        <v>70.5</v>
      </c>
      <c r="J3">
        <f t="shared" si="0"/>
        <v>5.0800000000000125</v>
      </c>
    </row>
    <row r="4" spans="1:70" x14ac:dyDescent="0.25">
      <c r="B4">
        <v>74.489999999999995</v>
      </c>
      <c r="C4">
        <v>66.34</v>
      </c>
      <c r="D4">
        <v>74.760000000000005</v>
      </c>
      <c r="E4">
        <v>77.53</v>
      </c>
      <c r="F4">
        <v>20.03</v>
      </c>
      <c r="G4">
        <v>52.86</v>
      </c>
      <c r="H4">
        <v>70.55</v>
      </c>
      <c r="I4">
        <f>(C4+D4)/2</f>
        <v>70.550000000000011</v>
      </c>
      <c r="J4">
        <f t="shared" si="0"/>
        <v>8.4200000000000017</v>
      </c>
    </row>
    <row r="5" spans="1:70" x14ac:dyDescent="0.25">
      <c r="C5">
        <f>AVERAGE(C2:C4)</f>
        <v>68.423333333333332</v>
      </c>
      <c r="D5">
        <f t="shared" ref="D5:I5" si="1">AVERAGE(D2:D4)</f>
        <v>73.066666666666663</v>
      </c>
      <c r="E5">
        <f t="shared" si="1"/>
        <v>77.796666666666667</v>
      </c>
      <c r="F5">
        <f t="shared" si="1"/>
        <v>20.099999999999998</v>
      </c>
      <c r="G5">
        <f t="shared" si="1"/>
        <v>52.140000000000008</v>
      </c>
      <c r="H5">
        <f t="shared" si="1"/>
        <v>70.74666666666667</v>
      </c>
      <c r="I5">
        <f t="shared" si="1"/>
        <v>70.745000000000005</v>
      </c>
      <c r="J5">
        <f>AVERAGE(J2:J4)</f>
        <v>4.6433333333333406</v>
      </c>
    </row>
    <row r="6" spans="1:70" x14ac:dyDescent="0.25">
      <c r="C6">
        <f>_xlfn.STDEV.S(C2:C4)</f>
        <v>2.3495176810003637</v>
      </c>
      <c r="D6">
        <f t="shared" ref="D6:I6" si="2">_xlfn.STDEV.S(D2:D4)</f>
        <v>1.6801587226608481</v>
      </c>
      <c r="E6">
        <f t="shared" si="2"/>
        <v>0.73711147958319512</v>
      </c>
      <c r="F6">
        <f t="shared" si="2"/>
        <v>0.48877397639399855</v>
      </c>
      <c r="G6">
        <f t="shared" si="2"/>
        <v>0.6646051459325315</v>
      </c>
      <c r="H6">
        <f t="shared" si="2"/>
        <v>0.38475100173142224</v>
      </c>
      <c r="I6">
        <f t="shared" si="2"/>
        <v>0.38187039686259888</v>
      </c>
      <c r="J6">
        <f>_xlfn.STDEV.S(J2:J4)</f>
        <v>4.0128584990419638</v>
      </c>
    </row>
    <row r="8" spans="1:70" x14ac:dyDescent="0.25"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 t="s">
        <v>8</v>
      </c>
      <c r="K8" t="s">
        <v>9</v>
      </c>
      <c r="L8" t="s">
        <v>10</v>
      </c>
      <c r="M8" t="s">
        <v>11</v>
      </c>
      <c r="N8" s="1" t="s">
        <v>12</v>
      </c>
      <c r="O8" t="s">
        <v>13</v>
      </c>
      <c r="P8" t="s">
        <v>14</v>
      </c>
      <c r="Q8" t="s">
        <v>15</v>
      </c>
      <c r="T8" t="s">
        <v>0</v>
      </c>
      <c r="U8" t="s">
        <v>1</v>
      </c>
      <c r="V8" t="s">
        <v>2</v>
      </c>
      <c r="W8" t="s">
        <v>3</v>
      </c>
      <c r="X8" t="s">
        <v>4</v>
      </c>
      <c r="Y8" t="s">
        <v>5</v>
      </c>
      <c r="Z8" t="s">
        <v>6</v>
      </c>
      <c r="AA8" t="s">
        <v>7</v>
      </c>
      <c r="AB8" t="s">
        <v>8</v>
      </c>
      <c r="AC8" t="s">
        <v>9</v>
      </c>
      <c r="AD8" t="s">
        <v>10</v>
      </c>
      <c r="AE8" t="s">
        <v>11</v>
      </c>
      <c r="AF8" s="1" t="s">
        <v>12</v>
      </c>
      <c r="AG8" t="s">
        <v>13</v>
      </c>
      <c r="AH8" t="s">
        <v>14</v>
      </c>
      <c r="AI8" t="s">
        <v>15</v>
      </c>
      <c r="AL8" t="s">
        <v>0</v>
      </c>
      <c r="AM8" t="s">
        <v>1</v>
      </c>
      <c r="AN8" t="s">
        <v>2</v>
      </c>
      <c r="AO8" t="s">
        <v>3</v>
      </c>
      <c r="AP8" t="s">
        <v>4</v>
      </c>
      <c r="AQ8" t="s">
        <v>5</v>
      </c>
      <c r="AR8" t="s">
        <v>6</v>
      </c>
      <c r="AS8" t="s">
        <v>7</v>
      </c>
      <c r="AT8" t="s">
        <v>8</v>
      </c>
      <c r="AU8" t="s">
        <v>9</v>
      </c>
      <c r="AV8" t="s">
        <v>10</v>
      </c>
      <c r="AW8" t="s">
        <v>11</v>
      </c>
      <c r="AX8" s="1" t="s">
        <v>12</v>
      </c>
      <c r="AY8" t="s">
        <v>13</v>
      </c>
      <c r="AZ8" t="s">
        <v>14</v>
      </c>
      <c r="BA8" t="s">
        <v>15</v>
      </c>
      <c r="BO8" s="1"/>
    </row>
    <row r="9" spans="1:70" x14ac:dyDescent="0.25">
      <c r="A9" s="1" t="s">
        <v>19</v>
      </c>
      <c r="B9">
        <v>11.55</v>
      </c>
      <c r="C9">
        <v>11.59</v>
      </c>
      <c r="D9">
        <v>60.4</v>
      </c>
      <c r="E9">
        <v>18.91</v>
      </c>
      <c r="F9">
        <v>11.07</v>
      </c>
      <c r="G9">
        <v>57.7</v>
      </c>
      <c r="H9">
        <v>18.579999999999998</v>
      </c>
      <c r="I9">
        <v>36.4</v>
      </c>
      <c r="J9">
        <v>50.07</v>
      </c>
      <c r="K9">
        <v>49.94</v>
      </c>
      <c r="L9">
        <v>60.4</v>
      </c>
      <c r="M9">
        <v>39.74</v>
      </c>
      <c r="N9">
        <f>(L9+M9)/2</f>
        <v>50.07</v>
      </c>
      <c r="O9">
        <v>20.65</v>
      </c>
      <c r="P9">
        <v>50.07</v>
      </c>
      <c r="Q9">
        <v>0.1</v>
      </c>
      <c r="S9" s="2" t="s">
        <v>34</v>
      </c>
      <c r="T9">
        <v>11.51</v>
      </c>
      <c r="U9">
        <v>11.48</v>
      </c>
      <c r="V9">
        <v>45.23</v>
      </c>
      <c r="W9">
        <v>18.05</v>
      </c>
      <c r="X9">
        <v>11.38</v>
      </c>
      <c r="Y9">
        <v>44.69</v>
      </c>
      <c r="Z9">
        <v>18.14</v>
      </c>
      <c r="AA9">
        <v>42.71</v>
      </c>
      <c r="AB9">
        <v>49.88</v>
      </c>
      <c r="AC9">
        <v>49.77</v>
      </c>
      <c r="AD9">
        <v>45.23</v>
      </c>
      <c r="AE9">
        <v>54.54</v>
      </c>
      <c r="AF9">
        <f>(AD9+AE9)/2</f>
        <v>49.884999999999998</v>
      </c>
      <c r="AG9">
        <v>9.3000000000000007</v>
      </c>
      <c r="AH9">
        <v>49.88</v>
      </c>
      <c r="AI9">
        <v>-0.19</v>
      </c>
      <c r="AK9" s="2" t="s">
        <v>36</v>
      </c>
      <c r="AL9">
        <v>11.73</v>
      </c>
      <c r="AM9">
        <v>11.68</v>
      </c>
      <c r="AN9">
        <v>75.459999999999994</v>
      </c>
      <c r="AO9">
        <v>19.75</v>
      </c>
      <c r="AP9">
        <v>11.19</v>
      </c>
      <c r="AQ9">
        <v>71.84</v>
      </c>
      <c r="AR9">
        <v>19.36</v>
      </c>
      <c r="AS9">
        <v>28.9</v>
      </c>
      <c r="AT9">
        <v>50.65</v>
      </c>
      <c r="AU9">
        <v>50.71</v>
      </c>
      <c r="AV9">
        <v>75.459999999999994</v>
      </c>
      <c r="AW9">
        <v>25.84</v>
      </c>
      <c r="AX9">
        <f>(AV9+AW9)/2</f>
        <v>50.65</v>
      </c>
      <c r="AY9">
        <v>49.62</v>
      </c>
      <c r="AZ9">
        <v>50.65</v>
      </c>
      <c r="BA9">
        <v>1.02</v>
      </c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x14ac:dyDescent="0.25">
      <c r="B10">
        <v>11.45</v>
      </c>
      <c r="C10">
        <v>11.55</v>
      </c>
      <c r="D10">
        <v>49.21</v>
      </c>
      <c r="E10">
        <v>18.489999999999998</v>
      </c>
      <c r="F10">
        <v>11.52</v>
      </c>
      <c r="G10">
        <v>49.1</v>
      </c>
      <c r="H10">
        <v>18.66</v>
      </c>
      <c r="I10">
        <v>41.45</v>
      </c>
      <c r="J10">
        <v>49.96</v>
      </c>
      <c r="K10">
        <v>49.69</v>
      </c>
      <c r="L10">
        <v>49.21</v>
      </c>
      <c r="M10">
        <v>50.7</v>
      </c>
      <c r="N10">
        <f t="shared" ref="N10:N18" si="3">(L10+M10)/2</f>
        <v>49.954999999999998</v>
      </c>
      <c r="O10">
        <v>1.49</v>
      </c>
      <c r="P10">
        <v>49.96</v>
      </c>
      <c r="Q10">
        <v>-0.06</v>
      </c>
      <c r="T10">
        <v>11.78</v>
      </c>
      <c r="U10">
        <v>11.89</v>
      </c>
      <c r="V10">
        <v>49.84</v>
      </c>
      <c r="W10">
        <v>18.88</v>
      </c>
      <c r="X10">
        <v>11.69</v>
      </c>
      <c r="Y10">
        <v>49.05</v>
      </c>
      <c r="Z10">
        <v>18.89</v>
      </c>
      <c r="AA10">
        <v>42.01</v>
      </c>
      <c r="AB10">
        <v>50.75</v>
      </c>
      <c r="AC10">
        <v>50.69</v>
      </c>
      <c r="AD10">
        <v>49.84</v>
      </c>
      <c r="AE10">
        <v>51.66</v>
      </c>
      <c r="AF10">
        <f t="shared" ref="AF10:AF18" si="4">(AD10+AE10)/2</f>
        <v>50.75</v>
      </c>
      <c r="AG10">
        <v>1.82</v>
      </c>
      <c r="AH10">
        <v>50.75</v>
      </c>
      <c r="AI10">
        <v>0.94</v>
      </c>
      <c r="AL10">
        <v>12.02</v>
      </c>
      <c r="AM10">
        <v>11.72</v>
      </c>
      <c r="AN10">
        <v>51.6</v>
      </c>
      <c r="AO10">
        <v>18.8</v>
      </c>
      <c r="AP10">
        <v>11.55</v>
      </c>
      <c r="AQ10">
        <v>51.18</v>
      </c>
      <c r="AR10">
        <v>18.850000000000001</v>
      </c>
      <c r="AS10">
        <v>40.83</v>
      </c>
      <c r="AT10">
        <v>50.22</v>
      </c>
      <c r="AU10">
        <v>50.61</v>
      </c>
      <c r="AV10">
        <v>51.6</v>
      </c>
      <c r="AW10">
        <v>48.84</v>
      </c>
      <c r="AX10">
        <f t="shared" ref="AX10:AX18" si="5">(AV10+AW10)/2</f>
        <v>50.22</v>
      </c>
      <c r="AY10">
        <v>2.77</v>
      </c>
      <c r="AZ10">
        <v>50.22</v>
      </c>
      <c r="BA10">
        <v>0.35</v>
      </c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x14ac:dyDescent="0.25">
      <c r="B11">
        <v>25.79</v>
      </c>
      <c r="C11">
        <v>25.45</v>
      </c>
      <c r="D11">
        <v>49.84</v>
      </c>
      <c r="E11">
        <v>31.8</v>
      </c>
      <c r="F11">
        <v>25.15</v>
      </c>
      <c r="G11">
        <v>48.82</v>
      </c>
      <c r="H11">
        <v>33.200000000000003</v>
      </c>
      <c r="I11">
        <v>45.37</v>
      </c>
      <c r="J11">
        <v>49.91</v>
      </c>
      <c r="K11">
        <v>49.74</v>
      </c>
      <c r="L11">
        <v>49.84</v>
      </c>
      <c r="M11">
        <v>49.98</v>
      </c>
      <c r="N11">
        <f t="shared" si="3"/>
        <v>49.91</v>
      </c>
      <c r="O11">
        <v>0.14000000000000001</v>
      </c>
      <c r="P11">
        <v>49.91</v>
      </c>
      <c r="Q11">
        <v>-0.34</v>
      </c>
      <c r="T11">
        <v>25.91</v>
      </c>
      <c r="U11">
        <v>25.79</v>
      </c>
      <c r="V11">
        <v>46.63</v>
      </c>
      <c r="W11">
        <v>31.24</v>
      </c>
      <c r="X11">
        <v>25.28</v>
      </c>
      <c r="Y11">
        <v>46.01</v>
      </c>
      <c r="Z11">
        <v>32.630000000000003</v>
      </c>
      <c r="AA11">
        <v>46.35</v>
      </c>
      <c r="AB11">
        <v>50.01</v>
      </c>
      <c r="AC11">
        <v>49.55</v>
      </c>
      <c r="AD11">
        <v>46.63</v>
      </c>
      <c r="AE11">
        <v>53.38</v>
      </c>
      <c r="AF11">
        <f t="shared" si="4"/>
        <v>50.005000000000003</v>
      </c>
      <c r="AG11">
        <v>6.75</v>
      </c>
      <c r="AH11">
        <v>50.01</v>
      </c>
      <c r="AI11">
        <v>0.13</v>
      </c>
      <c r="AL11">
        <v>26.15</v>
      </c>
      <c r="AM11">
        <v>25.78</v>
      </c>
      <c r="AN11">
        <v>52.41</v>
      </c>
      <c r="AO11">
        <v>32.53</v>
      </c>
      <c r="AP11">
        <v>25.4</v>
      </c>
      <c r="AQ11">
        <v>51.16</v>
      </c>
      <c r="AR11">
        <v>33.950000000000003</v>
      </c>
      <c r="AS11">
        <v>45.03</v>
      </c>
      <c r="AT11">
        <v>50.35</v>
      </c>
      <c r="AU11">
        <v>50.31</v>
      </c>
      <c r="AV11">
        <v>52.41</v>
      </c>
      <c r="AW11">
        <v>48.29</v>
      </c>
      <c r="AX11">
        <f t="shared" si="5"/>
        <v>50.349999999999994</v>
      </c>
      <c r="AY11">
        <v>4.13</v>
      </c>
      <c r="AZ11">
        <v>50.35</v>
      </c>
      <c r="BA11">
        <v>0.31</v>
      </c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x14ac:dyDescent="0.25">
      <c r="B12">
        <v>11.89</v>
      </c>
      <c r="C12">
        <v>11.84</v>
      </c>
      <c r="D12">
        <v>51.43</v>
      </c>
      <c r="E12">
        <v>19.04</v>
      </c>
      <c r="F12">
        <v>11.84</v>
      </c>
      <c r="G12">
        <v>50.97</v>
      </c>
      <c r="H12">
        <v>19.22</v>
      </c>
      <c r="I12">
        <v>41.63</v>
      </c>
      <c r="J12">
        <v>50.89</v>
      </c>
      <c r="K12">
        <v>51.3</v>
      </c>
      <c r="L12">
        <v>51.43</v>
      </c>
      <c r="M12">
        <v>50.36</v>
      </c>
      <c r="N12">
        <f t="shared" si="3"/>
        <v>50.894999999999996</v>
      </c>
      <c r="O12">
        <v>1.07</v>
      </c>
      <c r="P12">
        <v>50.89</v>
      </c>
      <c r="Q12">
        <v>1.01</v>
      </c>
      <c r="T12">
        <v>11.67</v>
      </c>
      <c r="U12">
        <v>11.75</v>
      </c>
      <c r="V12">
        <v>51.34</v>
      </c>
      <c r="W12">
        <v>18.920000000000002</v>
      </c>
      <c r="X12">
        <v>11.75</v>
      </c>
      <c r="Y12">
        <v>51.55</v>
      </c>
      <c r="Z12">
        <v>19.14</v>
      </c>
      <c r="AA12">
        <v>41.11</v>
      </c>
      <c r="AB12">
        <v>50.36</v>
      </c>
      <c r="AC12">
        <v>50.14</v>
      </c>
      <c r="AD12">
        <v>51.34</v>
      </c>
      <c r="AE12">
        <v>49.37</v>
      </c>
      <c r="AF12">
        <f t="shared" si="4"/>
        <v>50.355000000000004</v>
      </c>
      <c r="AG12">
        <v>1.98</v>
      </c>
      <c r="AH12">
        <v>50.36</v>
      </c>
      <c r="AI12">
        <v>0.5</v>
      </c>
      <c r="AL12">
        <v>11.81</v>
      </c>
      <c r="AM12">
        <v>11.86</v>
      </c>
      <c r="AN12">
        <v>50.37</v>
      </c>
      <c r="AO12">
        <v>18.64</v>
      </c>
      <c r="AP12">
        <v>11.4</v>
      </c>
      <c r="AQ12">
        <v>48.23</v>
      </c>
      <c r="AR12">
        <v>18.440000000000001</v>
      </c>
      <c r="AS12">
        <v>41.55</v>
      </c>
      <c r="AT12">
        <v>50.8</v>
      </c>
      <c r="AU12">
        <v>50.65</v>
      </c>
      <c r="AV12">
        <v>50.37</v>
      </c>
      <c r="AW12">
        <v>51.24</v>
      </c>
      <c r="AX12">
        <f t="shared" si="5"/>
        <v>50.805</v>
      </c>
      <c r="AY12">
        <v>0.87</v>
      </c>
      <c r="AZ12">
        <v>50.8</v>
      </c>
      <c r="BA12">
        <v>0.99</v>
      </c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x14ac:dyDescent="0.25">
      <c r="B13">
        <v>25.46</v>
      </c>
      <c r="C13">
        <v>25.33</v>
      </c>
      <c r="D13">
        <v>49.75</v>
      </c>
      <c r="E13">
        <v>31.86</v>
      </c>
      <c r="F13">
        <v>25.19</v>
      </c>
      <c r="G13">
        <v>48.95</v>
      </c>
      <c r="H13">
        <v>33.270000000000003</v>
      </c>
      <c r="I13">
        <v>45.4</v>
      </c>
      <c r="J13">
        <v>49.78</v>
      </c>
      <c r="K13">
        <v>49.97</v>
      </c>
      <c r="L13">
        <v>49.75</v>
      </c>
      <c r="M13">
        <v>49.8</v>
      </c>
      <c r="N13">
        <f t="shared" si="3"/>
        <v>49.774999999999999</v>
      </c>
      <c r="O13">
        <v>0.05</v>
      </c>
      <c r="P13">
        <v>49.78</v>
      </c>
      <c r="Q13">
        <v>-0.66</v>
      </c>
      <c r="T13">
        <v>25.76</v>
      </c>
      <c r="U13">
        <v>25.39</v>
      </c>
      <c r="V13">
        <v>48.68</v>
      </c>
      <c r="W13">
        <v>31.16</v>
      </c>
      <c r="X13">
        <v>24.82</v>
      </c>
      <c r="Y13">
        <v>47.28</v>
      </c>
      <c r="Z13">
        <v>32.549999999999997</v>
      </c>
      <c r="AA13">
        <v>45.35</v>
      </c>
      <c r="AB13">
        <v>49.83</v>
      </c>
      <c r="AC13">
        <v>49.71</v>
      </c>
      <c r="AD13">
        <v>48.68</v>
      </c>
      <c r="AE13">
        <v>50.98</v>
      </c>
      <c r="AF13">
        <f t="shared" si="4"/>
        <v>49.83</v>
      </c>
      <c r="AG13">
        <v>2.2999999999999998</v>
      </c>
      <c r="AH13">
        <v>49.83</v>
      </c>
      <c r="AI13">
        <v>-0.35</v>
      </c>
      <c r="AL13">
        <v>26.14</v>
      </c>
      <c r="AM13">
        <v>25.62</v>
      </c>
      <c r="AN13">
        <v>52.59</v>
      </c>
      <c r="AO13">
        <v>32.840000000000003</v>
      </c>
      <c r="AP13">
        <v>25.88</v>
      </c>
      <c r="AQ13">
        <v>52.33</v>
      </c>
      <c r="AR13">
        <v>34.630000000000003</v>
      </c>
      <c r="AS13">
        <v>45.26</v>
      </c>
      <c r="AT13">
        <v>50.28</v>
      </c>
      <c r="AU13">
        <v>50.9</v>
      </c>
      <c r="AV13">
        <v>52.59</v>
      </c>
      <c r="AW13">
        <v>47.98</v>
      </c>
      <c r="AX13">
        <f t="shared" si="5"/>
        <v>50.284999999999997</v>
      </c>
      <c r="AY13">
        <v>4.6100000000000003</v>
      </c>
      <c r="AZ13">
        <v>50.28</v>
      </c>
      <c r="BA13">
        <v>0.08</v>
      </c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x14ac:dyDescent="0.25">
      <c r="B14">
        <v>23.19</v>
      </c>
      <c r="C14">
        <v>22.95</v>
      </c>
      <c r="D14">
        <v>51.26</v>
      </c>
      <c r="E14">
        <v>29.44</v>
      </c>
      <c r="F14">
        <v>22.65</v>
      </c>
      <c r="G14">
        <v>51.19</v>
      </c>
      <c r="H14">
        <v>31.4</v>
      </c>
      <c r="I14">
        <v>45.05</v>
      </c>
      <c r="J14">
        <v>50.77</v>
      </c>
      <c r="K14">
        <v>50.69</v>
      </c>
      <c r="L14">
        <v>51.26</v>
      </c>
      <c r="M14">
        <v>50.27</v>
      </c>
      <c r="N14">
        <f t="shared" si="3"/>
        <v>50.765000000000001</v>
      </c>
      <c r="O14">
        <v>0.99</v>
      </c>
      <c r="P14">
        <v>50.77</v>
      </c>
      <c r="Q14">
        <v>1.5</v>
      </c>
      <c r="T14">
        <v>22.38</v>
      </c>
      <c r="U14">
        <v>21.42</v>
      </c>
      <c r="V14">
        <v>47.77</v>
      </c>
      <c r="W14">
        <v>27.61</v>
      </c>
      <c r="X14">
        <v>21.97</v>
      </c>
      <c r="Y14">
        <v>48.32</v>
      </c>
      <c r="Z14">
        <v>30.21</v>
      </c>
      <c r="AA14">
        <v>44.03</v>
      </c>
      <c r="AB14">
        <v>49.16</v>
      </c>
      <c r="AC14">
        <v>49.42</v>
      </c>
      <c r="AD14">
        <v>47.77</v>
      </c>
      <c r="AE14">
        <v>50.55</v>
      </c>
      <c r="AF14">
        <f t="shared" si="4"/>
        <v>49.16</v>
      </c>
      <c r="AG14">
        <v>2.78</v>
      </c>
      <c r="AH14">
        <v>49.16</v>
      </c>
      <c r="AI14">
        <v>-1.66</v>
      </c>
      <c r="AL14">
        <v>23.05</v>
      </c>
      <c r="AM14">
        <v>22.72</v>
      </c>
      <c r="AN14">
        <v>51.67</v>
      </c>
      <c r="AO14">
        <v>29.04</v>
      </c>
      <c r="AP14">
        <v>22.21</v>
      </c>
      <c r="AQ14">
        <v>50.27</v>
      </c>
      <c r="AR14">
        <v>30.81</v>
      </c>
      <c r="AS14">
        <v>44.58</v>
      </c>
      <c r="AT14">
        <v>50.84</v>
      </c>
      <c r="AU14">
        <v>51.06</v>
      </c>
      <c r="AV14">
        <v>51.67</v>
      </c>
      <c r="AW14">
        <v>50</v>
      </c>
      <c r="AX14">
        <f t="shared" si="5"/>
        <v>50.835000000000001</v>
      </c>
      <c r="AY14">
        <v>1.68</v>
      </c>
      <c r="AZ14">
        <v>50.84</v>
      </c>
      <c r="BA14">
        <v>1.22</v>
      </c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x14ac:dyDescent="0.25">
      <c r="B15">
        <v>11.63</v>
      </c>
      <c r="C15">
        <v>11.54</v>
      </c>
      <c r="D15">
        <v>48.62</v>
      </c>
      <c r="E15">
        <v>18.55</v>
      </c>
      <c r="F15">
        <v>11.78</v>
      </c>
      <c r="G15">
        <v>49.71</v>
      </c>
      <c r="H15">
        <v>19.05</v>
      </c>
      <c r="I15">
        <v>41.68</v>
      </c>
      <c r="J15">
        <v>49.9</v>
      </c>
      <c r="K15">
        <v>50.2</v>
      </c>
      <c r="L15">
        <v>48.62</v>
      </c>
      <c r="M15">
        <v>51.18</v>
      </c>
      <c r="N15">
        <f t="shared" si="3"/>
        <v>49.9</v>
      </c>
      <c r="O15">
        <v>2.56</v>
      </c>
      <c r="P15">
        <v>49.9</v>
      </c>
      <c r="Q15">
        <v>-0.1</v>
      </c>
      <c r="T15">
        <v>11.82</v>
      </c>
      <c r="U15">
        <v>11.7</v>
      </c>
      <c r="V15">
        <v>49.51</v>
      </c>
      <c r="W15">
        <v>18.87</v>
      </c>
      <c r="X15">
        <v>12.12</v>
      </c>
      <c r="Y15">
        <v>51.34</v>
      </c>
      <c r="Z15">
        <v>19.61</v>
      </c>
      <c r="AA15">
        <v>41.78</v>
      </c>
      <c r="AB15">
        <v>50.3</v>
      </c>
      <c r="AC15">
        <v>50.47</v>
      </c>
      <c r="AD15">
        <v>49.51</v>
      </c>
      <c r="AE15">
        <v>51.09</v>
      </c>
      <c r="AF15">
        <f t="shared" si="4"/>
        <v>50.3</v>
      </c>
      <c r="AG15">
        <v>1.58</v>
      </c>
      <c r="AH15">
        <v>50.3</v>
      </c>
      <c r="AI15">
        <v>0.43</v>
      </c>
      <c r="AL15">
        <v>11.68</v>
      </c>
      <c r="AM15">
        <v>11.67</v>
      </c>
      <c r="AN15">
        <v>51.18</v>
      </c>
      <c r="AO15">
        <v>18.760000000000002</v>
      </c>
      <c r="AP15">
        <v>11.59</v>
      </c>
      <c r="AQ15">
        <v>50.55</v>
      </c>
      <c r="AR15">
        <v>18.86</v>
      </c>
      <c r="AS15">
        <v>41.15</v>
      </c>
      <c r="AT15">
        <v>50.4</v>
      </c>
      <c r="AU15">
        <v>50.39</v>
      </c>
      <c r="AV15">
        <v>51.18</v>
      </c>
      <c r="AW15">
        <v>49.62</v>
      </c>
      <c r="AX15">
        <f t="shared" si="5"/>
        <v>50.4</v>
      </c>
      <c r="AY15">
        <v>1.56</v>
      </c>
      <c r="AZ15">
        <v>50.4</v>
      </c>
      <c r="BA15">
        <v>0.43</v>
      </c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x14ac:dyDescent="0.25">
      <c r="B16">
        <v>26.15</v>
      </c>
      <c r="C16">
        <v>26.02</v>
      </c>
      <c r="D16">
        <v>50.9</v>
      </c>
      <c r="E16">
        <v>32.82</v>
      </c>
      <c r="F16">
        <v>26.23</v>
      </c>
      <c r="G16">
        <v>51.73</v>
      </c>
      <c r="H16">
        <v>34.81</v>
      </c>
      <c r="I16">
        <v>45.9</v>
      </c>
      <c r="J16">
        <v>50.28</v>
      </c>
      <c r="K16">
        <v>49.83</v>
      </c>
      <c r="L16">
        <v>50.9</v>
      </c>
      <c r="M16">
        <v>49.67</v>
      </c>
      <c r="N16">
        <f t="shared" si="3"/>
        <v>50.284999999999997</v>
      </c>
      <c r="O16">
        <v>1.23</v>
      </c>
      <c r="P16">
        <v>50.28</v>
      </c>
      <c r="Q16">
        <v>0.62</v>
      </c>
      <c r="T16">
        <v>26.6</v>
      </c>
      <c r="U16">
        <v>26.18</v>
      </c>
      <c r="V16">
        <v>45.75</v>
      </c>
      <c r="W16">
        <v>30.73</v>
      </c>
      <c r="X16">
        <v>25.39</v>
      </c>
      <c r="Y16">
        <v>43.95</v>
      </c>
      <c r="Z16">
        <v>32.19</v>
      </c>
      <c r="AA16">
        <v>46.83</v>
      </c>
      <c r="AB16">
        <v>50.87</v>
      </c>
      <c r="AC16">
        <v>51.19</v>
      </c>
      <c r="AD16">
        <v>45.75</v>
      </c>
      <c r="AE16">
        <v>55.99</v>
      </c>
      <c r="AF16">
        <f t="shared" si="4"/>
        <v>50.870000000000005</v>
      </c>
      <c r="AG16">
        <v>10.24</v>
      </c>
      <c r="AH16">
        <v>50.87</v>
      </c>
      <c r="AI16">
        <v>1.45</v>
      </c>
      <c r="AL16">
        <v>25.87</v>
      </c>
      <c r="AM16">
        <v>25.92</v>
      </c>
      <c r="AN16">
        <v>51.06</v>
      </c>
      <c r="AO16">
        <v>32.64</v>
      </c>
      <c r="AP16">
        <v>25.68</v>
      </c>
      <c r="AQ16">
        <v>50.51</v>
      </c>
      <c r="AR16">
        <v>34.049999999999997</v>
      </c>
      <c r="AS16">
        <v>45.89</v>
      </c>
      <c r="AT16">
        <v>50.38</v>
      </c>
      <c r="AU16">
        <v>50.07</v>
      </c>
      <c r="AV16">
        <v>51.06</v>
      </c>
      <c r="AW16">
        <v>49.7</v>
      </c>
      <c r="AX16">
        <f t="shared" si="5"/>
        <v>50.38</v>
      </c>
      <c r="AY16">
        <v>1.36</v>
      </c>
      <c r="AZ16">
        <v>50.38</v>
      </c>
      <c r="BA16">
        <v>0.62</v>
      </c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x14ac:dyDescent="0.25">
      <c r="B17">
        <v>22.6</v>
      </c>
      <c r="C17">
        <v>22.42</v>
      </c>
      <c r="D17">
        <v>51</v>
      </c>
      <c r="E17">
        <v>29.01</v>
      </c>
      <c r="F17">
        <v>22.25</v>
      </c>
      <c r="G17">
        <v>51.12</v>
      </c>
      <c r="H17">
        <v>31.01</v>
      </c>
      <c r="I17">
        <v>44.31</v>
      </c>
      <c r="J17">
        <v>50.05</v>
      </c>
      <c r="K17">
        <v>50.11</v>
      </c>
      <c r="L17">
        <v>51</v>
      </c>
      <c r="M17">
        <v>49.1</v>
      </c>
      <c r="N17">
        <f t="shared" si="3"/>
        <v>50.05</v>
      </c>
      <c r="O17">
        <v>1.89</v>
      </c>
      <c r="P17">
        <v>50.05</v>
      </c>
      <c r="Q17">
        <v>0.31</v>
      </c>
      <c r="T17">
        <v>22.57</v>
      </c>
      <c r="U17">
        <v>22.22</v>
      </c>
      <c r="V17">
        <v>46.62</v>
      </c>
      <c r="W17">
        <v>28.27</v>
      </c>
      <c r="X17">
        <v>23.19</v>
      </c>
      <c r="Y17">
        <v>48.19</v>
      </c>
      <c r="Z17">
        <v>31.32</v>
      </c>
      <c r="AA17">
        <v>45.7</v>
      </c>
      <c r="AB17">
        <v>50.19</v>
      </c>
      <c r="AC17">
        <v>50.36</v>
      </c>
      <c r="AD17">
        <v>46.62</v>
      </c>
      <c r="AE17">
        <v>53.77</v>
      </c>
      <c r="AF17">
        <f t="shared" si="4"/>
        <v>50.195</v>
      </c>
      <c r="AG17">
        <v>7.15</v>
      </c>
      <c r="AH17">
        <v>50.19</v>
      </c>
      <c r="AI17">
        <v>0.09</v>
      </c>
      <c r="AL17">
        <v>22.59</v>
      </c>
      <c r="AM17">
        <v>22.63</v>
      </c>
      <c r="AN17">
        <v>49.97</v>
      </c>
      <c r="AO17">
        <v>28.94</v>
      </c>
      <c r="AP17">
        <v>22.6</v>
      </c>
      <c r="AQ17">
        <v>49.78</v>
      </c>
      <c r="AR17">
        <v>31.08</v>
      </c>
      <c r="AS17">
        <v>45.2</v>
      </c>
      <c r="AT17">
        <v>50.65</v>
      </c>
      <c r="AU17">
        <v>50.5</v>
      </c>
      <c r="AV17">
        <v>49.97</v>
      </c>
      <c r="AW17">
        <v>51.33</v>
      </c>
      <c r="AX17">
        <f t="shared" si="5"/>
        <v>50.65</v>
      </c>
      <c r="AY17">
        <v>1.37</v>
      </c>
      <c r="AZ17">
        <v>50.65</v>
      </c>
      <c r="BA17">
        <v>0.98</v>
      </c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x14ac:dyDescent="0.25">
      <c r="B18">
        <v>17.559999999999999</v>
      </c>
      <c r="C18">
        <v>17.29</v>
      </c>
      <c r="D18">
        <v>52.59</v>
      </c>
      <c r="E18">
        <v>24.04</v>
      </c>
      <c r="F18">
        <v>17.45</v>
      </c>
      <c r="G18">
        <v>54.01</v>
      </c>
      <c r="H18">
        <v>26.38</v>
      </c>
      <c r="I18">
        <v>42.66</v>
      </c>
      <c r="J18">
        <v>50.71</v>
      </c>
      <c r="K18">
        <v>50.65</v>
      </c>
      <c r="L18">
        <v>52.59</v>
      </c>
      <c r="M18">
        <v>48.83</v>
      </c>
      <c r="N18">
        <f t="shared" si="3"/>
        <v>50.71</v>
      </c>
      <c r="O18">
        <v>3.76</v>
      </c>
      <c r="P18">
        <v>50.71</v>
      </c>
      <c r="Q18">
        <v>1.46</v>
      </c>
      <c r="T18">
        <v>17.43</v>
      </c>
      <c r="U18">
        <v>16.47</v>
      </c>
      <c r="V18">
        <v>44.87</v>
      </c>
      <c r="W18">
        <v>22.39</v>
      </c>
      <c r="X18">
        <v>17.190000000000001</v>
      </c>
      <c r="Y18">
        <v>47.84</v>
      </c>
      <c r="Z18">
        <v>25.29</v>
      </c>
      <c r="AA18">
        <v>43.55</v>
      </c>
      <c r="AB18">
        <v>49.2</v>
      </c>
      <c r="AC18">
        <v>49.26</v>
      </c>
      <c r="AD18">
        <v>44.87</v>
      </c>
      <c r="AE18">
        <v>53.53</v>
      </c>
      <c r="AF18">
        <f t="shared" si="4"/>
        <v>49.2</v>
      </c>
      <c r="AG18">
        <v>8.66</v>
      </c>
      <c r="AH18">
        <v>49.2</v>
      </c>
      <c r="AI18">
        <v>-0.7</v>
      </c>
      <c r="AL18">
        <v>17.32</v>
      </c>
      <c r="AM18">
        <v>16.96</v>
      </c>
      <c r="AN18">
        <v>50.55</v>
      </c>
      <c r="AO18">
        <v>23.24</v>
      </c>
      <c r="AP18">
        <v>17.14</v>
      </c>
      <c r="AQ18">
        <v>50.47</v>
      </c>
      <c r="AR18">
        <v>25.59</v>
      </c>
      <c r="AS18">
        <v>43.17</v>
      </c>
      <c r="AT18">
        <v>50.84</v>
      </c>
      <c r="AU18">
        <v>50.6</v>
      </c>
      <c r="AV18">
        <v>50.55</v>
      </c>
      <c r="AW18">
        <v>51.13</v>
      </c>
      <c r="AX18">
        <f t="shared" si="5"/>
        <v>50.84</v>
      </c>
      <c r="AY18">
        <v>0.57999999999999996</v>
      </c>
      <c r="AZ18">
        <v>50.84</v>
      </c>
      <c r="BA18">
        <v>0.92</v>
      </c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x14ac:dyDescent="0.25">
      <c r="B19" s="2">
        <f>AVERAGE(B9:B18)</f>
        <v>18.726999999999997</v>
      </c>
      <c r="C19" s="2">
        <f t="shared" ref="C19:Q19" si="6">AVERAGE(C9:C18)</f>
        <v>18.597999999999999</v>
      </c>
      <c r="D19" s="2">
        <f t="shared" si="6"/>
        <v>51.5</v>
      </c>
      <c r="E19" s="2">
        <f t="shared" si="6"/>
        <v>25.396000000000001</v>
      </c>
      <c r="F19" s="2">
        <f t="shared" si="6"/>
        <v>18.512999999999998</v>
      </c>
      <c r="G19" s="2">
        <f t="shared" si="6"/>
        <v>51.330000000000005</v>
      </c>
      <c r="H19" s="2">
        <f t="shared" si="6"/>
        <v>26.558000000000003</v>
      </c>
      <c r="I19" s="2">
        <f t="shared" si="6"/>
        <v>42.984999999999999</v>
      </c>
      <c r="J19" s="2">
        <f t="shared" si="6"/>
        <v>50.231999999999992</v>
      </c>
      <c r="K19" s="2">
        <f t="shared" si="6"/>
        <v>50.212000000000003</v>
      </c>
      <c r="L19" s="2">
        <f t="shared" si="6"/>
        <v>51.5</v>
      </c>
      <c r="M19" s="2">
        <f t="shared" si="6"/>
        <v>48.963000000000001</v>
      </c>
      <c r="N19" s="2">
        <f t="shared" si="6"/>
        <v>50.231499999999997</v>
      </c>
      <c r="O19" s="2">
        <f t="shared" si="6"/>
        <v>3.383</v>
      </c>
      <c r="P19" s="2">
        <f t="shared" si="6"/>
        <v>50.231999999999992</v>
      </c>
      <c r="Q19" s="2">
        <f t="shared" si="6"/>
        <v>0.38400000000000001</v>
      </c>
      <c r="T19" s="2">
        <f>AVERAGE(T9:T18)</f>
        <v>18.743000000000002</v>
      </c>
      <c r="U19" s="2">
        <f t="shared" ref="U19:AI19" si="7">AVERAGE(U9:U18)</f>
        <v>18.428999999999998</v>
      </c>
      <c r="V19" s="2">
        <f t="shared" si="7"/>
        <v>47.624000000000002</v>
      </c>
      <c r="W19" s="2">
        <f t="shared" si="7"/>
        <v>24.612000000000002</v>
      </c>
      <c r="X19" s="2">
        <f t="shared" si="7"/>
        <v>18.478000000000002</v>
      </c>
      <c r="Y19" s="2">
        <f t="shared" si="7"/>
        <v>47.822000000000003</v>
      </c>
      <c r="Z19" s="2">
        <f t="shared" si="7"/>
        <v>25.997000000000003</v>
      </c>
      <c r="AA19" s="2">
        <f t="shared" si="7"/>
        <v>43.942</v>
      </c>
      <c r="AB19" s="2">
        <f t="shared" si="7"/>
        <v>50.055</v>
      </c>
      <c r="AC19" s="2">
        <f t="shared" si="7"/>
        <v>50.055999999999997</v>
      </c>
      <c r="AD19" s="2">
        <f t="shared" si="7"/>
        <v>47.624000000000002</v>
      </c>
      <c r="AE19" s="2">
        <f t="shared" si="7"/>
        <v>52.486000000000004</v>
      </c>
      <c r="AF19" s="2">
        <f t="shared" si="7"/>
        <v>50.055</v>
      </c>
      <c r="AG19" s="2">
        <f t="shared" si="7"/>
        <v>5.2560000000000002</v>
      </c>
      <c r="AH19" s="2">
        <f t="shared" si="7"/>
        <v>50.055</v>
      </c>
      <c r="AI19" s="2">
        <f t="shared" si="7"/>
        <v>6.3999999999999987E-2</v>
      </c>
      <c r="AL19" s="2">
        <f>AVERAGE(AL9:AL18)</f>
        <v>18.835999999999999</v>
      </c>
      <c r="AM19" s="2">
        <f t="shared" ref="AM19:BA19" si="8">AVERAGE(AM9:AM18)</f>
        <v>18.655999999999999</v>
      </c>
      <c r="AN19" s="2">
        <f t="shared" si="8"/>
        <v>53.686</v>
      </c>
      <c r="AO19" s="2">
        <f t="shared" si="8"/>
        <v>25.518000000000001</v>
      </c>
      <c r="AP19" s="2">
        <f t="shared" si="8"/>
        <v>18.463999999999999</v>
      </c>
      <c r="AQ19" s="2">
        <f t="shared" si="8"/>
        <v>52.632000000000005</v>
      </c>
      <c r="AR19" s="2">
        <f t="shared" si="8"/>
        <v>26.561999999999994</v>
      </c>
      <c r="AS19" s="2">
        <f t="shared" si="8"/>
        <v>42.155999999999992</v>
      </c>
      <c r="AT19" s="2">
        <f t="shared" si="8"/>
        <v>50.540999999999997</v>
      </c>
      <c r="AU19" s="2">
        <f t="shared" si="8"/>
        <v>50.58</v>
      </c>
      <c r="AV19" s="2">
        <f t="shared" si="8"/>
        <v>53.686</v>
      </c>
      <c r="AW19" s="2">
        <f t="shared" si="8"/>
        <v>47.396999999999998</v>
      </c>
      <c r="AX19" s="2">
        <f t="shared" si="8"/>
        <v>50.541499999999999</v>
      </c>
      <c r="AY19" s="2">
        <f t="shared" si="8"/>
        <v>6.8549999999999995</v>
      </c>
      <c r="AZ19" s="2">
        <f t="shared" si="8"/>
        <v>50.540999999999997</v>
      </c>
      <c r="BA19" s="2">
        <f t="shared" si="8"/>
        <v>0.69199999999999995</v>
      </c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2" spans="1:70" x14ac:dyDescent="0.25">
      <c r="A22" s="1" t="s">
        <v>20</v>
      </c>
      <c r="B22">
        <v>11.91</v>
      </c>
      <c r="C22">
        <v>11.85</v>
      </c>
      <c r="D22">
        <v>39.520000000000003</v>
      </c>
      <c r="E22">
        <v>17.77</v>
      </c>
      <c r="F22">
        <v>11.53</v>
      </c>
      <c r="G22">
        <v>38.25</v>
      </c>
      <c r="H22">
        <v>17.72</v>
      </c>
      <c r="I22">
        <v>45.2</v>
      </c>
      <c r="J22">
        <v>50.65</v>
      </c>
      <c r="K22">
        <v>50.88</v>
      </c>
      <c r="L22">
        <v>39.520000000000003</v>
      </c>
      <c r="M22">
        <v>61.77</v>
      </c>
      <c r="N22">
        <f>(L22+M22)/2</f>
        <v>50.645000000000003</v>
      </c>
      <c r="O22">
        <v>22.25</v>
      </c>
      <c r="P22">
        <v>50.65</v>
      </c>
      <c r="Q22">
        <v>0.78</v>
      </c>
      <c r="S22" s="1" t="s">
        <v>37</v>
      </c>
      <c r="T22">
        <v>11.9</v>
      </c>
      <c r="U22">
        <v>11.77</v>
      </c>
      <c r="V22">
        <v>55.41</v>
      </c>
      <c r="W22">
        <v>19.059999999999999</v>
      </c>
      <c r="X22">
        <v>11.5</v>
      </c>
      <c r="Y22">
        <v>54.13</v>
      </c>
      <c r="Z22">
        <v>18.97</v>
      </c>
      <c r="AA22">
        <v>39.549999999999997</v>
      </c>
      <c r="AB22">
        <v>50.55</v>
      </c>
      <c r="AC22">
        <v>50.7</v>
      </c>
      <c r="AD22">
        <v>55.41</v>
      </c>
      <c r="AE22">
        <v>45.69</v>
      </c>
      <c r="AF22">
        <f>(AD22+AE22)/2</f>
        <v>50.55</v>
      </c>
      <c r="AG22">
        <v>9.7200000000000006</v>
      </c>
      <c r="AH22">
        <v>50.55</v>
      </c>
      <c r="AI22">
        <v>0.69</v>
      </c>
      <c r="AK22" s="1" t="s">
        <v>45</v>
      </c>
      <c r="AL22">
        <v>11.79</v>
      </c>
      <c r="AM22">
        <v>11.62</v>
      </c>
      <c r="AN22">
        <v>51.41</v>
      </c>
      <c r="AO22">
        <v>18.91</v>
      </c>
      <c r="AP22">
        <v>12.12</v>
      </c>
      <c r="AQ22">
        <v>53.71</v>
      </c>
      <c r="AR22">
        <v>19.77</v>
      </c>
      <c r="AS22">
        <v>40.79</v>
      </c>
      <c r="AT22">
        <v>50.09</v>
      </c>
      <c r="AU22">
        <v>50.55</v>
      </c>
      <c r="AV22">
        <v>51.41</v>
      </c>
      <c r="AW22">
        <v>48.77</v>
      </c>
      <c r="AX22">
        <f>(AV22+AW22)/2</f>
        <v>50.09</v>
      </c>
      <c r="AY22">
        <v>2.64</v>
      </c>
      <c r="AZ22">
        <v>50.09</v>
      </c>
      <c r="BA22">
        <v>0.2</v>
      </c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x14ac:dyDescent="0.25">
      <c r="B23">
        <v>11.71</v>
      </c>
      <c r="C23">
        <v>11.7</v>
      </c>
      <c r="D23">
        <v>49.37</v>
      </c>
      <c r="E23">
        <v>18.72</v>
      </c>
      <c r="F23">
        <v>11.73</v>
      </c>
      <c r="G23">
        <v>49.69</v>
      </c>
      <c r="H23">
        <v>18.98</v>
      </c>
      <c r="I23">
        <v>41.73</v>
      </c>
      <c r="J23">
        <v>50.22</v>
      </c>
      <c r="K23">
        <v>50.3</v>
      </c>
      <c r="L23">
        <v>49.37</v>
      </c>
      <c r="M23">
        <v>51.08</v>
      </c>
      <c r="N23">
        <f t="shared" ref="N23:N31" si="9">(L23+M23)/2</f>
        <v>50.224999999999994</v>
      </c>
      <c r="O23">
        <v>1.71</v>
      </c>
      <c r="P23">
        <v>50.22</v>
      </c>
      <c r="Q23">
        <v>0.34</v>
      </c>
      <c r="T23">
        <v>11.79</v>
      </c>
      <c r="U23">
        <v>11.85</v>
      </c>
      <c r="V23">
        <v>49.02</v>
      </c>
      <c r="W23">
        <v>18.89</v>
      </c>
      <c r="X23">
        <v>11.87</v>
      </c>
      <c r="Y23">
        <v>49.17</v>
      </c>
      <c r="Z23">
        <v>19.13</v>
      </c>
      <c r="AA23">
        <v>42.32</v>
      </c>
      <c r="AB23">
        <v>50.64</v>
      </c>
      <c r="AC23">
        <v>50.63</v>
      </c>
      <c r="AD23">
        <v>49.02</v>
      </c>
      <c r="AE23">
        <v>52.26</v>
      </c>
      <c r="AF23">
        <f t="shared" ref="AF23:AF31" si="10">(AD23+AE23)/2</f>
        <v>50.64</v>
      </c>
      <c r="AG23">
        <v>3.25</v>
      </c>
      <c r="AH23">
        <v>50.64</v>
      </c>
      <c r="AI23">
        <v>0.84</v>
      </c>
      <c r="AL23">
        <v>11.67</v>
      </c>
      <c r="AM23">
        <v>11.65</v>
      </c>
      <c r="AN23">
        <v>50.56</v>
      </c>
      <c r="AO23">
        <v>18.78</v>
      </c>
      <c r="AP23">
        <v>11.75</v>
      </c>
      <c r="AQ23">
        <v>50.83</v>
      </c>
      <c r="AR23">
        <v>19.09</v>
      </c>
      <c r="AS23">
        <v>41.34</v>
      </c>
      <c r="AT23">
        <v>50.28</v>
      </c>
      <c r="AU23">
        <v>50.44</v>
      </c>
      <c r="AV23">
        <v>50.56</v>
      </c>
      <c r="AW23">
        <v>50</v>
      </c>
      <c r="AX23">
        <f t="shared" ref="AX23:AX31" si="11">(AV23+AW23)/2</f>
        <v>50.28</v>
      </c>
      <c r="AY23">
        <v>0.56999999999999995</v>
      </c>
      <c r="AZ23">
        <v>50.28</v>
      </c>
      <c r="BA23">
        <v>0.31</v>
      </c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x14ac:dyDescent="0.25">
      <c r="B24">
        <v>26.7</v>
      </c>
      <c r="C24">
        <v>26.38</v>
      </c>
      <c r="D24">
        <v>50.43</v>
      </c>
      <c r="E24">
        <v>32.909999999999997</v>
      </c>
      <c r="F24">
        <v>26.23</v>
      </c>
      <c r="G24">
        <v>49.83</v>
      </c>
      <c r="H24">
        <v>34.369999999999997</v>
      </c>
      <c r="I24">
        <v>46.85</v>
      </c>
      <c r="J24">
        <v>51.08</v>
      </c>
      <c r="K24">
        <v>51.16</v>
      </c>
      <c r="L24">
        <v>50.43</v>
      </c>
      <c r="M24">
        <v>51.74</v>
      </c>
      <c r="N24">
        <f t="shared" si="9"/>
        <v>51.085000000000001</v>
      </c>
      <c r="O24">
        <v>1.31</v>
      </c>
      <c r="P24">
        <v>51.08</v>
      </c>
      <c r="Q24">
        <v>1.69</v>
      </c>
      <c r="T24">
        <v>26.51</v>
      </c>
      <c r="U24">
        <v>26</v>
      </c>
      <c r="V24">
        <v>49.5</v>
      </c>
      <c r="W24">
        <v>32.49</v>
      </c>
      <c r="X24">
        <v>26.01</v>
      </c>
      <c r="Y24">
        <v>49.02</v>
      </c>
      <c r="Z24">
        <v>33.99</v>
      </c>
      <c r="AA24">
        <v>46.65</v>
      </c>
      <c r="AB24">
        <v>50.67</v>
      </c>
      <c r="AC24">
        <v>50.86</v>
      </c>
      <c r="AD24">
        <v>49.5</v>
      </c>
      <c r="AE24">
        <v>51.83</v>
      </c>
      <c r="AF24">
        <f t="shared" si="10"/>
        <v>50.664999999999999</v>
      </c>
      <c r="AG24">
        <v>2.33</v>
      </c>
      <c r="AH24">
        <v>50.67</v>
      </c>
      <c r="AI24">
        <v>0.92</v>
      </c>
      <c r="AL24">
        <v>26.07</v>
      </c>
      <c r="AM24">
        <v>26.16</v>
      </c>
      <c r="AN24">
        <v>50.66</v>
      </c>
      <c r="AO24">
        <v>32.85</v>
      </c>
      <c r="AP24">
        <v>26.08</v>
      </c>
      <c r="AQ24">
        <v>49.93</v>
      </c>
      <c r="AR24">
        <v>34.270000000000003</v>
      </c>
      <c r="AS24">
        <v>46.6</v>
      </c>
      <c r="AT24">
        <v>50.91</v>
      </c>
      <c r="AU24">
        <v>50.68</v>
      </c>
      <c r="AV24">
        <v>50.66</v>
      </c>
      <c r="AW24">
        <v>51.16</v>
      </c>
      <c r="AX24">
        <f t="shared" si="11"/>
        <v>50.91</v>
      </c>
      <c r="AY24">
        <v>0.51</v>
      </c>
      <c r="AZ24">
        <v>50.91</v>
      </c>
      <c r="BA24">
        <v>1.33</v>
      </c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x14ac:dyDescent="0.25">
      <c r="B25">
        <v>11.76</v>
      </c>
      <c r="C25">
        <v>11.69</v>
      </c>
      <c r="D25">
        <v>39.17</v>
      </c>
      <c r="E25">
        <v>17.7</v>
      </c>
      <c r="F25">
        <v>11.61</v>
      </c>
      <c r="G25">
        <v>38.700000000000003</v>
      </c>
      <c r="H25">
        <v>17.86</v>
      </c>
      <c r="I25">
        <v>45.06</v>
      </c>
      <c r="J25">
        <v>50.34</v>
      </c>
      <c r="K25">
        <v>50.55</v>
      </c>
      <c r="L25">
        <v>39.17</v>
      </c>
      <c r="M25">
        <v>61.51</v>
      </c>
      <c r="N25">
        <f t="shared" si="9"/>
        <v>50.34</v>
      </c>
      <c r="O25">
        <v>22.34</v>
      </c>
      <c r="P25">
        <v>50.34</v>
      </c>
      <c r="Q25">
        <v>0.38</v>
      </c>
      <c r="T25">
        <v>11.51</v>
      </c>
      <c r="U25">
        <v>11.64</v>
      </c>
      <c r="V25">
        <v>46.79</v>
      </c>
      <c r="W25">
        <v>18.41</v>
      </c>
      <c r="X25">
        <v>11.62</v>
      </c>
      <c r="Y25">
        <v>46.36</v>
      </c>
      <c r="Z25">
        <v>18.59</v>
      </c>
      <c r="AA25">
        <v>42.67</v>
      </c>
      <c r="AB25">
        <v>50.35</v>
      </c>
      <c r="AC25">
        <v>50.18</v>
      </c>
      <c r="AD25">
        <v>46.79</v>
      </c>
      <c r="AE25">
        <v>53.91</v>
      </c>
      <c r="AF25">
        <f t="shared" si="10"/>
        <v>50.349999999999994</v>
      </c>
      <c r="AG25">
        <v>7.12</v>
      </c>
      <c r="AH25">
        <v>50.35</v>
      </c>
      <c r="AI25">
        <v>0.35</v>
      </c>
      <c r="AL25">
        <v>11.55</v>
      </c>
      <c r="AM25">
        <v>11.35</v>
      </c>
      <c r="AN25">
        <v>47.15</v>
      </c>
      <c r="AO25">
        <v>18.149999999999999</v>
      </c>
      <c r="AP25">
        <v>11.45</v>
      </c>
      <c r="AQ25">
        <v>47.39</v>
      </c>
      <c r="AR25">
        <v>18.45</v>
      </c>
      <c r="AS25">
        <v>41.79</v>
      </c>
      <c r="AT25">
        <v>49.58</v>
      </c>
      <c r="AU25">
        <v>50.09</v>
      </c>
      <c r="AV25">
        <v>47.15</v>
      </c>
      <c r="AW25">
        <v>52.01</v>
      </c>
      <c r="AX25">
        <f t="shared" si="11"/>
        <v>49.58</v>
      </c>
      <c r="AY25">
        <v>4.87</v>
      </c>
      <c r="AZ25">
        <v>49.58</v>
      </c>
      <c r="BA25">
        <v>-0.6</v>
      </c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x14ac:dyDescent="0.25">
      <c r="B26">
        <v>26.2</v>
      </c>
      <c r="C26">
        <v>26.09</v>
      </c>
      <c r="D26">
        <v>42.8</v>
      </c>
      <c r="E26">
        <v>31.2</v>
      </c>
      <c r="F26">
        <v>26.85</v>
      </c>
      <c r="G26">
        <v>44.03</v>
      </c>
      <c r="H26">
        <v>33.36</v>
      </c>
      <c r="I26">
        <v>48.14</v>
      </c>
      <c r="J26">
        <v>50.47</v>
      </c>
      <c r="K26">
        <v>51.11</v>
      </c>
      <c r="L26">
        <v>42.8</v>
      </c>
      <c r="M26">
        <v>58.14</v>
      </c>
      <c r="N26">
        <f t="shared" si="9"/>
        <v>50.47</v>
      </c>
      <c r="O26">
        <v>15.34</v>
      </c>
      <c r="P26">
        <v>50.47</v>
      </c>
      <c r="Q26">
        <v>0.82</v>
      </c>
      <c r="T26">
        <v>26</v>
      </c>
      <c r="U26">
        <v>25.98</v>
      </c>
      <c r="V26">
        <v>47.4</v>
      </c>
      <c r="W26">
        <v>32.17</v>
      </c>
      <c r="X26">
        <v>26.36</v>
      </c>
      <c r="Y26">
        <v>48.27</v>
      </c>
      <c r="Z26">
        <v>34.1</v>
      </c>
      <c r="AA26">
        <v>47.03</v>
      </c>
      <c r="AB26">
        <v>50.34</v>
      </c>
      <c r="AC26">
        <v>50.34</v>
      </c>
      <c r="AD26">
        <v>47.4</v>
      </c>
      <c r="AE26">
        <v>53.28</v>
      </c>
      <c r="AF26">
        <f t="shared" si="10"/>
        <v>50.34</v>
      </c>
      <c r="AG26">
        <v>5.88</v>
      </c>
      <c r="AH26">
        <v>50.34</v>
      </c>
      <c r="AI26">
        <v>0.68</v>
      </c>
      <c r="AL26">
        <v>26.02</v>
      </c>
      <c r="AM26">
        <v>25.83</v>
      </c>
      <c r="AN26">
        <v>49.4</v>
      </c>
      <c r="AO26">
        <v>32.54</v>
      </c>
      <c r="AP26">
        <v>26.2</v>
      </c>
      <c r="AQ26">
        <v>50.25</v>
      </c>
      <c r="AR26">
        <v>34.44</v>
      </c>
      <c r="AS26">
        <v>46.42</v>
      </c>
      <c r="AT26">
        <v>50.19</v>
      </c>
      <c r="AU26">
        <v>50.41</v>
      </c>
      <c r="AV26">
        <v>49.4</v>
      </c>
      <c r="AW26">
        <v>50.97</v>
      </c>
      <c r="AX26">
        <f t="shared" si="11"/>
        <v>50.185000000000002</v>
      </c>
      <c r="AY26">
        <v>1.57</v>
      </c>
      <c r="AZ26">
        <v>50.19</v>
      </c>
      <c r="BA26">
        <v>0.38</v>
      </c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x14ac:dyDescent="0.25">
      <c r="B27">
        <v>22.75</v>
      </c>
      <c r="C27">
        <v>22.14</v>
      </c>
      <c r="D27">
        <v>43.81</v>
      </c>
      <c r="E27">
        <v>27.42</v>
      </c>
      <c r="F27">
        <v>22.61</v>
      </c>
      <c r="G27">
        <v>44.8</v>
      </c>
      <c r="H27">
        <v>30.06</v>
      </c>
      <c r="I27">
        <v>45.98</v>
      </c>
      <c r="J27">
        <v>49.84</v>
      </c>
      <c r="K27">
        <v>50.01</v>
      </c>
      <c r="L27">
        <v>43.81</v>
      </c>
      <c r="M27">
        <v>55.87</v>
      </c>
      <c r="N27">
        <f t="shared" si="9"/>
        <v>49.84</v>
      </c>
      <c r="O27">
        <v>12.05</v>
      </c>
      <c r="P27">
        <v>49.84</v>
      </c>
      <c r="Q27">
        <v>-0.22</v>
      </c>
      <c r="T27">
        <v>23.29</v>
      </c>
      <c r="U27">
        <v>22.8</v>
      </c>
      <c r="V27">
        <v>49.77</v>
      </c>
      <c r="W27">
        <v>29.18</v>
      </c>
      <c r="X27">
        <v>22.81</v>
      </c>
      <c r="Y27">
        <v>49.83</v>
      </c>
      <c r="Z27">
        <v>31.29</v>
      </c>
      <c r="AA27">
        <v>45.53</v>
      </c>
      <c r="AB27">
        <v>50.77</v>
      </c>
      <c r="AC27">
        <v>50.67</v>
      </c>
      <c r="AD27">
        <v>49.77</v>
      </c>
      <c r="AE27">
        <v>51.77</v>
      </c>
      <c r="AF27">
        <f t="shared" si="10"/>
        <v>50.77</v>
      </c>
      <c r="AG27">
        <v>1.99</v>
      </c>
      <c r="AH27">
        <v>50.77</v>
      </c>
      <c r="AI27">
        <v>1.31</v>
      </c>
      <c r="AL27">
        <v>23.18</v>
      </c>
      <c r="AM27">
        <v>22.62</v>
      </c>
      <c r="AN27">
        <v>50.64</v>
      </c>
      <c r="AO27">
        <v>29.19</v>
      </c>
      <c r="AP27">
        <v>22.66</v>
      </c>
      <c r="AQ27">
        <v>50.47</v>
      </c>
      <c r="AR27">
        <v>31.27</v>
      </c>
      <c r="AS27">
        <v>45.17</v>
      </c>
      <c r="AT27">
        <v>50.68</v>
      </c>
      <c r="AU27">
        <v>51.24</v>
      </c>
      <c r="AV27">
        <v>50.64</v>
      </c>
      <c r="AW27">
        <v>50.72</v>
      </c>
      <c r="AX27">
        <f t="shared" si="11"/>
        <v>50.68</v>
      </c>
      <c r="AY27">
        <v>0.08</v>
      </c>
      <c r="AZ27">
        <v>50.68</v>
      </c>
      <c r="BA27">
        <v>1.02</v>
      </c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x14ac:dyDescent="0.25">
      <c r="B28">
        <v>11.7</v>
      </c>
      <c r="C28">
        <v>11.77</v>
      </c>
      <c r="D28">
        <v>49.35</v>
      </c>
      <c r="E28">
        <v>18.78</v>
      </c>
      <c r="F28">
        <v>11.73</v>
      </c>
      <c r="G28">
        <v>49.22</v>
      </c>
      <c r="H28">
        <v>18.95</v>
      </c>
      <c r="I28">
        <v>41.98</v>
      </c>
      <c r="J28">
        <v>50.46</v>
      </c>
      <c r="K28">
        <v>50.67</v>
      </c>
      <c r="L28">
        <v>49.35</v>
      </c>
      <c r="M28">
        <v>51.58</v>
      </c>
      <c r="N28">
        <f t="shared" si="9"/>
        <v>50.465000000000003</v>
      </c>
      <c r="O28">
        <v>2.23</v>
      </c>
      <c r="P28">
        <v>50.46</v>
      </c>
      <c r="Q28">
        <v>0.6</v>
      </c>
      <c r="T28">
        <v>11.74</v>
      </c>
      <c r="U28">
        <v>11.57</v>
      </c>
      <c r="V28">
        <v>54.33</v>
      </c>
      <c r="W28">
        <v>18.829999999999998</v>
      </c>
      <c r="X28">
        <v>11.48</v>
      </c>
      <c r="Y28">
        <v>53.73</v>
      </c>
      <c r="Z28">
        <v>18.920000000000002</v>
      </c>
      <c r="AA28">
        <v>39.5</v>
      </c>
      <c r="AB28">
        <v>50.1</v>
      </c>
      <c r="AC28">
        <v>50.46</v>
      </c>
      <c r="AD28">
        <v>54.33</v>
      </c>
      <c r="AE28">
        <v>45.87</v>
      </c>
      <c r="AF28">
        <f t="shared" si="10"/>
        <v>50.099999999999994</v>
      </c>
      <c r="AG28">
        <v>8.4499999999999993</v>
      </c>
      <c r="AH28">
        <v>50.1</v>
      </c>
      <c r="AI28">
        <v>0.05</v>
      </c>
      <c r="AL28">
        <v>11.74</v>
      </c>
      <c r="AM28">
        <v>11.86</v>
      </c>
      <c r="AN28">
        <v>48.03</v>
      </c>
      <c r="AO28">
        <v>18.899999999999999</v>
      </c>
      <c r="AP28">
        <v>12.05</v>
      </c>
      <c r="AQ28">
        <v>48.7</v>
      </c>
      <c r="AR28">
        <v>19.32</v>
      </c>
      <c r="AS28">
        <v>42.78</v>
      </c>
      <c r="AT28">
        <v>50.72</v>
      </c>
      <c r="AU28">
        <v>50.73</v>
      </c>
      <c r="AV28">
        <v>48.03</v>
      </c>
      <c r="AW28">
        <v>53.42</v>
      </c>
      <c r="AX28">
        <f t="shared" si="11"/>
        <v>50.725000000000001</v>
      </c>
      <c r="AY28">
        <v>5.38</v>
      </c>
      <c r="AZ28">
        <v>50.72</v>
      </c>
      <c r="BA28">
        <v>0.9</v>
      </c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x14ac:dyDescent="0.25">
      <c r="B29">
        <v>26.66</v>
      </c>
      <c r="C29">
        <v>26.64</v>
      </c>
      <c r="D29">
        <v>51.92</v>
      </c>
      <c r="E29">
        <v>33.770000000000003</v>
      </c>
      <c r="F29">
        <v>27</v>
      </c>
      <c r="G29">
        <v>52.28</v>
      </c>
      <c r="H29">
        <v>35.61</v>
      </c>
      <c r="I29">
        <v>47.14</v>
      </c>
      <c r="J29">
        <v>51.44</v>
      </c>
      <c r="K29">
        <v>51.61</v>
      </c>
      <c r="L29">
        <v>51.92</v>
      </c>
      <c r="M29">
        <v>50.97</v>
      </c>
      <c r="N29">
        <f t="shared" si="9"/>
        <v>51.445</v>
      </c>
      <c r="O29">
        <v>0.95</v>
      </c>
      <c r="P29">
        <v>51.44</v>
      </c>
      <c r="Q29">
        <v>2.33</v>
      </c>
      <c r="T29">
        <v>25.82</v>
      </c>
      <c r="U29">
        <v>25.61</v>
      </c>
      <c r="V29">
        <v>53.32</v>
      </c>
      <c r="W29">
        <v>32.57</v>
      </c>
      <c r="X29">
        <v>25.11</v>
      </c>
      <c r="Y29">
        <v>52.3</v>
      </c>
      <c r="Z29">
        <v>33.93</v>
      </c>
      <c r="AA29">
        <v>44.38</v>
      </c>
      <c r="AB29">
        <v>49.91</v>
      </c>
      <c r="AC29">
        <v>49.89</v>
      </c>
      <c r="AD29">
        <v>53.32</v>
      </c>
      <c r="AE29">
        <v>46.5</v>
      </c>
      <c r="AF29">
        <f t="shared" si="10"/>
        <v>49.91</v>
      </c>
      <c r="AG29">
        <v>6.82</v>
      </c>
      <c r="AH29">
        <v>49.91</v>
      </c>
      <c r="AI29">
        <v>-0.18</v>
      </c>
      <c r="AL29">
        <v>26.02</v>
      </c>
      <c r="AM29">
        <v>25.35</v>
      </c>
      <c r="AN29">
        <v>45.65</v>
      </c>
      <c r="AO29">
        <v>31.14</v>
      </c>
      <c r="AP29">
        <v>25.51</v>
      </c>
      <c r="AQ29">
        <v>45.88</v>
      </c>
      <c r="AR29">
        <v>32.79</v>
      </c>
      <c r="AS29">
        <v>46.5</v>
      </c>
      <c r="AT29">
        <v>49.64</v>
      </c>
      <c r="AU29">
        <v>49.75</v>
      </c>
      <c r="AV29">
        <v>45.65</v>
      </c>
      <c r="AW29">
        <v>53.63</v>
      </c>
      <c r="AX29">
        <f t="shared" si="11"/>
        <v>49.64</v>
      </c>
      <c r="AY29">
        <v>7.98</v>
      </c>
      <c r="AZ29">
        <v>49.64</v>
      </c>
      <c r="BA29">
        <v>-0.65</v>
      </c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x14ac:dyDescent="0.25">
      <c r="B30">
        <v>22.83</v>
      </c>
      <c r="C30">
        <v>23.12</v>
      </c>
      <c r="D30">
        <v>49.39</v>
      </c>
      <c r="E30">
        <v>28.95</v>
      </c>
      <c r="F30">
        <v>22.31</v>
      </c>
      <c r="G30">
        <v>48.6</v>
      </c>
      <c r="H30">
        <v>30.59</v>
      </c>
      <c r="I30">
        <v>45.45</v>
      </c>
      <c r="J30">
        <v>50.79</v>
      </c>
      <c r="K30">
        <v>51.22</v>
      </c>
      <c r="L30">
        <v>49.39</v>
      </c>
      <c r="M30">
        <v>52.2</v>
      </c>
      <c r="N30">
        <f t="shared" si="9"/>
        <v>50.795000000000002</v>
      </c>
      <c r="O30">
        <v>2.81</v>
      </c>
      <c r="P30">
        <v>50.79</v>
      </c>
      <c r="Q30">
        <v>1.67</v>
      </c>
      <c r="T30">
        <v>22.94</v>
      </c>
      <c r="U30">
        <v>22.15</v>
      </c>
      <c r="V30">
        <v>50.8</v>
      </c>
      <c r="W30">
        <v>28.5</v>
      </c>
      <c r="X30">
        <v>21.78</v>
      </c>
      <c r="Y30">
        <v>49.96</v>
      </c>
      <c r="Z30">
        <v>30.34</v>
      </c>
      <c r="AA30">
        <v>43.86</v>
      </c>
      <c r="AB30">
        <v>49.9</v>
      </c>
      <c r="AC30">
        <v>50.19</v>
      </c>
      <c r="AD30">
        <v>50.8</v>
      </c>
      <c r="AE30">
        <v>49</v>
      </c>
      <c r="AF30">
        <f t="shared" si="10"/>
        <v>49.9</v>
      </c>
      <c r="AG30">
        <v>1.81</v>
      </c>
      <c r="AH30">
        <v>49.9</v>
      </c>
      <c r="AI30">
        <v>0.09</v>
      </c>
      <c r="AL30">
        <v>23.44</v>
      </c>
      <c r="AM30">
        <v>23.49</v>
      </c>
      <c r="AN30">
        <v>52.52</v>
      </c>
      <c r="AO30">
        <v>30.25</v>
      </c>
      <c r="AP30">
        <v>23.61</v>
      </c>
      <c r="AQ30">
        <v>51.94</v>
      </c>
      <c r="AR30">
        <v>32.46</v>
      </c>
      <c r="AS30">
        <v>46.26</v>
      </c>
      <c r="AT30">
        <v>52.22</v>
      </c>
      <c r="AU30">
        <v>51.87</v>
      </c>
      <c r="AV30">
        <v>52.52</v>
      </c>
      <c r="AW30">
        <v>51.92</v>
      </c>
      <c r="AX30">
        <f t="shared" si="11"/>
        <v>52.22</v>
      </c>
      <c r="AY30">
        <v>0.6</v>
      </c>
      <c r="AZ30">
        <v>52.22</v>
      </c>
      <c r="BA30">
        <v>3.19</v>
      </c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x14ac:dyDescent="0.25">
      <c r="B31">
        <v>18.239999999999998</v>
      </c>
      <c r="C31">
        <v>17.02</v>
      </c>
      <c r="D31">
        <v>50.63</v>
      </c>
      <c r="E31">
        <v>23.39</v>
      </c>
      <c r="F31">
        <v>17.25</v>
      </c>
      <c r="G31">
        <v>50.35</v>
      </c>
      <c r="H31">
        <v>25.69</v>
      </c>
      <c r="I31">
        <v>43.44</v>
      </c>
      <c r="J31">
        <v>51.1</v>
      </c>
      <c r="K31">
        <v>51.76</v>
      </c>
      <c r="L31">
        <v>50.63</v>
      </c>
      <c r="M31">
        <v>51.57</v>
      </c>
      <c r="N31">
        <f t="shared" si="9"/>
        <v>51.1</v>
      </c>
      <c r="O31">
        <v>0.94</v>
      </c>
      <c r="P31">
        <v>51.1</v>
      </c>
      <c r="Q31">
        <v>1.17</v>
      </c>
      <c r="T31">
        <v>17.38</v>
      </c>
      <c r="U31">
        <v>17.18</v>
      </c>
      <c r="V31">
        <v>51.87</v>
      </c>
      <c r="W31">
        <v>23.59</v>
      </c>
      <c r="X31">
        <v>17</v>
      </c>
      <c r="Y31">
        <v>51.87</v>
      </c>
      <c r="Z31">
        <v>25.61</v>
      </c>
      <c r="AA31">
        <v>42.52</v>
      </c>
      <c r="AB31">
        <v>50.68</v>
      </c>
      <c r="AC31">
        <v>50.48</v>
      </c>
      <c r="AD31">
        <v>51.87</v>
      </c>
      <c r="AE31">
        <v>49.48</v>
      </c>
      <c r="AF31">
        <f t="shared" si="10"/>
        <v>50.674999999999997</v>
      </c>
      <c r="AG31">
        <v>2.39</v>
      </c>
      <c r="AH31">
        <v>50.68</v>
      </c>
      <c r="AI31">
        <v>1.1599999999999999</v>
      </c>
      <c r="AL31">
        <v>17.989999999999998</v>
      </c>
      <c r="AM31">
        <v>17.05</v>
      </c>
      <c r="AN31">
        <v>49.78</v>
      </c>
      <c r="AO31">
        <v>23.22</v>
      </c>
      <c r="AP31">
        <v>17.12</v>
      </c>
      <c r="AQ31">
        <v>49.2</v>
      </c>
      <c r="AR31">
        <v>25.4</v>
      </c>
      <c r="AS31">
        <v>43.64</v>
      </c>
      <c r="AT31">
        <v>51.06</v>
      </c>
      <c r="AU31">
        <v>51.52</v>
      </c>
      <c r="AV31">
        <v>49.78</v>
      </c>
      <c r="AW31">
        <v>52.35</v>
      </c>
      <c r="AX31">
        <f t="shared" si="11"/>
        <v>51.064999999999998</v>
      </c>
      <c r="AY31">
        <v>2.56</v>
      </c>
      <c r="AZ31">
        <v>51.06</v>
      </c>
      <c r="BA31">
        <v>1.21</v>
      </c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x14ac:dyDescent="0.25">
      <c r="B32" s="2">
        <f>AVERAGE(B22:B31)</f>
        <v>19.046000000000003</v>
      </c>
      <c r="C32" s="2">
        <f t="shared" ref="C32:Q32" si="12">AVERAGE(C22:C31)</f>
        <v>18.84</v>
      </c>
      <c r="D32" s="2">
        <f t="shared" si="12"/>
        <v>46.639000000000003</v>
      </c>
      <c r="E32" s="2">
        <f t="shared" si="12"/>
        <v>25.061</v>
      </c>
      <c r="F32" s="2">
        <f t="shared" si="12"/>
        <v>18.884999999999998</v>
      </c>
      <c r="G32" s="2">
        <f t="shared" si="12"/>
        <v>46.575000000000003</v>
      </c>
      <c r="H32" s="2">
        <f t="shared" si="12"/>
        <v>26.318999999999999</v>
      </c>
      <c r="I32" s="2">
        <f t="shared" si="12"/>
        <v>45.097000000000001</v>
      </c>
      <c r="J32" s="2">
        <f t="shared" si="12"/>
        <v>50.639000000000003</v>
      </c>
      <c r="K32" s="2">
        <f t="shared" si="12"/>
        <v>50.927</v>
      </c>
      <c r="L32" s="2">
        <f t="shared" si="12"/>
        <v>46.639000000000003</v>
      </c>
      <c r="M32" s="2">
        <f t="shared" si="12"/>
        <v>54.642999999999994</v>
      </c>
      <c r="N32" s="2">
        <f t="shared" si="12"/>
        <v>50.641000000000005</v>
      </c>
      <c r="O32" s="2">
        <f t="shared" si="12"/>
        <v>8.1930000000000014</v>
      </c>
      <c r="P32" s="2">
        <f t="shared" si="12"/>
        <v>50.639000000000003</v>
      </c>
      <c r="Q32" s="2">
        <f t="shared" si="12"/>
        <v>0.95600000000000007</v>
      </c>
      <c r="T32" s="2">
        <f>AVERAGE(T22:T31)</f>
        <v>18.887999999999998</v>
      </c>
      <c r="U32" s="2">
        <f t="shared" ref="U32:AI32" si="13">AVERAGE(U22:U31)</f>
        <v>18.654999999999998</v>
      </c>
      <c r="V32" s="2">
        <f t="shared" si="13"/>
        <v>50.820999999999998</v>
      </c>
      <c r="W32" s="2">
        <f t="shared" si="13"/>
        <v>25.368999999999996</v>
      </c>
      <c r="X32" s="2">
        <f t="shared" si="13"/>
        <v>18.553999999999998</v>
      </c>
      <c r="Y32" s="2">
        <f t="shared" si="13"/>
        <v>50.464000000000006</v>
      </c>
      <c r="Z32" s="2">
        <f t="shared" si="13"/>
        <v>26.487000000000002</v>
      </c>
      <c r="AA32" s="2">
        <f t="shared" si="13"/>
        <v>43.400999999999996</v>
      </c>
      <c r="AB32" s="2">
        <f t="shared" si="13"/>
        <v>50.391000000000005</v>
      </c>
      <c r="AC32" s="2">
        <f t="shared" si="13"/>
        <v>50.44</v>
      </c>
      <c r="AD32" s="2">
        <f t="shared" si="13"/>
        <v>50.820999999999998</v>
      </c>
      <c r="AE32" s="2">
        <f t="shared" si="13"/>
        <v>49.958999999999996</v>
      </c>
      <c r="AF32" s="2">
        <f t="shared" si="13"/>
        <v>50.389999999999993</v>
      </c>
      <c r="AG32" s="2">
        <f t="shared" si="13"/>
        <v>4.976</v>
      </c>
      <c r="AH32" s="2">
        <f t="shared" si="13"/>
        <v>50.391000000000005</v>
      </c>
      <c r="AI32" s="2">
        <f t="shared" si="13"/>
        <v>0.59099999999999997</v>
      </c>
      <c r="AL32" s="2">
        <f>AVERAGE(AL22:AL31)</f>
        <v>18.946999999999999</v>
      </c>
      <c r="AM32" s="2">
        <f t="shared" ref="AM32:BA32" si="14">AVERAGE(AM22:AM31)</f>
        <v>18.698</v>
      </c>
      <c r="AN32" s="2">
        <f t="shared" si="14"/>
        <v>49.58</v>
      </c>
      <c r="AO32" s="2">
        <f t="shared" si="14"/>
        <v>25.392999999999997</v>
      </c>
      <c r="AP32" s="2">
        <f t="shared" si="14"/>
        <v>18.855</v>
      </c>
      <c r="AQ32" s="2">
        <f t="shared" si="14"/>
        <v>49.83</v>
      </c>
      <c r="AR32" s="2">
        <f t="shared" si="14"/>
        <v>26.725999999999999</v>
      </c>
      <c r="AS32" s="2">
        <f t="shared" si="14"/>
        <v>44.128999999999998</v>
      </c>
      <c r="AT32" s="2">
        <f t="shared" si="14"/>
        <v>50.537000000000006</v>
      </c>
      <c r="AU32" s="2">
        <f t="shared" si="14"/>
        <v>50.727999999999994</v>
      </c>
      <c r="AV32" s="2">
        <f t="shared" si="14"/>
        <v>49.58</v>
      </c>
      <c r="AW32" s="2">
        <f t="shared" si="14"/>
        <v>51.495000000000005</v>
      </c>
      <c r="AX32" s="2">
        <f t="shared" si="14"/>
        <v>50.537500000000009</v>
      </c>
      <c r="AY32" s="2">
        <f t="shared" si="14"/>
        <v>2.6760000000000002</v>
      </c>
      <c r="AZ32" s="2">
        <f t="shared" si="14"/>
        <v>50.537000000000006</v>
      </c>
      <c r="BA32" s="2">
        <f t="shared" si="14"/>
        <v>0.72899999999999998</v>
      </c>
    </row>
    <row r="35" spans="1:70" x14ac:dyDescent="0.25">
      <c r="A35" s="1" t="s">
        <v>16</v>
      </c>
      <c r="B35">
        <v>11.91</v>
      </c>
      <c r="C35">
        <v>11.75</v>
      </c>
      <c r="D35">
        <v>48.91</v>
      </c>
      <c r="E35">
        <v>18.86</v>
      </c>
      <c r="F35">
        <v>12.04</v>
      </c>
      <c r="G35">
        <v>49.97</v>
      </c>
      <c r="H35">
        <v>19.41</v>
      </c>
      <c r="I35">
        <v>42.16</v>
      </c>
      <c r="J35">
        <v>50.49</v>
      </c>
      <c r="K35">
        <v>50.78</v>
      </c>
      <c r="L35">
        <v>48.91</v>
      </c>
      <c r="M35">
        <v>52.08</v>
      </c>
      <c r="N35">
        <f>(L35+M35)/2</f>
        <v>50.494999999999997</v>
      </c>
      <c r="O35">
        <v>3.17</v>
      </c>
      <c r="P35">
        <v>50.49</v>
      </c>
      <c r="Q35">
        <v>0.55000000000000004</v>
      </c>
      <c r="S35" s="1" t="s">
        <v>48</v>
      </c>
      <c r="T35">
        <v>11.87</v>
      </c>
      <c r="U35">
        <v>11.78</v>
      </c>
      <c r="V35">
        <v>51.7</v>
      </c>
      <c r="W35">
        <v>19</v>
      </c>
      <c r="X35">
        <v>11.88</v>
      </c>
      <c r="Y35">
        <v>52.16</v>
      </c>
      <c r="Z35">
        <v>19.36</v>
      </c>
      <c r="AA35">
        <v>41.15</v>
      </c>
      <c r="AB35">
        <v>50.53</v>
      </c>
      <c r="AC35">
        <v>50.74</v>
      </c>
      <c r="AD35">
        <v>51.7</v>
      </c>
      <c r="AE35">
        <v>49.36</v>
      </c>
      <c r="AF35">
        <f>(AD35+AE35)/2</f>
        <v>50.53</v>
      </c>
      <c r="AG35">
        <v>2.34</v>
      </c>
      <c r="AH35">
        <v>50.53</v>
      </c>
      <c r="AI35">
        <v>0.7</v>
      </c>
      <c r="AK35" s="1" t="s">
        <v>47</v>
      </c>
      <c r="AL35">
        <v>11.54</v>
      </c>
      <c r="AM35">
        <v>11.26</v>
      </c>
      <c r="AN35">
        <v>51.31</v>
      </c>
      <c r="AO35">
        <v>18.37</v>
      </c>
      <c r="AP35">
        <v>11.53</v>
      </c>
      <c r="AQ35">
        <v>52.56</v>
      </c>
      <c r="AR35">
        <v>18.91</v>
      </c>
      <c r="AS35">
        <v>39.81</v>
      </c>
      <c r="AT35">
        <v>49.19</v>
      </c>
      <c r="AU35">
        <v>49.61</v>
      </c>
      <c r="AV35">
        <v>51.31</v>
      </c>
      <c r="AW35">
        <v>47.07</v>
      </c>
      <c r="AX35">
        <f>(AV35+AW35)/2</f>
        <v>49.19</v>
      </c>
      <c r="AY35">
        <v>4.24</v>
      </c>
      <c r="AZ35">
        <v>49.19</v>
      </c>
      <c r="BA35">
        <v>-1.02</v>
      </c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x14ac:dyDescent="0.25">
      <c r="A36" s="1"/>
      <c r="B36">
        <v>11.92</v>
      </c>
      <c r="C36">
        <v>12.03</v>
      </c>
      <c r="D36">
        <v>42.24</v>
      </c>
      <c r="E36">
        <v>18.55</v>
      </c>
      <c r="F36">
        <v>12.49</v>
      </c>
      <c r="G36">
        <v>44.26</v>
      </c>
      <c r="H36">
        <v>19.48</v>
      </c>
      <c r="I36">
        <v>44.51</v>
      </c>
      <c r="J36">
        <v>50.7</v>
      </c>
      <c r="K36">
        <v>51.35</v>
      </c>
      <c r="L36">
        <v>42.24</v>
      </c>
      <c r="M36">
        <v>59.16</v>
      </c>
      <c r="N36">
        <f t="shared" ref="N36:N44" si="15">(L36+M36)/2</f>
        <v>50.7</v>
      </c>
      <c r="O36">
        <v>16.920000000000002</v>
      </c>
      <c r="P36">
        <v>50.7</v>
      </c>
      <c r="Q36">
        <v>0.96</v>
      </c>
      <c r="S36" s="1"/>
      <c r="T36">
        <v>11.87</v>
      </c>
      <c r="U36">
        <v>11.78</v>
      </c>
      <c r="V36">
        <v>51.7</v>
      </c>
      <c r="W36">
        <v>19</v>
      </c>
      <c r="X36">
        <v>11.88</v>
      </c>
      <c r="Y36">
        <v>52.16</v>
      </c>
      <c r="Z36">
        <v>19.36</v>
      </c>
      <c r="AA36">
        <v>41.15</v>
      </c>
      <c r="AB36">
        <v>50.53</v>
      </c>
      <c r="AC36">
        <v>50.74</v>
      </c>
      <c r="AD36">
        <v>51.7</v>
      </c>
      <c r="AE36">
        <v>49.36</v>
      </c>
      <c r="AF36">
        <f t="shared" ref="AF36:AF44" si="16">(AD36+AE36)/2</f>
        <v>50.53</v>
      </c>
      <c r="AG36">
        <v>2.34</v>
      </c>
      <c r="AH36">
        <v>50.53</v>
      </c>
      <c r="AI36">
        <v>0.7</v>
      </c>
      <c r="AK36" s="1"/>
      <c r="AL36">
        <v>11.75</v>
      </c>
      <c r="AM36">
        <v>11.72</v>
      </c>
      <c r="AN36">
        <v>42.73</v>
      </c>
      <c r="AO36">
        <v>17.64</v>
      </c>
      <c r="AP36">
        <v>10.98</v>
      </c>
      <c r="AQ36">
        <v>40.799999999999997</v>
      </c>
      <c r="AR36">
        <v>17.3</v>
      </c>
      <c r="AS36">
        <v>43.18</v>
      </c>
      <c r="AT36">
        <v>49.88</v>
      </c>
      <c r="AU36">
        <v>50.19</v>
      </c>
      <c r="AV36">
        <v>42.73</v>
      </c>
      <c r="AW36">
        <v>57.04</v>
      </c>
      <c r="AX36">
        <f t="shared" ref="AX36:AX44" si="17">(AV36+AW36)/2</f>
        <v>49.884999999999998</v>
      </c>
      <c r="AY36">
        <v>14.31</v>
      </c>
      <c r="AZ36">
        <v>49.88</v>
      </c>
      <c r="BA36">
        <v>0.01</v>
      </c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x14ac:dyDescent="0.25">
      <c r="A37" s="1"/>
      <c r="B37">
        <v>25.59</v>
      </c>
      <c r="C37">
        <v>31.66</v>
      </c>
      <c r="D37">
        <v>32.21</v>
      </c>
      <c r="E37">
        <v>23.2</v>
      </c>
      <c r="F37">
        <v>24.51</v>
      </c>
      <c r="G37">
        <v>31.89</v>
      </c>
      <c r="H37">
        <v>27.72</v>
      </c>
      <c r="I37">
        <v>45.76</v>
      </c>
      <c r="J37">
        <v>49.44</v>
      </c>
      <c r="K37">
        <v>48.94</v>
      </c>
      <c r="L37">
        <v>32.21</v>
      </c>
      <c r="M37">
        <v>66.67</v>
      </c>
      <c r="N37">
        <f t="shared" si="15"/>
        <v>49.44</v>
      </c>
      <c r="O37">
        <v>34.46</v>
      </c>
      <c r="P37">
        <v>49.44</v>
      </c>
      <c r="Q37">
        <v>0.32</v>
      </c>
      <c r="S37" s="1"/>
      <c r="T37">
        <v>26.62</v>
      </c>
      <c r="U37">
        <v>35.450000000000003</v>
      </c>
      <c r="V37">
        <v>59.9</v>
      </c>
      <c r="W37">
        <v>28.53</v>
      </c>
      <c r="X37">
        <v>25.69</v>
      </c>
      <c r="Y37">
        <v>59.45</v>
      </c>
      <c r="Z37">
        <v>35.880000000000003</v>
      </c>
      <c r="AA37">
        <v>35.729999999999997</v>
      </c>
      <c r="AB37">
        <v>50.3</v>
      </c>
      <c r="AC37">
        <v>51.04</v>
      </c>
      <c r="AD37">
        <v>59.9</v>
      </c>
      <c r="AE37">
        <v>40.700000000000003</v>
      </c>
      <c r="AF37">
        <f t="shared" si="16"/>
        <v>50.3</v>
      </c>
      <c r="AG37">
        <v>19.190000000000001</v>
      </c>
      <c r="AH37">
        <v>50.3</v>
      </c>
      <c r="AI37">
        <v>0.44</v>
      </c>
      <c r="AK37" s="1"/>
      <c r="AL37">
        <v>25.76</v>
      </c>
      <c r="AM37">
        <v>24.68</v>
      </c>
      <c r="AN37">
        <v>54.64</v>
      </c>
      <c r="AO37">
        <v>29.17</v>
      </c>
      <c r="AP37">
        <v>28.76</v>
      </c>
      <c r="AQ37">
        <v>61.22</v>
      </c>
      <c r="AR37">
        <v>39.130000000000003</v>
      </c>
      <c r="AS37">
        <v>38.270000000000003</v>
      </c>
      <c r="AT37">
        <v>49.99</v>
      </c>
      <c r="AU37">
        <v>49.92</v>
      </c>
      <c r="AV37">
        <v>54.64</v>
      </c>
      <c r="AW37">
        <v>45.35</v>
      </c>
      <c r="AX37">
        <f t="shared" si="17"/>
        <v>49.995000000000005</v>
      </c>
      <c r="AY37">
        <v>9.2899999999999991</v>
      </c>
      <c r="AZ37">
        <v>49.99</v>
      </c>
      <c r="BA37">
        <v>-0.22</v>
      </c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x14ac:dyDescent="0.25">
      <c r="A38" s="1"/>
      <c r="B38">
        <v>11.96</v>
      </c>
      <c r="C38">
        <v>12.07</v>
      </c>
      <c r="D38">
        <v>41.78</v>
      </c>
      <c r="E38">
        <v>18.57</v>
      </c>
      <c r="F38">
        <v>12.65</v>
      </c>
      <c r="G38">
        <v>44.21</v>
      </c>
      <c r="H38">
        <v>19.670000000000002</v>
      </c>
      <c r="I38">
        <v>44.71</v>
      </c>
      <c r="J38">
        <v>50.76</v>
      </c>
      <c r="K38">
        <v>51.38</v>
      </c>
      <c r="L38">
        <v>41.78</v>
      </c>
      <c r="M38">
        <v>59.73</v>
      </c>
      <c r="N38">
        <f t="shared" si="15"/>
        <v>50.754999999999995</v>
      </c>
      <c r="O38">
        <v>17.95</v>
      </c>
      <c r="P38">
        <v>50.76</v>
      </c>
      <c r="Q38">
        <v>1.05</v>
      </c>
      <c r="S38" s="1"/>
      <c r="T38">
        <v>11.78</v>
      </c>
      <c r="U38">
        <v>11.43</v>
      </c>
      <c r="V38">
        <v>48.79</v>
      </c>
      <c r="W38">
        <v>18.420000000000002</v>
      </c>
      <c r="X38">
        <v>11.69</v>
      </c>
      <c r="Y38">
        <v>49.97</v>
      </c>
      <c r="Z38">
        <v>18.95</v>
      </c>
      <c r="AA38">
        <v>41.3</v>
      </c>
      <c r="AB38">
        <v>49.64</v>
      </c>
      <c r="AC38">
        <v>50.11</v>
      </c>
      <c r="AD38">
        <v>48.79</v>
      </c>
      <c r="AE38">
        <v>50.48</v>
      </c>
      <c r="AF38">
        <f t="shared" si="16"/>
        <v>49.634999999999998</v>
      </c>
      <c r="AG38">
        <v>1.69</v>
      </c>
      <c r="AH38">
        <v>49.64</v>
      </c>
      <c r="AI38">
        <v>-0.44</v>
      </c>
      <c r="AK38" s="1"/>
      <c r="AL38">
        <v>11.82</v>
      </c>
      <c r="AM38">
        <v>11.71</v>
      </c>
      <c r="AN38">
        <v>45.84</v>
      </c>
      <c r="AO38">
        <v>18.420000000000002</v>
      </c>
      <c r="AP38">
        <v>11.67</v>
      </c>
      <c r="AQ38">
        <v>45.67</v>
      </c>
      <c r="AR38">
        <v>18.59</v>
      </c>
      <c r="AS38">
        <v>43.03</v>
      </c>
      <c r="AT38">
        <v>50.31</v>
      </c>
      <c r="AU38">
        <v>50.65</v>
      </c>
      <c r="AV38">
        <v>45.84</v>
      </c>
      <c r="AW38">
        <v>54.79</v>
      </c>
      <c r="AX38">
        <f t="shared" si="17"/>
        <v>50.314999999999998</v>
      </c>
      <c r="AY38">
        <v>8.9499999999999993</v>
      </c>
      <c r="AZ38">
        <v>50.31</v>
      </c>
      <c r="BA38">
        <v>0.4</v>
      </c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x14ac:dyDescent="0.25">
      <c r="A39" s="1"/>
      <c r="B39">
        <v>25.23</v>
      </c>
      <c r="C39">
        <v>28.94</v>
      </c>
      <c r="D39">
        <v>32.71</v>
      </c>
      <c r="E39">
        <v>23.31</v>
      </c>
      <c r="F39">
        <v>24.86</v>
      </c>
      <c r="G39">
        <v>32.299999999999997</v>
      </c>
      <c r="H39">
        <v>28.1</v>
      </c>
      <c r="I39">
        <v>45.81</v>
      </c>
      <c r="J39">
        <v>49.64</v>
      </c>
      <c r="K39">
        <v>49.16</v>
      </c>
      <c r="L39">
        <v>32.71</v>
      </c>
      <c r="M39">
        <v>66.58</v>
      </c>
      <c r="N39">
        <f t="shared" si="15"/>
        <v>49.644999999999996</v>
      </c>
      <c r="O39">
        <v>33.869999999999997</v>
      </c>
      <c r="P39">
        <v>49.64</v>
      </c>
      <c r="Q39">
        <v>-0.05</v>
      </c>
      <c r="S39" s="1"/>
      <c r="T39">
        <v>26.59</v>
      </c>
      <c r="U39">
        <v>35.340000000000003</v>
      </c>
      <c r="V39">
        <v>58.22</v>
      </c>
      <c r="W39">
        <v>28.23</v>
      </c>
      <c r="X39">
        <v>25.81</v>
      </c>
      <c r="Y39">
        <v>58.31</v>
      </c>
      <c r="Z39">
        <v>35.79</v>
      </c>
      <c r="AA39">
        <v>36.119999999999997</v>
      </c>
      <c r="AB39">
        <v>50.13</v>
      </c>
      <c r="AC39">
        <v>51.14</v>
      </c>
      <c r="AD39">
        <v>58.22</v>
      </c>
      <c r="AE39">
        <v>42.05</v>
      </c>
      <c r="AF39">
        <f t="shared" si="16"/>
        <v>50.134999999999998</v>
      </c>
      <c r="AG39">
        <v>16.18</v>
      </c>
      <c r="AH39">
        <v>50.13</v>
      </c>
      <c r="AI39">
        <v>0.14000000000000001</v>
      </c>
      <c r="AK39" s="1"/>
      <c r="AL39">
        <v>25.56</v>
      </c>
      <c r="AM39">
        <v>26.57</v>
      </c>
      <c r="AN39">
        <v>56.7</v>
      </c>
      <c r="AO39">
        <v>30.17</v>
      </c>
      <c r="AP39">
        <v>28.78</v>
      </c>
      <c r="AQ39">
        <v>62.94</v>
      </c>
      <c r="AR39">
        <v>39.5</v>
      </c>
      <c r="AS39">
        <v>38.44</v>
      </c>
      <c r="AT39">
        <v>50.34</v>
      </c>
      <c r="AU39">
        <v>49.74</v>
      </c>
      <c r="AV39">
        <v>56.7</v>
      </c>
      <c r="AW39">
        <v>43.98</v>
      </c>
      <c r="AX39">
        <f t="shared" si="17"/>
        <v>50.34</v>
      </c>
      <c r="AY39">
        <v>12.72</v>
      </c>
      <c r="AZ39">
        <v>50.34</v>
      </c>
      <c r="BA39">
        <v>0.65</v>
      </c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x14ac:dyDescent="0.25">
      <c r="A40" s="1"/>
      <c r="B40">
        <v>22.47</v>
      </c>
      <c r="C40">
        <v>21.66</v>
      </c>
      <c r="D40">
        <v>35.909999999999997</v>
      </c>
      <c r="E40">
        <v>34.450000000000003</v>
      </c>
      <c r="F40">
        <v>27.53</v>
      </c>
      <c r="G40">
        <v>43.52</v>
      </c>
      <c r="H40">
        <v>33.72</v>
      </c>
      <c r="I40">
        <v>45.01</v>
      </c>
      <c r="J40">
        <v>50.41</v>
      </c>
      <c r="K40">
        <v>50.46</v>
      </c>
      <c r="L40">
        <v>35.909999999999997</v>
      </c>
      <c r="M40">
        <v>64.91</v>
      </c>
      <c r="N40">
        <f t="shared" si="15"/>
        <v>50.41</v>
      </c>
      <c r="O40">
        <v>29</v>
      </c>
      <c r="P40">
        <v>50.41</v>
      </c>
      <c r="Q40">
        <v>-7.0000000000000007E-2</v>
      </c>
      <c r="S40" s="1"/>
      <c r="T40">
        <v>23.17</v>
      </c>
      <c r="U40">
        <v>34</v>
      </c>
      <c r="V40">
        <v>61.06</v>
      </c>
      <c r="W40">
        <v>25.57</v>
      </c>
      <c r="X40">
        <v>22.3</v>
      </c>
      <c r="Y40">
        <v>60.94</v>
      </c>
      <c r="Z40">
        <v>32.65</v>
      </c>
      <c r="AA40">
        <v>32.770000000000003</v>
      </c>
      <c r="AB40">
        <v>50.2</v>
      </c>
      <c r="AC40">
        <v>50.39</v>
      </c>
      <c r="AD40">
        <v>61.06</v>
      </c>
      <c r="AE40">
        <v>39.35</v>
      </c>
      <c r="AF40">
        <f t="shared" si="16"/>
        <v>50.204999999999998</v>
      </c>
      <c r="AG40">
        <v>21.72</v>
      </c>
      <c r="AH40">
        <v>50.2</v>
      </c>
      <c r="AI40">
        <v>0.81</v>
      </c>
      <c r="AK40" s="1"/>
      <c r="AL40">
        <v>22.94</v>
      </c>
      <c r="AM40">
        <v>22.73</v>
      </c>
      <c r="AN40">
        <v>49.72</v>
      </c>
      <c r="AO40">
        <v>20.7</v>
      </c>
      <c r="AP40">
        <v>18.59</v>
      </c>
      <c r="AQ40">
        <v>41.29</v>
      </c>
      <c r="AR40">
        <v>25.64</v>
      </c>
      <c r="AS40">
        <v>34.72</v>
      </c>
      <c r="AT40">
        <v>50.26</v>
      </c>
      <c r="AU40">
        <v>50.54</v>
      </c>
      <c r="AV40">
        <v>49.72</v>
      </c>
      <c r="AW40">
        <v>50.8</v>
      </c>
      <c r="AX40">
        <f t="shared" si="17"/>
        <v>50.26</v>
      </c>
      <c r="AY40">
        <v>1.08</v>
      </c>
      <c r="AZ40">
        <v>50.26</v>
      </c>
      <c r="BA40">
        <v>0.52</v>
      </c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x14ac:dyDescent="0.25">
      <c r="A41" s="1"/>
      <c r="B41">
        <v>11.83</v>
      </c>
      <c r="C41">
        <v>11.94</v>
      </c>
      <c r="D41">
        <v>41.59</v>
      </c>
      <c r="E41">
        <v>18.37</v>
      </c>
      <c r="F41">
        <v>12.66</v>
      </c>
      <c r="G41">
        <v>44.31</v>
      </c>
      <c r="H41">
        <v>19.7</v>
      </c>
      <c r="I41">
        <v>44.53</v>
      </c>
      <c r="J41">
        <v>50.63</v>
      </c>
      <c r="K41">
        <v>51.45</v>
      </c>
      <c r="L41">
        <v>41.59</v>
      </c>
      <c r="M41">
        <v>59.67</v>
      </c>
      <c r="N41">
        <f t="shared" si="15"/>
        <v>50.63</v>
      </c>
      <c r="O41">
        <v>18.079999999999998</v>
      </c>
      <c r="P41">
        <v>50.63</v>
      </c>
      <c r="Q41">
        <v>0.87</v>
      </c>
      <c r="S41" s="1"/>
      <c r="T41">
        <v>11.92</v>
      </c>
      <c r="U41">
        <v>11.73</v>
      </c>
      <c r="V41">
        <v>50.89</v>
      </c>
      <c r="W41">
        <v>19.010000000000002</v>
      </c>
      <c r="X41">
        <v>12.14</v>
      </c>
      <c r="Y41">
        <v>52.67</v>
      </c>
      <c r="Z41">
        <v>19.73</v>
      </c>
      <c r="AA41">
        <v>41.31</v>
      </c>
      <c r="AB41">
        <v>50.39</v>
      </c>
      <c r="AC41">
        <v>50.63</v>
      </c>
      <c r="AD41">
        <v>50.89</v>
      </c>
      <c r="AE41">
        <v>49.89</v>
      </c>
      <c r="AF41">
        <f t="shared" si="16"/>
        <v>50.39</v>
      </c>
      <c r="AG41">
        <v>1</v>
      </c>
      <c r="AH41">
        <v>50.39</v>
      </c>
      <c r="AI41">
        <v>0.46</v>
      </c>
      <c r="AK41" s="1"/>
      <c r="AL41">
        <v>11.8</v>
      </c>
      <c r="AM41">
        <v>11.45</v>
      </c>
      <c r="AN41">
        <v>44.39</v>
      </c>
      <c r="AO41">
        <v>18.079999999999998</v>
      </c>
      <c r="AP41">
        <v>11.66</v>
      </c>
      <c r="AQ41">
        <v>45.18</v>
      </c>
      <c r="AR41">
        <v>18.53</v>
      </c>
      <c r="AS41">
        <v>42.94</v>
      </c>
      <c r="AT41">
        <v>49.74</v>
      </c>
      <c r="AU41">
        <v>50.35</v>
      </c>
      <c r="AV41">
        <v>44.39</v>
      </c>
      <c r="AW41">
        <v>55.09</v>
      </c>
      <c r="AX41">
        <f t="shared" si="17"/>
        <v>49.74</v>
      </c>
      <c r="AY41">
        <v>10.7</v>
      </c>
      <c r="AZ41">
        <v>49.74</v>
      </c>
      <c r="BA41">
        <v>-0.34</v>
      </c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x14ac:dyDescent="0.25">
      <c r="A42" s="1"/>
      <c r="B42">
        <v>25.51</v>
      </c>
      <c r="C42">
        <v>24.78</v>
      </c>
      <c r="D42">
        <v>32</v>
      </c>
      <c r="E42">
        <v>22.61</v>
      </c>
      <c r="F42">
        <v>24.24</v>
      </c>
      <c r="G42">
        <v>31.44</v>
      </c>
      <c r="H42">
        <v>27.38</v>
      </c>
      <c r="I42">
        <v>45.35</v>
      </c>
      <c r="J42">
        <v>49.17</v>
      </c>
      <c r="K42">
        <v>49.45</v>
      </c>
      <c r="L42">
        <v>32</v>
      </c>
      <c r="M42">
        <v>66.33</v>
      </c>
      <c r="N42">
        <f t="shared" si="15"/>
        <v>49.164999999999999</v>
      </c>
      <c r="O42">
        <v>34.33</v>
      </c>
      <c r="P42">
        <v>49.17</v>
      </c>
      <c r="Q42">
        <v>-1.41</v>
      </c>
      <c r="S42" s="1"/>
      <c r="T42">
        <v>25.89</v>
      </c>
      <c r="U42">
        <v>35.03</v>
      </c>
      <c r="V42">
        <v>57.57</v>
      </c>
      <c r="W42">
        <v>27.82</v>
      </c>
      <c r="X42">
        <v>25.59</v>
      </c>
      <c r="Y42">
        <v>58.28</v>
      </c>
      <c r="Z42">
        <v>35.56</v>
      </c>
      <c r="AA42">
        <v>35.57</v>
      </c>
      <c r="AB42">
        <v>49.48</v>
      </c>
      <c r="AC42">
        <v>50.04</v>
      </c>
      <c r="AD42">
        <v>57.57</v>
      </c>
      <c r="AE42">
        <v>41.39</v>
      </c>
      <c r="AF42">
        <f t="shared" si="16"/>
        <v>49.480000000000004</v>
      </c>
      <c r="AG42">
        <v>16.18</v>
      </c>
      <c r="AH42">
        <v>49.48</v>
      </c>
      <c r="AI42">
        <v>-0.72</v>
      </c>
      <c r="AK42" s="1"/>
      <c r="AL42">
        <v>25.97</v>
      </c>
      <c r="AM42">
        <v>24.85</v>
      </c>
      <c r="AN42">
        <v>56.72</v>
      </c>
      <c r="AO42">
        <v>30.28</v>
      </c>
      <c r="AP42">
        <v>28.98</v>
      </c>
      <c r="AQ42">
        <v>63.07</v>
      </c>
      <c r="AR42">
        <v>39.71</v>
      </c>
      <c r="AS42">
        <v>38.619999999999997</v>
      </c>
      <c r="AT42">
        <v>50.5</v>
      </c>
      <c r="AU42">
        <v>49.9</v>
      </c>
      <c r="AV42">
        <v>56.72</v>
      </c>
      <c r="AW42">
        <v>44.28</v>
      </c>
      <c r="AX42">
        <f t="shared" si="17"/>
        <v>50.5</v>
      </c>
      <c r="AY42">
        <v>12.44</v>
      </c>
      <c r="AZ42">
        <v>50.5</v>
      </c>
      <c r="BA42">
        <v>0.45</v>
      </c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x14ac:dyDescent="0.25">
      <c r="A43" s="1"/>
      <c r="B43">
        <v>22.42</v>
      </c>
      <c r="C43">
        <v>21.77</v>
      </c>
      <c r="D43">
        <v>36.01</v>
      </c>
      <c r="E43">
        <v>34.61</v>
      </c>
      <c r="F43">
        <v>27.39</v>
      </c>
      <c r="G43">
        <v>43.88</v>
      </c>
      <c r="H43">
        <v>33.72</v>
      </c>
      <c r="I43">
        <v>44.92</v>
      </c>
      <c r="J43">
        <v>50.18</v>
      </c>
      <c r="K43">
        <v>50.39</v>
      </c>
      <c r="L43">
        <v>36.01</v>
      </c>
      <c r="M43">
        <v>64.34</v>
      </c>
      <c r="N43">
        <f t="shared" si="15"/>
        <v>50.174999999999997</v>
      </c>
      <c r="O43">
        <v>28.33</v>
      </c>
      <c r="P43">
        <v>50.18</v>
      </c>
      <c r="Q43">
        <v>0.24</v>
      </c>
      <c r="S43" s="1"/>
      <c r="T43">
        <v>22.2</v>
      </c>
      <c r="U43">
        <v>30.94</v>
      </c>
      <c r="V43">
        <v>61.17</v>
      </c>
      <c r="W43">
        <v>25.26</v>
      </c>
      <c r="X43">
        <v>22.15</v>
      </c>
      <c r="Y43">
        <v>61.05</v>
      </c>
      <c r="Z43">
        <v>32.51</v>
      </c>
      <c r="AA43">
        <v>32.299999999999997</v>
      </c>
      <c r="AB43">
        <v>49.95</v>
      </c>
      <c r="AC43">
        <v>49.78</v>
      </c>
      <c r="AD43">
        <v>61.17</v>
      </c>
      <c r="AE43">
        <v>38.729999999999997</v>
      </c>
      <c r="AF43">
        <f t="shared" si="16"/>
        <v>49.95</v>
      </c>
      <c r="AG43">
        <v>22.44</v>
      </c>
      <c r="AH43">
        <v>49.95</v>
      </c>
      <c r="AI43">
        <v>-0.26</v>
      </c>
      <c r="AK43" s="1"/>
      <c r="AL43">
        <v>22.3</v>
      </c>
      <c r="AM43">
        <v>23.81</v>
      </c>
      <c r="AN43">
        <v>49.24</v>
      </c>
      <c r="AO43">
        <v>20.350000000000001</v>
      </c>
      <c r="AP43">
        <v>18.239999999999998</v>
      </c>
      <c r="AQ43">
        <v>40.65</v>
      </c>
      <c r="AR43">
        <v>25.18</v>
      </c>
      <c r="AS43">
        <v>34.35</v>
      </c>
      <c r="AT43">
        <v>49.8</v>
      </c>
      <c r="AU43">
        <v>49.86</v>
      </c>
      <c r="AV43">
        <v>49.24</v>
      </c>
      <c r="AW43">
        <v>50.37</v>
      </c>
      <c r="AX43">
        <f t="shared" si="17"/>
        <v>49.805</v>
      </c>
      <c r="AY43">
        <v>1.1200000000000001</v>
      </c>
      <c r="AZ43">
        <v>49.8</v>
      </c>
      <c r="BA43">
        <v>-0.28999999999999998</v>
      </c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x14ac:dyDescent="0.25">
      <c r="A44" s="1"/>
      <c r="B44">
        <v>16.940000000000001</v>
      </c>
      <c r="C44">
        <v>16.510000000000002</v>
      </c>
      <c r="D44">
        <v>42.73</v>
      </c>
      <c r="E44">
        <v>18.21</v>
      </c>
      <c r="F44">
        <v>18.260000000000002</v>
      </c>
      <c r="G44">
        <v>47.31</v>
      </c>
      <c r="H44">
        <v>26.34</v>
      </c>
      <c r="I44">
        <v>38.86</v>
      </c>
      <c r="J44">
        <v>49.73</v>
      </c>
      <c r="K44">
        <v>48.41</v>
      </c>
      <c r="L44">
        <v>42.73</v>
      </c>
      <c r="M44">
        <v>56.74</v>
      </c>
      <c r="N44">
        <f t="shared" si="15"/>
        <v>49.734999999999999</v>
      </c>
      <c r="O44">
        <v>14.01</v>
      </c>
      <c r="P44">
        <v>49.73</v>
      </c>
      <c r="Q44">
        <v>-0.28999999999999998</v>
      </c>
      <c r="S44" s="1"/>
      <c r="T44">
        <v>17.690000000000001</v>
      </c>
      <c r="U44">
        <v>24.16</v>
      </c>
      <c r="V44">
        <v>55.42</v>
      </c>
      <c r="W44">
        <v>25.33</v>
      </c>
      <c r="X44">
        <v>13.8</v>
      </c>
      <c r="Y44">
        <v>45.33</v>
      </c>
      <c r="Z44">
        <v>21.16</v>
      </c>
      <c r="AA44">
        <v>31.14</v>
      </c>
      <c r="AB44">
        <v>50.43</v>
      </c>
      <c r="AC44">
        <v>50.8</v>
      </c>
      <c r="AD44">
        <v>55.42</v>
      </c>
      <c r="AE44">
        <v>45.44</v>
      </c>
      <c r="AF44">
        <f t="shared" si="16"/>
        <v>50.43</v>
      </c>
      <c r="AG44">
        <v>9.98</v>
      </c>
      <c r="AH44">
        <v>50.43</v>
      </c>
      <c r="AI44">
        <v>0.75</v>
      </c>
      <c r="AK44" s="1"/>
      <c r="AL44">
        <v>17.3</v>
      </c>
      <c r="AM44">
        <v>19.11</v>
      </c>
      <c r="AN44">
        <v>43.34</v>
      </c>
      <c r="AO44">
        <v>14</v>
      </c>
      <c r="AP44">
        <v>12.7</v>
      </c>
      <c r="AQ44">
        <v>32.880000000000003</v>
      </c>
      <c r="AR44">
        <v>18.32</v>
      </c>
      <c r="AS44">
        <v>35.119999999999997</v>
      </c>
      <c r="AT44">
        <v>50.12</v>
      </c>
      <c r="AU44">
        <v>51.1</v>
      </c>
      <c r="AV44">
        <v>43.34</v>
      </c>
      <c r="AW44">
        <v>56.9</v>
      </c>
      <c r="AX44">
        <f t="shared" si="17"/>
        <v>50.120000000000005</v>
      </c>
      <c r="AY44">
        <v>13.55</v>
      </c>
      <c r="AZ44">
        <v>50.12</v>
      </c>
      <c r="BA44">
        <v>0.5</v>
      </c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x14ac:dyDescent="0.25">
      <c r="A45" s="1"/>
      <c r="B45" s="2">
        <f>AVERAGE(B35:B44)</f>
        <v>18.577999999999996</v>
      </c>
      <c r="C45" s="2">
        <f t="shared" ref="C45:Q45" si="18">AVERAGE(C35:C44)</f>
        <v>19.311</v>
      </c>
      <c r="D45" s="2">
        <f t="shared" si="18"/>
        <v>38.609000000000002</v>
      </c>
      <c r="E45" s="2">
        <f t="shared" si="18"/>
        <v>23.074000000000005</v>
      </c>
      <c r="F45" s="2">
        <f t="shared" si="18"/>
        <v>19.663</v>
      </c>
      <c r="G45" s="2">
        <f t="shared" si="18"/>
        <v>41.309000000000005</v>
      </c>
      <c r="H45" s="2">
        <f t="shared" si="18"/>
        <v>25.523999999999997</v>
      </c>
      <c r="I45" s="2">
        <f t="shared" si="18"/>
        <v>44.162000000000006</v>
      </c>
      <c r="J45" s="2">
        <f t="shared" si="18"/>
        <v>50.114999999999995</v>
      </c>
      <c r="K45" s="2">
        <f t="shared" si="18"/>
        <v>50.177</v>
      </c>
      <c r="L45" s="2">
        <f t="shared" si="18"/>
        <v>38.609000000000002</v>
      </c>
      <c r="M45" s="2">
        <f t="shared" si="18"/>
        <v>61.621000000000002</v>
      </c>
      <c r="N45" s="2">
        <f t="shared" si="18"/>
        <v>50.114999999999995</v>
      </c>
      <c r="O45" s="2">
        <f t="shared" si="18"/>
        <v>23.011999999999993</v>
      </c>
      <c r="P45" s="2">
        <f t="shared" si="18"/>
        <v>50.114999999999995</v>
      </c>
      <c r="Q45" s="2">
        <f t="shared" si="18"/>
        <v>0.21700000000000008</v>
      </c>
      <c r="S45" s="1"/>
      <c r="T45" s="2">
        <f>AVERAGE(T35:T44)</f>
        <v>18.96</v>
      </c>
      <c r="U45" s="2">
        <f t="shared" ref="U45:AI45" si="19">AVERAGE(U35:U44)</f>
        <v>24.163999999999998</v>
      </c>
      <c r="V45" s="2">
        <f t="shared" si="19"/>
        <v>55.641999999999996</v>
      </c>
      <c r="W45" s="2">
        <f t="shared" si="19"/>
        <v>23.616999999999997</v>
      </c>
      <c r="X45" s="2">
        <f t="shared" si="19"/>
        <v>18.292999999999999</v>
      </c>
      <c r="Y45" s="2">
        <f t="shared" si="19"/>
        <v>55.031999999999996</v>
      </c>
      <c r="Z45" s="2">
        <f t="shared" si="19"/>
        <v>27.094999999999999</v>
      </c>
      <c r="AA45" s="2">
        <f t="shared" si="19"/>
        <v>36.853999999999999</v>
      </c>
      <c r="AB45" s="2">
        <f t="shared" si="19"/>
        <v>50.158000000000001</v>
      </c>
      <c r="AC45" s="2">
        <f t="shared" si="19"/>
        <v>50.541000000000004</v>
      </c>
      <c r="AD45" s="2">
        <f t="shared" si="19"/>
        <v>55.641999999999996</v>
      </c>
      <c r="AE45" s="2">
        <f t="shared" si="19"/>
        <v>44.674999999999997</v>
      </c>
      <c r="AF45" s="2">
        <f t="shared" si="19"/>
        <v>50.158499999999997</v>
      </c>
      <c r="AG45" s="2">
        <f t="shared" si="19"/>
        <v>11.306000000000001</v>
      </c>
      <c r="AH45" s="2">
        <f t="shared" si="19"/>
        <v>50.158000000000001</v>
      </c>
      <c r="AI45" s="2">
        <f t="shared" si="19"/>
        <v>0.25800000000000001</v>
      </c>
      <c r="AK45" s="1"/>
      <c r="AL45" s="2">
        <f>AVERAGE(AL35:AL44)</f>
        <v>18.673999999999999</v>
      </c>
      <c r="AM45" s="2">
        <f t="shared" ref="AM45:BA45" si="20">AVERAGE(AM35:AM44)</f>
        <v>18.788999999999998</v>
      </c>
      <c r="AN45" s="2">
        <f t="shared" si="20"/>
        <v>49.463000000000008</v>
      </c>
      <c r="AO45" s="2">
        <f t="shared" si="20"/>
        <v>21.718</v>
      </c>
      <c r="AP45" s="2">
        <f t="shared" si="20"/>
        <v>18.189</v>
      </c>
      <c r="AQ45" s="2">
        <f t="shared" si="20"/>
        <v>48.625999999999998</v>
      </c>
      <c r="AR45" s="2">
        <f t="shared" si="20"/>
        <v>26.081</v>
      </c>
      <c r="AS45" s="2">
        <f t="shared" si="20"/>
        <v>38.847999999999999</v>
      </c>
      <c r="AT45" s="2">
        <f t="shared" si="20"/>
        <v>50.013000000000005</v>
      </c>
      <c r="AU45" s="2">
        <f t="shared" si="20"/>
        <v>50.186000000000007</v>
      </c>
      <c r="AV45" s="2">
        <f t="shared" si="20"/>
        <v>49.463000000000008</v>
      </c>
      <c r="AW45" s="2">
        <f t="shared" si="20"/>
        <v>50.566999999999993</v>
      </c>
      <c r="AX45" s="2">
        <f t="shared" si="20"/>
        <v>50.015000000000001</v>
      </c>
      <c r="AY45" s="2">
        <f t="shared" si="20"/>
        <v>8.84</v>
      </c>
      <c r="AZ45" s="2">
        <f t="shared" si="20"/>
        <v>50.013000000000005</v>
      </c>
      <c r="BA45" s="2">
        <f t="shared" si="20"/>
        <v>6.6000000000000017E-2</v>
      </c>
    </row>
    <row r="46" spans="1:70" x14ac:dyDescent="0.25">
      <c r="A46" s="1"/>
      <c r="S46" s="1"/>
      <c r="AK46" s="1"/>
    </row>
    <row r="47" spans="1:70" x14ac:dyDescent="0.25">
      <c r="A47" s="1"/>
      <c r="S47" s="1"/>
      <c r="AK47" s="1"/>
    </row>
    <row r="48" spans="1:70" x14ac:dyDescent="0.25">
      <c r="A48" s="1" t="s">
        <v>17</v>
      </c>
      <c r="B48">
        <v>11.89</v>
      </c>
      <c r="C48">
        <v>12.26</v>
      </c>
      <c r="D48">
        <v>22.83</v>
      </c>
      <c r="E48">
        <v>15.05</v>
      </c>
      <c r="F48">
        <v>11.52</v>
      </c>
      <c r="G48">
        <v>21.48</v>
      </c>
      <c r="H48">
        <v>15</v>
      </c>
      <c r="I48">
        <v>49.08</v>
      </c>
      <c r="J48">
        <v>50.71</v>
      </c>
      <c r="K48">
        <v>50.26</v>
      </c>
      <c r="L48">
        <v>22.83</v>
      </c>
      <c r="M48">
        <v>78.59</v>
      </c>
      <c r="N48">
        <f>(L48+M48)/2</f>
        <v>50.71</v>
      </c>
      <c r="O48">
        <v>55.76</v>
      </c>
      <c r="P48">
        <v>50.71</v>
      </c>
      <c r="Q48">
        <v>1.0900000000000001</v>
      </c>
      <c r="S48" s="1" t="s">
        <v>57</v>
      </c>
      <c r="T48">
        <v>11.5</v>
      </c>
      <c r="U48">
        <v>11.43</v>
      </c>
      <c r="V48">
        <v>46.97</v>
      </c>
      <c r="W48">
        <v>17.989999999999998</v>
      </c>
      <c r="X48">
        <v>11.13</v>
      </c>
      <c r="Y48">
        <v>45.76</v>
      </c>
      <c r="Z48">
        <v>17.899999999999999</v>
      </c>
      <c r="AA48">
        <v>41.72</v>
      </c>
      <c r="AB48">
        <v>49.66</v>
      </c>
      <c r="AC48">
        <v>49.56</v>
      </c>
      <c r="AD48">
        <v>46.97</v>
      </c>
      <c r="AE48">
        <v>52.36</v>
      </c>
      <c r="AF48">
        <f>(AD48+AE48)/2</f>
        <v>49.664999999999999</v>
      </c>
      <c r="AG48">
        <v>5.38</v>
      </c>
      <c r="AH48">
        <v>49.66</v>
      </c>
      <c r="AI48">
        <v>-0.43</v>
      </c>
      <c r="AK48" s="1" t="s">
        <v>60</v>
      </c>
      <c r="AL48">
        <v>11.65</v>
      </c>
      <c r="AM48">
        <v>11.44</v>
      </c>
      <c r="AN48">
        <v>30.26</v>
      </c>
      <c r="AO48">
        <v>16.27</v>
      </c>
      <c r="AP48">
        <v>11.4</v>
      </c>
      <c r="AQ48">
        <v>30.2</v>
      </c>
      <c r="AR48">
        <v>16.55</v>
      </c>
      <c r="AS48">
        <v>46.9</v>
      </c>
      <c r="AT48">
        <v>49.78</v>
      </c>
      <c r="AU48">
        <v>49.55</v>
      </c>
      <c r="AV48">
        <v>30.26</v>
      </c>
      <c r="AW48">
        <v>69.3</v>
      </c>
      <c r="AX48">
        <f>(AV48+AW48)/2</f>
        <v>49.78</v>
      </c>
      <c r="AY48">
        <v>39.04</v>
      </c>
      <c r="AZ48">
        <v>49.78</v>
      </c>
      <c r="BA48">
        <v>-0.28000000000000003</v>
      </c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x14ac:dyDescent="0.25">
      <c r="B49">
        <v>11.68</v>
      </c>
      <c r="C49">
        <v>11.9</v>
      </c>
      <c r="D49">
        <v>23.58</v>
      </c>
      <c r="E49">
        <v>14.71</v>
      </c>
      <c r="F49">
        <v>10.97</v>
      </c>
      <c r="G49">
        <v>22.01</v>
      </c>
      <c r="H49">
        <v>14.64</v>
      </c>
      <c r="I49">
        <v>48.35</v>
      </c>
      <c r="J49">
        <v>50.22</v>
      </c>
      <c r="K49">
        <v>50.01</v>
      </c>
      <c r="L49">
        <v>23.58</v>
      </c>
      <c r="M49">
        <v>76.86</v>
      </c>
      <c r="N49">
        <f t="shared" ref="N49:N57" si="21">(L49+M49)/2</f>
        <v>50.22</v>
      </c>
      <c r="O49">
        <v>53.28</v>
      </c>
      <c r="P49">
        <v>50.22</v>
      </c>
      <c r="Q49">
        <v>0.41</v>
      </c>
      <c r="S49" s="1"/>
      <c r="T49">
        <v>11.37</v>
      </c>
      <c r="U49">
        <v>11.31</v>
      </c>
      <c r="V49">
        <v>47.19</v>
      </c>
      <c r="W49">
        <v>17.989999999999998</v>
      </c>
      <c r="X49">
        <v>11.25</v>
      </c>
      <c r="Y49">
        <v>47.11</v>
      </c>
      <c r="Z49">
        <v>18.16</v>
      </c>
      <c r="AA49">
        <v>41.39</v>
      </c>
      <c r="AB49">
        <v>49.31</v>
      </c>
      <c r="AC49">
        <v>48.8</v>
      </c>
      <c r="AD49">
        <v>47.19</v>
      </c>
      <c r="AE49">
        <v>51.43</v>
      </c>
      <c r="AF49">
        <f t="shared" ref="AF49:AF57" si="22">(AD49+AE49)/2</f>
        <v>49.31</v>
      </c>
      <c r="AG49">
        <v>4.2300000000000004</v>
      </c>
      <c r="AH49">
        <v>49.31</v>
      </c>
      <c r="AI49">
        <v>-0.83</v>
      </c>
      <c r="AK49" s="1"/>
      <c r="AL49">
        <v>11.76</v>
      </c>
      <c r="AM49">
        <v>11.71</v>
      </c>
      <c r="AN49">
        <v>28.15</v>
      </c>
      <c r="AO49">
        <v>16.07</v>
      </c>
      <c r="AP49">
        <v>11.36</v>
      </c>
      <c r="AQ49">
        <v>27.72</v>
      </c>
      <c r="AR49">
        <v>16.11</v>
      </c>
      <c r="AS49">
        <v>47.58</v>
      </c>
      <c r="AT49">
        <v>49.97</v>
      </c>
      <c r="AU49">
        <v>49.72</v>
      </c>
      <c r="AV49">
        <v>28.15</v>
      </c>
      <c r="AW49">
        <v>71.790000000000006</v>
      </c>
      <c r="AX49">
        <f>(AV49+AW49)/2</f>
        <v>49.97</v>
      </c>
      <c r="AY49">
        <v>43.63</v>
      </c>
      <c r="AZ49">
        <v>49.97</v>
      </c>
      <c r="BA49">
        <v>0.09</v>
      </c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x14ac:dyDescent="0.25">
      <c r="B50">
        <v>26.14</v>
      </c>
      <c r="C50">
        <v>25.75</v>
      </c>
      <c r="D50">
        <v>27.61</v>
      </c>
      <c r="E50">
        <v>25.1</v>
      </c>
      <c r="F50">
        <v>26.88</v>
      </c>
      <c r="G50">
        <v>28.56</v>
      </c>
      <c r="H50">
        <v>27.69</v>
      </c>
      <c r="I50">
        <v>49.09</v>
      </c>
      <c r="J50">
        <v>50.21</v>
      </c>
      <c r="K50">
        <v>50.18</v>
      </c>
      <c r="L50">
        <v>27.61</v>
      </c>
      <c r="M50">
        <v>72.819999999999993</v>
      </c>
      <c r="N50">
        <f t="shared" si="21"/>
        <v>50.214999999999996</v>
      </c>
      <c r="O50">
        <v>45.21</v>
      </c>
      <c r="P50">
        <v>50.21</v>
      </c>
      <c r="Q50">
        <v>0.3</v>
      </c>
      <c r="S50" s="1"/>
      <c r="T50">
        <v>25.49</v>
      </c>
      <c r="U50">
        <v>25.48</v>
      </c>
      <c r="V50">
        <v>53.54</v>
      </c>
      <c r="W50">
        <v>32.47</v>
      </c>
      <c r="X50">
        <v>26.52</v>
      </c>
      <c r="Y50">
        <v>56.1</v>
      </c>
      <c r="Z50">
        <v>36.020000000000003</v>
      </c>
      <c r="AA50">
        <v>42.39</v>
      </c>
      <c r="AB50">
        <v>49.56</v>
      </c>
      <c r="AC50">
        <v>48.93</v>
      </c>
      <c r="AD50">
        <v>53.54</v>
      </c>
      <c r="AE50">
        <v>45.58</v>
      </c>
      <c r="AF50">
        <f t="shared" si="22"/>
        <v>49.56</v>
      </c>
      <c r="AG50">
        <v>7.95</v>
      </c>
      <c r="AH50">
        <v>49.56</v>
      </c>
      <c r="AI50">
        <v>-0.73</v>
      </c>
      <c r="AK50" s="1"/>
      <c r="AL50">
        <v>25.83</v>
      </c>
      <c r="AM50">
        <v>25.78</v>
      </c>
      <c r="AN50">
        <v>42.38</v>
      </c>
      <c r="AO50">
        <v>31.39</v>
      </c>
      <c r="AP50">
        <v>29.31</v>
      </c>
      <c r="AQ50">
        <v>48.37</v>
      </c>
      <c r="AR50">
        <v>36.5</v>
      </c>
      <c r="AS50">
        <v>47.69</v>
      </c>
      <c r="AT50">
        <v>50</v>
      </c>
      <c r="AU50">
        <v>50.25</v>
      </c>
      <c r="AV50">
        <v>42.38</v>
      </c>
      <c r="AW50">
        <v>57.63</v>
      </c>
      <c r="AX50">
        <f t="shared" ref="AX50:AX57" si="23">(AV50+AW50)/2</f>
        <v>50.005000000000003</v>
      </c>
      <c r="AY50">
        <v>15.25</v>
      </c>
      <c r="AZ50">
        <v>50</v>
      </c>
      <c r="BA50">
        <v>0.03</v>
      </c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x14ac:dyDescent="0.25">
      <c r="B51">
        <v>11.65</v>
      </c>
      <c r="C51">
        <v>11.99</v>
      </c>
      <c r="D51">
        <v>22.06</v>
      </c>
      <c r="E51">
        <v>14.68</v>
      </c>
      <c r="F51">
        <v>11.37</v>
      </c>
      <c r="G51">
        <v>20.63</v>
      </c>
      <c r="H51">
        <v>14.66</v>
      </c>
      <c r="I51">
        <v>49.04</v>
      </c>
      <c r="J51">
        <v>50.6</v>
      </c>
      <c r="K51">
        <v>49.71</v>
      </c>
      <c r="L51">
        <v>22.06</v>
      </c>
      <c r="M51">
        <v>79.13</v>
      </c>
      <c r="N51">
        <f t="shared" si="21"/>
        <v>50.594999999999999</v>
      </c>
      <c r="O51">
        <v>57.07</v>
      </c>
      <c r="P51">
        <v>50.6</v>
      </c>
      <c r="Q51">
        <v>0.81</v>
      </c>
      <c r="S51" s="1"/>
      <c r="T51">
        <v>11.63</v>
      </c>
      <c r="U51">
        <v>11.6</v>
      </c>
      <c r="V51">
        <v>47.76</v>
      </c>
      <c r="W51">
        <v>18.329999999999998</v>
      </c>
      <c r="X51">
        <v>11.42</v>
      </c>
      <c r="Y51">
        <v>47.19</v>
      </c>
      <c r="Z51">
        <v>18.38</v>
      </c>
      <c r="AA51">
        <v>41.84</v>
      </c>
      <c r="AB51">
        <v>49.98</v>
      </c>
      <c r="AC51">
        <v>49.78</v>
      </c>
      <c r="AD51">
        <v>47.76</v>
      </c>
      <c r="AE51">
        <v>52.19</v>
      </c>
      <c r="AF51">
        <f t="shared" si="22"/>
        <v>49.974999999999994</v>
      </c>
      <c r="AG51">
        <v>4.4400000000000004</v>
      </c>
      <c r="AH51">
        <v>49.98</v>
      </c>
      <c r="AI51">
        <v>0.02</v>
      </c>
      <c r="AK51" s="1"/>
      <c r="AL51">
        <v>12.08</v>
      </c>
      <c r="AM51">
        <v>12.27</v>
      </c>
      <c r="AN51">
        <v>31.05</v>
      </c>
      <c r="AO51">
        <v>16.88</v>
      </c>
      <c r="AP51">
        <v>11.75</v>
      </c>
      <c r="AQ51">
        <v>29.61</v>
      </c>
      <c r="AR51">
        <v>16.82</v>
      </c>
      <c r="AS51">
        <v>47.78</v>
      </c>
      <c r="AT51">
        <v>51.07</v>
      </c>
      <c r="AU51">
        <v>50.99</v>
      </c>
      <c r="AV51">
        <v>31.05</v>
      </c>
      <c r="AW51">
        <v>71.08</v>
      </c>
      <c r="AX51">
        <f t="shared" si="23"/>
        <v>51.064999999999998</v>
      </c>
      <c r="AY51">
        <v>40.03</v>
      </c>
      <c r="AZ51">
        <v>51.07</v>
      </c>
      <c r="BA51">
        <v>1.44</v>
      </c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x14ac:dyDescent="0.25">
      <c r="B52">
        <v>26.48</v>
      </c>
      <c r="C52">
        <v>26.03</v>
      </c>
      <c r="D52">
        <v>27.8</v>
      </c>
      <c r="E52">
        <v>25.76</v>
      </c>
      <c r="F52">
        <v>28.29</v>
      </c>
      <c r="G52">
        <v>30.01</v>
      </c>
      <c r="H52">
        <v>29.13</v>
      </c>
      <c r="I52">
        <v>49.63</v>
      </c>
      <c r="J52">
        <v>50.44</v>
      </c>
      <c r="K52">
        <v>50.79</v>
      </c>
      <c r="L52">
        <v>27.8</v>
      </c>
      <c r="M52">
        <v>73.09</v>
      </c>
      <c r="N52">
        <f t="shared" si="21"/>
        <v>50.445</v>
      </c>
      <c r="O52">
        <v>45.29</v>
      </c>
      <c r="P52">
        <v>50.44</v>
      </c>
      <c r="Q52">
        <v>0.78</v>
      </c>
      <c r="S52" s="1"/>
      <c r="T52">
        <v>25.38</v>
      </c>
      <c r="U52">
        <v>25.13</v>
      </c>
      <c r="V52">
        <v>52.48</v>
      </c>
      <c r="W52">
        <v>31.85</v>
      </c>
      <c r="X52">
        <v>26.09</v>
      </c>
      <c r="Y52">
        <v>54.43</v>
      </c>
      <c r="Z52">
        <v>35.28</v>
      </c>
      <c r="AA52">
        <v>42.14</v>
      </c>
      <c r="AB52">
        <v>49.28</v>
      </c>
      <c r="AC52">
        <v>48.94</v>
      </c>
      <c r="AD52">
        <v>52.48</v>
      </c>
      <c r="AE52">
        <v>46.07</v>
      </c>
      <c r="AF52">
        <f t="shared" si="22"/>
        <v>49.274999999999999</v>
      </c>
      <c r="AG52">
        <v>6.41</v>
      </c>
      <c r="AH52">
        <v>49.28</v>
      </c>
      <c r="AI52">
        <v>-1.35</v>
      </c>
      <c r="AK52" s="1"/>
      <c r="AL52">
        <v>26.5</v>
      </c>
      <c r="AM52">
        <v>26</v>
      </c>
      <c r="AN52">
        <v>40.44</v>
      </c>
      <c r="AO52">
        <v>30.82</v>
      </c>
      <c r="AP52">
        <v>29.32</v>
      </c>
      <c r="AQ52">
        <v>45.57</v>
      </c>
      <c r="AR52">
        <v>35.68</v>
      </c>
      <c r="AS52">
        <v>48.58</v>
      </c>
      <c r="AT52">
        <v>50.44</v>
      </c>
      <c r="AU52">
        <v>50.42</v>
      </c>
      <c r="AV52">
        <v>40.44</v>
      </c>
      <c r="AW52">
        <v>60.45</v>
      </c>
      <c r="AX52">
        <f t="shared" si="23"/>
        <v>50.445</v>
      </c>
      <c r="AY52">
        <v>20.010000000000002</v>
      </c>
      <c r="AZ52">
        <v>50.44</v>
      </c>
      <c r="BA52">
        <v>0.9</v>
      </c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x14ac:dyDescent="0.25">
      <c r="B53">
        <v>22.88</v>
      </c>
      <c r="C53">
        <v>22.71</v>
      </c>
      <c r="D53">
        <v>40.11</v>
      </c>
      <c r="E53">
        <v>25.95</v>
      </c>
      <c r="F53">
        <v>24.44</v>
      </c>
      <c r="G53">
        <v>43.37</v>
      </c>
      <c r="H53">
        <v>31.26</v>
      </c>
      <c r="I53">
        <v>46.23</v>
      </c>
      <c r="J53">
        <v>50.51</v>
      </c>
      <c r="K53">
        <v>50.48</v>
      </c>
      <c r="L53">
        <v>40.11</v>
      </c>
      <c r="M53">
        <v>60.92</v>
      </c>
      <c r="N53">
        <f t="shared" si="21"/>
        <v>50.515000000000001</v>
      </c>
      <c r="O53">
        <v>20.81</v>
      </c>
      <c r="P53">
        <v>50.51</v>
      </c>
      <c r="Q53">
        <v>1.1399999999999999</v>
      </c>
      <c r="S53" s="1"/>
      <c r="T53">
        <v>22.6</v>
      </c>
      <c r="U53">
        <v>22.42</v>
      </c>
      <c r="V53">
        <v>39.71</v>
      </c>
      <c r="W53">
        <v>19.63</v>
      </c>
      <c r="X53">
        <v>17.28</v>
      </c>
      <c r="Y53">
        <v>30.82</v>
      </c>
      <c r="Z53">
        <v>22.15</v>
      </c>
      <c r="AA53">
        <v>40.590000000000003</v>
      </c>
      <c r="AB53">
        <v>49.96</v>
      </c>
      <c r="AC53">
        <v>50.29</v>
      </c>
      <c r="AD53">
        <v>39.71</v>
      </c>
      <c r="AE53">
        <v>60.22</v>
      </c>
      <c r="AF53">
        <f t="shared" si="22"/>
        <v>49.965000000000003</v>
      </c>
      <c r="AG53">
        <v>20.5</v>
      </c>
      <c r="AH53">
        <v>49.96</v>
      </c>
      <c r="AI53">
        <v>0.11</v>
      </c>
      <c r="AK53" s="1"/>
      <c r="AL53">
        <v>22.58</v>
      </c>
      <c r="AM53">
        <v>22.77</v>
      </c>
      <c r="AN53">
        <v>38.99</v>
      </c>
      <c r="AO53">
        <v>22.6</v>
      </c>
      <c r="AP53">
        <v>20.420000000000002</v>
      </c>
      <c r="AQ53">
        <v>34.409999999999997</v>
      </c>
      <c r="AR53">
        <v>25.63</v>
      </c>
      <c r="AS53">
        <v>44.98</v>
      </c>
      <c r="AT53">
        <v>50.92</v>
      </c>
      <c r="AU53">
        <v>50.33</v>
      </c>
      <c r="AV53">
        <v>38.99</v>
      </c>
      <c r="AW53">
        <v>62.84</v>
      </c>
      <c r="AX53">
        <f t="shared" si="23"/>
        <v>50.915000000000006</v>
      </c>
      <c r="AY53">
        <v>23.85</v>
      </c>
      <c r="AZ53">
        <v>50.92</v>
      </c>
      <c r="BA53">
        <v>1.1299999999999999</v>
      </c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x14ac:dyDescent="0.25">
      <c r="B54">
        <v>11.68</v>
      </c>
      <c r="C54">
        <v>11.77</v>
      </c>
      <c r="D54">
        <v>21.18</v>
      </c>
      <c r="E54">
        <v>14.18</v>
      </c>
      <c r="F54">
        <v>10.98</v>
      </c>
      <c r="G54">
        <v>19.87</v>
      </c>
      <c r="H54">
        <v>14.14</v>
      </c>
      <c r="I54">
        <v>48.75</v>
      </c>
      <c r="J54">
        <v>50.14</v>
      </c>
      <c r="K54">
        <v>50.02</v>
      </c>
      <c r="L54">
        <v>21.18</v>
      </c>
      <c r="M54">
        <v>79.099999999999994</v>
      </c>
      <c r="N54">
        <f>(L54+M54)/2</f>
        <v>50.14</v>
      </c>
      <c r="O54">
        <v>57.92</v>
      </c>
      <c r="P54">
        <v>50.14</v>
      </c>
      <c r="Q54">
        <v>0.25</v>
      </c>
      <c r="S54" s="1"/>
      <c r="T54">
        <v>11.83</v>
      </c>
      <c r="U54">
        <v>11.5</v>
      </c>
      <c r="V54">
        <v>46.5</v>
      </c>
      <c r="W54">
        <v>18.16</v>
      </c>
      <c r="X54">
        <v>11.44</v>
      </c>
      <c r="Y54">
        <v>46.37</v>
      </c>
      <c r="Z54">
        <v>18.36</v>
      </c>
      <c r="AA54">
        <v>42.11</v>
      </c>
      <c r="AB54">
        <v>49.8</v>
      </c>
      <c r="AC54">
        <v>49.67</v>
      </c>
      <c r="AD54">
        <v>46.5</v>
      </c>
      <c r="AE54">
        <v>53.09</v>
      </c>
      <c r="AF54">
        <f t="shared" si="22"/>
        <v>49.795000000000002</v>
      </c>
      <c r="AG54">
        <v>6.59</v>
      </c>
      <c r="AH54">
        <v>49.8</v>
      </c>
      <c r="AI54">
        <v>-0.23</v>
      </c>
      <c r="AK54" s="1"/>
      <c r="AL54">
        <v>12.13</v>
      </c>
      <c r="AM54">
        <v>12.24</v>
      </c>
      <c r="AN54">
        <v>27.96</v>
      </c>
      <c r="AO54">
        <v>16.27</v>
      </c>
      <c r="AP54">
        <v>11.63</v>
      </c>
      <c r="AQ54">
        <v>26.74</v>
      </c>
      <c r="AR54">
        <v>16.21</v>
      </c>
      <c r="AS54">
        <v>48.23</v>
      </c>
      <c r="AT54">
        <v>50.77</v>
      </c>
      <c r="AU54">
        <v>50.72</v>
      </c>
      <c r="AV54">
        <v>27.96</v>
      </c>
      <c r="AW54">
        <v>73.59</v>
      </c>
      <c r="AX54">
        <f t="shared" si="23"/>
        <v>50.775000000000006</v>
      </c>
      <c r="AY54">
        <v>45.62</v>
      </c>
      <c r="AZ54">
        <v>50.77</v>
      </c>
      <c r="BA54">
        <v>1.1499999999999999</v>
      </c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x14ac:dyDescent="0.25">
      <c r="B55">
        <v>26.12</v>
      </c>
      <c r="C55">
        <v>25.91</v>
      </c>
      <c r="D55">
        <v>25.44</v>
      </c>
      <c r="E55">
        <v>24.78</v>
      </c>
      <c r="F55">
        <v>27.5</v>
      </c>
      <c r="G55">
        <v>27.31</v>
      </c>
      <c r="H55">
        <v>27.4</v>
      </c>
      <c r="I55">
        <v>49.49</v>
      </c>
      <c r="J55">
        <v>50.02</v>
      </c>
      <c r="K55">
        <v>49.88</v>
      </c>
      <c r="L55">
        <v>25.44</v>
      </c>
      <c r="M55">
        <v>74.599999999999994</v>
      </c>
      <c r="N55">
        <f t="shared" si="21"/>
        <v>50.019999999999996</v>
      </c>
      <c r="O55">
        <v>49.16</v>
      </c>
      <c r="P55">
        <v>50.02</v>
      </c>
      <c r="Q55">
        <v>0.18</v>
      </c>
      <c r="S55" s="1"/>
      <c r="T55">
        <v>25.6</v>
      </c>
      <c r="U55">
        <v>25.63</v>
      </c>
      <c r="V55">
        <v>53.79</v>
      </c>
      <c r="W55">
        <v>32.590000000000003</v>
      </c>
      <c r="X55">
        <v>26.68</v>
      </c>
      <c r="Y55">
        <v>55.63</v>
      </c>
      <c r="Z55">
        <v>36.07</v>
      </c>
      <c r="AA55">
        <v>42.78</v>
      </c>
      <c r="AB55">
        <v>50.15</v>
      </c>
      <c r="AC55">
        <v>49.47</v>
      </c>
      <c r="AD55">
        <v>53.79</v>
      </c>
      <c r="AE55">
        <v>46.5</v>
      </c>
      <c r="AF55">
        <f t="shared" si="22"/>
        <v>50.144999999999996</v>
      </c>
      <c r="AG55">
        <v>7.28</v>
      </c>
      <c r="AH55">
        <v>50.15</v>
      </c>
      <c r="AI55">
        <v>-0.42</v>
      </c>
      <c r="AK55" s="1"/>
      <c r="AL55">
        <v>25.6</v>
      </c>
      <c r="AM55">
        <v>25.41</v>
      </c>
      <c r="AN55">
        <v>39.130000000000003</v>
      </c>
      <c r="AO55">
        <v>30.18</v>
      </c>
      <c r="AP55">
        <v>29.06</v>
      </c>
      <c r="AQ55">
        <v>44.06</v>
      </c>
      <c r="AR55">
        <v>35.020000000000003</v>
      </c>
      <c r="AS55">
        <v>48.39</v>
      </c>
      <c r="AT55">
        <v>50.06</v>
      </c>
      <c r="AU55">
        <v>50.1</v>
      </c>
      <c r="AV55">
        <v>39.130000000000003</v>
      </c>
      <c r="AW55">
        <v>60.99</v>
      </c>
      <c r="AX55">
        <f t="shared" si="23"/>
        <v>50.06</v>
      </c>
      <c r="AY55">
        <v>21.86</v>
      </c>
      <c r="AZ55">
        <v>50.06</v>
      </c>
      <c r="BA55">
        <v>-0.17</v>
      </c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 x14ac:dyDescent="0.25">
      <c r="B56">
        <v>21.97</v>
      </c>
      <c r="C56">
        <v>21.49</v>
      </c>
      <c r="D56">
        <v>35.42</v>
      </c>
      <c r="E56">
        <v>24.3</v>
      </c>
      <c r="F56">
        <v>23.4</v>
      </c>
      <c r="G56">
        <v>38.93</v>
      </c>
      <c r="H56">
        <v>29.23</v>
      </c>
      <c r="I56">
        <v>46.17</v>
      </c>
      <c r="J56">
        <v>49.12</v>
      </c>
      <c r="K56">
        <v>48.45</v>
      </c>
      <c r="L56">
        <v>35.42</v>
      </c>
      <c r="M56">
        <v>62.81</v>
      </c>
      <c r="N56">
        <f t="shared" si="21"/>
        <v>49.115000000000002</v>
      </c>
      <c r="O56">
        <v>27.39</v>
      </c>
      <c r="P56">
        <v>49.12</v>
      </c>
      <c r="Q56">
        <v>-1.25</v>
      </c>
      <c r="S56" s="1"/>
      <c r="T56">
        <v>23.13</v>
      </c>
      <c r="U56">
        <v>23.47</v>
      </c>
      <c r="V56">
        <v>39.69</v>
      </c>
      <c r="W56">
        <v>20.45</v>
      </c>
      <c r="X56">
        <v>17.579999999999998</v>
      </c>
      <c r="Y56">
        <v>31.38</v>
      </c>
      <c r="Z56">
        <v>22.53</v>
      </c>
      <c r="AA56">
        <v>41.1</v>
      </c>
      <c r="AB56">
        <v>50</v>
      </c>
      <c r="AC56">
        <v>50.28</v>
      </c>
      <c r="AD56">
        <v>39.69</v>
      </c>
      <c r="AE56">
        <v>60.31</v>
      </c>
      <c r="AF56">
        <f t="shared" si="22"/>
        <v>50</v>
      </c>
      <c r="AG56">
        <v>20.62</v>
      </c>
      <c r="AH56">
        <v>50</v>
      </c>
      <c r="AI56">
        <v>0.38</v>
      </c>
      <c r="AK56" s="1"/>
      <c r="AL56">
        <v>21.95</v>
      </c>
      <c r="AM56">
        <v>20.28</v>
      </c>
      <c r="AN56">
        <v>36.42</v>
      </c>
      <c r="AO56">
        <v>21.43</v>
      </c>
      <c r="AP56">
        <v>19.510000000000002</v>
      </c>
      <c r="AQ56">
        <v>31.64</v>
      </c>
      <c r="AR56">
        <v>24.13</v>
      </c>
      <c r="AS56">
        <v>44.66</v>
      </c>
      <c r="AT56">
        <v>50.14</v>
      </c>
      <c r="AU56">
        <v>49.94</v>
      </c>
      <c r="AV56">
        <v>36.42</v>
      </c>
      <c r="AW56">
        <v>63.86</v>
      </c>
      <c r="AX56">
        <f t="shared" si="23"/>
        <v>50.14</v>
      </c>
      <c r="AY56">
        <v>27.44</v>
      </c>
      <c r="AZ56">
        <v>50.14</v>
      </c>
      <c r="BA56">
        <v>-0.28999999999999998</v>
      </c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 x14ac:dyDescent="0.25">
      <c r="B57">
        <v>17</v>
      </c>
      <c r="C57">
        <v>16.5</v>
      </c>
      <c r="D57">
        <v>36.86</v>
      </c>
      <c r="E57">
        <v>18.84</v>
      </c>
      <c r="F57">
        <v>16.02</v>
      </c>
      <c r="G57">
        <v>37.770000000000003</v>
      </c>
      <c r="H57">
        <v>22.49</v>
      </c>
      <c r="I57">
        <v>43</v>
      </c>
      <c r="J57">
        <v>48.7</v>
      </c>
      <c r="K57">
        <v>49.18</v>
      </c>
      <c r="L57">
        <v>36.86</v>
      </c>
      <c r="M57">
        <v>60.53</v>
      </c>
      <c r="N57">
        <f t="shared" si="21"/>
        <v>48.695</v>
      </c>
      <c r="O57">
        <v>23.67</v>
      </c>
      <c r="P57">
        <v>48.7</v>
      </c>
      <c r="Q57">
        <v>-1.22</v>
      </c>
      <c r="T57">
        <v>17.37</v>
      </c>
      <c r="U57">
        <v>16.11</v>
      </c>
      <c r="V57">
        <v>39.520000000000003</v>
      </c>
      <c r="W57">
        <v>18.559999999999999</v>
      </c>
      <c r="X57">
        <v>17.260000000000002</v>
      </c>
      <c r="Y57">
        <v>40.61</v>
      </c>
      <c r="Z57">
        <v>24.22</v>
      </c>
      <c r="AA57">
        <v>41.67</v>
      </c>
      <c r="AB57">
        <v>50.26</v>
      </c>
      <c r="AC57">
        <v>50.39</v>
      </c>
      <c r="AD57">
        <v>39.520000000000003</v>
      </c>
      <c r="AE57">
        <v>61</v>
      </c>
      <c r="AF57">
        <f t="shared" si="22"/>
        <v>50.260000000000005</v>
      </c>
      <c r="AG57">
        <v>21.48</v>
      </c>
      <c r="AH57">
        <v>50.26</v>
      </c>
      <c r="AI57">
        <v>0.53</v>
      </c>
      <c r="AL57">
        <v>16.670000000000002</v>
      </c>
      <c r="AM57">
        <v>16.600000000000001</v>
      </c>
      <c r="AN57">
        <v>45.75</v>
      </c>
      <c r="AO57">
        <v>21.82</v>
      </c>
      <c r="AP57">
        <v>19.52</v>
      </c>
      <c r="AQ57">
        <v>55.57</v>
      </c>
      <c r="AR57">
        <v>28.9</v>
      </c>
      <c r="AS57">
        <v>41.23</v>
      </c>
      <c r="AT57">
        <v>49.12</v>
      </c>
      <c r="AU57">
        <v>48.8</v>
      </c>
      <c r="AV57">
        <v>45.75</v>
      </c>
      <c r="AW57">
        <v>52.48</v>
      </c>
      <c r="AX57">
        <f t="shared" si="23"/>
        <v>49.114999999999995</v>
      </c>
      <c r="AY57">
        <v>6.73</v>
      </c>
      <c r="AZ57">
        <v>49.12</v>
      </c>
      <c r="BA57">
        <v>-0.89</v>
      </c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 x14ac:dyDescent="0.25">
      <c r="B58" s="2">
        <f>AVERAGE(B48:B57)</f>
        <v>18.749000000000002</v>
      </c>
      <c r="C58" s="2">
        <f t="shared" ref="C58:Q58" si="24">AVERAGE(C48:C57)</f>
        <v>18.631000000000004</v>
      </c>
      <c r="D58" s="2">
        <f t="shared" si="24"/>
        <v>28.289000000000005</v>
      </c>
      <c r="E58" s="2">
        <f t="shared" si="24"/>
        <v>20.335000000000001</v>
      </c>
      <c r="F58" s="2">
        <f t="shared" si="24"/>
        <v>19.137</v>
      </c>
      <c r="G58" s="2">
        <f t="shared" si="24"/>
        <v>28.994</v>
      </c>
      <c r="H58" s="2">
        <f t="shared" si="24"/>
        <v>22.564</v>
      </c>
      <c r="I58" s="2">
        <f t="shared" si="24"/>
        <v>47.883000000000003</v>
      </c>
      <c r="J58" s="2">
        <f t="shared" si="24"/>
        <v>50.066999999999993</v>
      </c>
      <c r="K58" s="2">
        <f t="shared" si="24"/>
        <v>49.896000000000001</v>
      </c>
      <c r="L58" s="2">
        <f t="shared" si="24"/>
        <v>28.289000000000005</v>
      </c>
      <c r="M58" s="2">
        <f t="shared" si="24"/>
        <v>71.844999999999999</v>
      </c>
      <c r="N58" s="2">
        <f t="shared" si="24"/>
        <v>50.066999999999993</v>
      </c>
      <c r="O58" s="2">
        <f t="shared" si="24"/>
        <v>43.555999999999997</v>
      </c>
      <c r="P58" s="2">
        <f t="shared" si="24"/>
        <v>50.066999999999993</v>
      </c>
      <c r="Q58" s="2">
        <f t="shared" si="24"/>
        <v>0.24900000000000003</v>
      </c>
      <c r="T58" s="2">
        <f>AVERAGE(T48:T57)</f>
        <v>18.59</v>
      </c>
      <c r="U58" s="2">
        <f t="shared" ref="U58:AI58" si="25">AVERAGE(U48:U57)</f>
        <v>18.407999999999998</v>
      </c>
      <c r="V58" s="2">
        <f t="shared" si="25"/>
        <v>46.714999999999996</v>
      </c>
      <c r="W58" s="2">
        <f t="shared" si="25"/>
        <v>22.802</v>
      </c>
      <c r="X58" s="2">
        <f t="shared" si="25"/>
        <v>17.664999999999999</v>
      </c>
      <c r="Y58" s="2">
        <f t="shared" si="25"/>
        <v>45.540000000000006</v>
      </c>
      <c r="Z58" s="2">
        <f t="shared" si="25"/>
        <v>24.907</v>
      </c>
      <c r="AA58" s="2">
        <f t="shared" si="25"/>
        <v>41.77300000000001</v>
      </c>
      <c r="AB58" s="2">
        <f t="shared" si="25"/>
        <v>49.795999999999999</v>
      </c>
      <c r="AC58" s="2">
        <f t="shared" si="25"/>
        <v>49.611000000000004</v>
      </c>
      <c r="AD58" s="2">
        <f t="shared" si="25"/>
        <v>46.714999999999996</v>
      </c>
      <c r="AE58" s="2">
        <f t="shared" si="25"/>
        <v>52.875</v>
      </c>
      <c r="AF58" s="2">
        <f t="shared" si="25"/>
        <v>49.795000000000002</v>
      </c>
      <c r="AG58" s="2">
        <f t="shared" si="25"/>
        <v>10.488000000000001</v>
      </c>
      <c r="AH58" s="2">
        <f t="shared" si="25"/>
        <v>49.795999999999999</v>
      </c>
      <c r="AI58" s="2">
        <f t="shared" si="25"/>
        <v>-0.29500000000000004</v>
      </c>
      <c r="AL58" s="2">
        <f>AVERAGE(AL48:AL57)</f>
        <v>18.675000000000001</v>
      </c>
      <c r="AM58" s="2">
        <f t="shared" ref="AM58:BA58" si="26">AVERAGE(AM48:AM57)</f>
        <v>18.45</v>
      </c>
      <c r="AN58" s="2">
        <f t="shared" si="26"/>
        <v>36.053000000000004</v>
      </c>
      <c r="AO58" s="2">
        <f t="shared" si="26"/>
        <v>22.373000000000001</v>
      </c>
      <c r="AP58" s="2">
        <f t="shared" si="26"/>
        <v>19.327999999999996</v>
      </c>
      <c r="AQ58" s="2">
        <f t="shared" si="26"/>
        <v>37.388999999999996</v>
      </c>
      <c r="AR58" s="2">
        <f t="shared" si="26"/>
        <v>25.155000000000001</v>
      </c>
      <c r="AS58" s="2">
        <f t="shared" si="26"/>
        <v>46.601999999999997</v>
      </c>
      <c r="AT58" s="2">
        <f t="shared" si="26"/>
        <v>50.226999999999997</v>
      </c>
      <c r="AU58" s="2">
        <f t="shared" si="26"/>
        <v>50.082000000000008</v>
      </c>
      <c r="AV58" s="2">
        <f t="shared" si="26"/>
        <v>36.053000000000004</v>
      </c>
      <c r="AW58" s="2">
        <f t="shared" si="26"/>
        <v>64.40100000000001</v>
      </c>
      <c r="AX58" s="2">
        <f t="shared" si="26"/>
        <v>50.227000000000004</v>
      </c>
      <c r="AY58" s="2">
        <f t="shared" si="26"/>
        <v>28.345999999999997</v>
      </c>
      <c r="AZ58" s="2">
        <f t="shared" si="26"/>
        <v>50.226999999999997</v>
      </c>
      <c r="BA58" s="2">
        <f t="shared" si="26"/>
        <v>0.31099999999999989</v>
      </c>
    </row>
    <row r="61" spans="1:70" x14ac:dyDescent="0.25">
      <c r="A61" s="1" t="s">
        <v>18</v>
      </c>
      <c r="B61">
        <v>11.52</v>
      </c>
      <c r="C61">
        <v>11.46</v>
      </c>
      <c r="D61">
        <v>39.22</v>
      </c>
      <c r="E61">
        <v>17.62</v>
      </c>
      <c r="F61">
        <v>11.92</v>
      </c>
      <c r="G61">
        <v>40.94</v>
      </c>
      <c r="H61">
        <v>18.47</v>
      </c>
      <c r="I61">
        <v>44.55</v>
      </c>
      <c r="J61">
        <v>49.74</v>
      </c>
      <c r="K61">
        <v>49.43</v>
      </c>
      <c r="L61">
        <v>39.22</v>
      </c>
      <c r="M61">
        <v>60.26</v>
      </c>
      <c r="N61">
        <f>(L61+M61)/2</f>
        <v>49.739999999999995</v>
      </c>
      <c r="O61">
        <v>21.04</v>
      </c>
      <c r="P61">
        <v>49.74</v>
      </c>
      <c r="Q61">
        <v>-0.28000000000000003</v>
      </c>
      <c r="S61" s="1" t="s">
        <v>56</v>
      </c>
      <c r="T61">
        <v>12.05</v>
      </c>
      <c r="U61">
        <v>12.08</v>
      </c>
      <c r="V61">
        <v>40.96</v>
      </c>
      <c r="W61">
        <v>18.28</v>
      </c>
      <c r="X61">
        <v>11.88</v>
      </c>
      <c r="Y61">
        <v>40.06</v>
      </c>
      <c r="Z61">
        <v>18.329999999999998</v>
      </c>
      <c r="AA61">
        <v>45.3</v>
      </c>
      <c r="AB61">
        <v>51.1</v>
      </c>
      <c r="AC61">
        <v>51.29</v>
      </c>
      <c r="AD61">
        <v>40.96</v>
      </c>
      <c r="AE61">
        <v>61.23</v>
      </c>
      <c r="AF61">
        <f>(AD61+AE61)/2</f>
        <v>51.094999999999999</v>
      </c>
      <c r="AG61">
        <v>20.260000000000002</v>
      </c>
      <c r="AH61">
        <v>51.1</v>
      </c>
      <c r="AI61">
        <v>1.36</v>
      </c>
      <c r="AK61" s="1" t="s">
        <v>59</v>
      </c>
      <c r="AL61">
        <v>11.86</v>
      </c>
      <c r="AM61">
        <v>11.88</v>
      </c>
      <c r="AN61">
        <v>39.020000000000003</v>
      </c>
      <c r="AO61">
        <v>18.22</v>
      </c>
      <c r="AP61">
        <v>12.78</v>
      </c>
      <c r="AQ61">
        <v>41.92</v>
      </c>
      <c r="AR61">
        <v>19.59</v>
      </c>
      <c r="AS61">
        <v>45.5</v>
      </c>
      <c r="AT61">
        <v>50.62</v>
      </c>
      <c r="AU61">
        <v>51.05</v>
      </c>
      <c r="AV61">
        <v>39.020000000000003</v>
      </c>
      <c r="AW61">
        <v>62.21</v>
      </c>
      <c r="AX61">
        <f>(AV61+AW61)/2</f>
        <v>50.615000000000002</v>
      </c>
      <c r="AY61">
        <v>23.19</v>
      </c>
      <c r="AZ61">
        <v>50.62</v>
      </c>
      <c r="BA61">
        <v>0.83</v>
      </c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 x14ac:dyDescent="0.25">
      <c r="A62" s="1"/>
      <c r="B62">
        <v>11.74</v>
      </c>
      <c r="C62">
        <v>11.64</v>
      </c>
      <c r="D62">
        <v>49.04</v>
      </c>
      <c r="E62">
        <v>18.68</v>
      </c>
      <c r="F62">
        <v>11.77</v>
      </c>
      <c r="G62">
        <v>49.48</v>
      </c>
      <c r="H62">
        <v>19.02</v>
      </c>
      <c r="I62">
        <v>41.86</v>
      </c>
      <c r="J62">
        <v>50.23</v>
      </c>
      <c r="K62">
        <v>50.42</v>
      </c>
      <c r="L62">
        <v>49.04</v>
      </c>
      <c r="M62">
        <v>51.42</v>
      </c>
      <c r="N62">
        <f t="shared" ref="N62:N70" si="27">(L62+M62)/2</f>
        <v>50.230000000000004</v>
      </c>
      <c r="O62">
        <v>2.37</v>
      </c>
      <c r="P62">
        <v>50.23</v>
      </c>
      <c r="Q62">
        <v>0.25</v>
      </c>
      <c r="T62">
        <v>12</v>
      </c>
      <c r="U62">
        <v>11.98</v>
      </c>
      <c r="V62">
        <v>44.48</v>
      </c>
      <c r="W62">
        <v>18.61</v>
      </c>
      <c r="X62">
        <v>11.91</v>
      </c>
      <c r="Y62">
        <v>44.15</v>
      </c>
      <c r="Z62">
        <v>18.760000000000002</v>
      </c>
      <c r="AA62">
        <v>44.1</v>
      </c>
      <c r="AB62">
        <v>50.9</v>
      </c>
      <c r="AC62">
        <v>51.14</v>
      </c>
      <c r="AD62">
        <v>44.48</v>
      </c>
      <c r="AE62">
        <v>57.32</v>
      </c>
      <c r="AF62">
        <f t="shared" ref="AF62:AF70" si="28">(AD62+AE62)/2</f>
        <v>50.9</v>
      </c>
      <c r="AG62">
        <v>12.84</v>
      </c>
      <c r="AH62">
        <v>50.9</v>
      </c>
      <c r="AI62">
        <v>1.1200000000000001</v>
      </c>
      <c r="AL62">
        <v>11.83</v>
      </c>
      <c r="AM62">
        <v>11.81</v>
      </c>
      <c r="AN62">
        <v>49.32</v>
      </c>
      <c r="AO62">
        <v>18.899999999999999</v>
      </c>
      <c r="AP62">
        <v>11.91</v>
      </c>
      <c r="AQ62">
        <v>49.62</v>
      </c>
      <c r="AR62">
        <v>19.21</v>
      </c>
      <c r="AS62">
        <v>42.2</v>
      </c>
      <c r="AT62">
        <v>50.63</v>
      </c>
      <c r="AU62">
        <v>50.81</v>
      </c>
      <c r="AV62">
        <v>49.32</v>
      </c>
      <c r="AW62">
        <v>51.94</v>
      </c>
      <c r="AX62">
        <f>(AV62+AW62)/2</f>
        <v>50.629999999999995</v>
      </c>
      <c r="AY62">
        <v>2.62</v>
      </c>
      <c r="AZ62">
        <v>50.63</v>
      </c>
      <c r="BA62">
        <v>0.77</v>
      </c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 x14ac:dyDescent="0.25">
      <c r="A63" s="1"/>
      <c r="B63">
        <v>25.7</v>
      </c>
      <c r="C63">
        <v>25.14</v>
      </c>
      <c r="D63">
        <v>47.5</v>
      </c>
      <c r="E63">
        <v>31.06</v>
      </c>
      <c r="F63">
        <v>24.8</v>
      </c>
      <c r="G63">
        <v>45.93</v>
      </c>
      <c r="H63">
        <v>32.21</v>
      </c>
      <c r="I63">
        <v>45.82</v>
      </c>
      <c r="J63">
        <v>49.79</v>
      </c>
      <c r="K63">
        <v>49.94</v>
      </c>
      <c r="L63">
        <v>47.5</v>
      </c>
      <c r="M63">
        <v>52.08</v>
      </c>
      <c r="N63">
        <f t="shared" si="27"/>
        <v>49.79</v>
      </c>
      <c r="O63">
        <v>4.59</v>
      </c>
      <c r="P63">
        <v>49.79</v>
      </c>
      <c r="Q63">
        <v>-0.68</v>
      </c>
      <c r="T63">
        <v>27.76</v>
      </c>
      <c r="U63">
        <v>26.77</v>
      </c>
      <c r="V63">
        <v>45.93</v>
      </c>
      <c r="W63">
        <v>31.82</v>
      </c>
      <c r="X63">
        <v>26.61</v>
      </c>
      <c r="Y63">
        <v>46.01</v>
      </c>
      <c r="Z63">
        <v>33.72</v>
      </c>
      <c r="AA63">
        <v>47.75</v>
      </c>
      <c r="AB63">
        <v>51.16</v>
      </c>
      <c r="AC63">
        <v>52.32</v>
      </c>
      <c r="AD63">
        <v>45.93</v>
      </c>
      <c r="AE63">
        <v>56.39</v>
      </c>
      <c r="AF63">
        <f t="shared" si="28"/>
        <v>51.16</v>
      </c>
      <c r="AG63">
        <v>10.46</v>
      </c>
      <c r="AH63">
        <v>51.16</v>
      </c>
      <c r="AI63">
        <v>2.21</v>
      </c>
      <c r="AL63">
        <v>26.55</v>
      </c>
      <c r="AM63">
        <v>26.51</v>
      </c>
      <c r="AN63">
        <v>48.19</v>
      </c>
      <c r="AO63">
        <v>32.270000000000003</v>
      </c>
      <c r="AP63">
        <v>26.4</v>
      </c>
      <c r="AQ63">
        <v>48.43</v>
      </c>
      <c r="AR63">
        <v>34.17</v>
      </c>
      <c r="AS63">
        <v>46.98</v>
      </c>
      <c r="AT63">
        <v>50.8</v>
      </c>
      <c r="AU63">
        <v>50.91</v>
      </c>
      <c r="AV63">
        <v>48.19</v>
      </c>
      <c r="AW63">
        <v>53.41</v>
      </c>
      <c r="AX63">
        <f t="shared" ref="AX63:AX70" si="29">(AV63+AW63)/2</f>
        <v>50.8</v>
      </c>
      <c r="AY63">
        <v>5.22</v>
      </c>
      <c r="AZ63">
        <v>50.8</v>
      </c>
      <c r="BA63">
        <v>1.46</v>
      </c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 x14ac:dyDescent="0.25">
      <c r="A64" s="1"/>
      <c r="B64">
        <v>11.76</v>
      </c>
      <c r="C64">
        <v>11.64</v>
      </c>
      <c r="D64">
        <v>52.6</v>
      </c>
      <c r="E64">
        <v>18.850000000000001</v>
      </c>
      <c r="F64">
        <v>11.63</v>
      </c>
      <c r="G64">
        <v>52.3</v>
      </c>
      <c r="H64">
        <v>19.02</v>
      </c>
      <c r="I64">
        <v>40.54</v>
      </c>
      <c r="J64">
        <v>50.3</v>
      </c>
      <c r="K64">
        <v>50.42</v>
      </c>
      <c r="L64">
        <v>52.6</v>
      </c>
      <c r="M64">
        <v>48.01</v>
      </c>
      <c r="N64">
        <f t="shared" si="27"/>
        <v>50.305</v>
      </c>
      <c r="O64">
        <v>4.59</v>
      </c>
      <c r="P64">
        <v>50.3</v>
      </c>
      <c r="Q64">
        <v>0.32</v>
      </c>
      <c r="T64">
        <v>11.81</v>
      </c>
      <c r="U64">
        <v>11.8</v>
      </c>
      <c r="V64">
        <v>48.79</v>
      </c>
      <c r="W64">
        <v>18.75</v>
      </c>
      <c r="X64">
        <v>11.74</v>
      </c>
      <c r="Y64">
        <v>48.17</v>
      </c>
      <c r="Z64">
        <v>18.87</v>
      </c>
      <c r="AA64">
        <v>42.37</v>
      </c>
      <c r="AB64">
        <v>50.72</v>
      </c>
      <c r="AC64">
        <v>51.03</v>
      </c>
      <c r="AD64">
        <v>48.79</v>
      </c>
      <c r="AE64">
        <v>52.65</v>
      </c>
      <c r="AF64">
        <f t="shared" si="28"/>
        <v>50.72</v>
      </c>
      <c r="AG64">
        <v>3.86</v>
      </c>
      <c r="AH64">
        <v>50.72</v>
      </c>
      <c r="AI64">
        <v>0.81</v>
      </c>
      <c r="AL64">
        <v>11.72</v>
      </c>
      <c r="AM64">
        <v>11.68</v>
      </c>
      <c r="AN64">
        <v>50.32</v>
      </c>
      <c r="AO64">
        <v>18.72</v>
      </c>
      <c r="AP64">
        <v>11.62</v>
      </c>
      <c r="AQ64">
        <v>49.8</v>
      </c>
      <c r="AR64">
        <v>18.84</v>
      </c>
      <c r="AS64">
        <v>41.49</v>
      </c>
      <c r="AT64">
        <v>50.4</v>
      </c>
      <c r="AU64">
        <v>50.61</v>
      </c>
      <c r="AV64">
        <v>50.32</v>
      </c>
      <c r="AW64">
        <v>50.48</v>
      </c>
      <c r="AX64">
        <f t="shared" si="29"/>
        <v>50.4</v>
      </c>
      <c r="AY64">
        <v>0.16</v>
      </c>
      <c r="AZ64">
        <v>50.4</v>
      </c>
      <c r="BA64">
        <v>0.43</v>
      </c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1:70" x14ac:dyDescent="0.25">
      <c r="A65" s="1"/>
      <c r="B65">
        <v>26.03</v>
      </c>
      <c r="C65">
        <v>25.67</v>
      </c>
      <c r="D65">
        <v>52.8</v>
      </c>
      <c r="E65">
        <v>32.92</v>
      </c>
      <c r="F65">
        <v>25.56</v>
      </c>
      <c r="G65">
        <v>52.15</v>
      </c>
      <c r="H65">
        <v>34.31</v>
      </c>
      <c r="I65">
        <v>45.29</v>
      </c>
      <c r="J65">
        <v>50.21</v>
      </c>
      <c r="K65">
        <v>50.13</v>
      </c>
      <c r="L65">
        <v>52.8</v>
      </c>
      <c r="M65">
        <v>47.61</v>
      </c>
      <c r="N65">
        <f t="shared" si="27"/>
        <v>50.204999999999998</v>
      </c>
      <c r="O65">
        <v>5.18</v>
      </c>
      <c r="P65">
        <v>50.21</v>
      </c>
      <c r="Q65">
        <v>0.16</v>
      </c>
      <c r="T65">
        <v>27.38</v>
      </c>
      <c r="U65">
        <v>26.59</v>
      </c>
      <c r="V65">
        <v>48.21</v>
      </c>
      <c r="W65">
        <v>31.98</v>
      </c>
      <c r="X65">
        <v>26.19</v>
      </c>
      <c r="Y65">
        <v>48.27</v>
      </c>
      <c r="Z65">
        <v>33.950000000000003</v>
      </c>
      <c r="AA65">
        <v>46.65</v>
      </c>
      <c r="AB65">
        <v>50.8</v>
      </c>
      <c r="AC65">
        <v>51.99</v>
      </c>
      <c r="AD65">
        <v>48.21</v>
      </c>
      <c r="AE65">
        <v>53.38</v>
      </c>
      <c r="AF65">
        <f t="shared" si="28"/>
        <v>50.795000000000002</v>
      </c>
      <c r="AG65">
        <v>5.17</v>
      </c>
      <c r="AH65">
        <v>50.8</v>
      </c>
      <c r="AI65">
        <v>1.79</v>
      </c>
      <c r="AL65">
        <v>26.79</v>
      </c>
      <c r="AM65">
        <v>26.64</v>
      </c>
      <c r="AN65">
        <v>50</v>
      </c>
      <c r="AO65">
        <v>33</v>
      </c>
      <c r="AP65">
        <v>26.52</v>
      </c>
      <c r="AQ65">
        <v>49.47</v>
      </c>
      <c r="AR65">
        <v>34.53</v>
      </c>
      <c r="AS65">
        <v>47.25</v>
      </c>
      <c r="AT65">
        <v>51.36</v>
      </c>
      <c r="AU65">
        <v>51.3</v>
      </c>
      <c r="AV65">
        <v>50</v>
      </c>
      <c r="AW65">
        <v>52.72</v>
      </c>
      <c r="AX65">
        <f t="shared" si="29"/>
        <v>51.36</v>
      </c>
      <c r="AY65">
        <v>2.72</v>
      </c>
      <c r="AZ65">
        <v>51.36</v>
      </c>
      <c r="BA65">
        <v>2.17</v>
      </c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1:70" x14ac:dyDescent="0.25">
      <c r="A66" s="1"/>
      <c r="B66">
        <v>22.59</v>
      </c>
      <c r="C66">
        <v>21.93</v>
      </c>
      <c r="D66">
        <v>50.92</v>
      </c>
      <c r="E66">
        <v>28.45</v>
      </c>
      <c r="F66">
        <v>21.7</v>
      </c>
      <c r="G66">
        <v>50.55</v>
      </c>
      <c r="H66">
        <v>30.36</v>
      </c>
      <c r="I66">
        <v>43.62</v>
      </c>
      <c r="J66">
        <v>49.48</v>
      </c>
      <c r="K66">
        <v>49.83</v>
      </c>
      <c r="L66">
        <v>50.92</v>
      </c>
      <c r="M66">
        <v>48.04</v>
      </c>
      <c r="N66">
        <f t="shared" si="27"/>
        <v>49.480000000000004</v>
      </c>
      <c r="O66">
        <v>2.88</v>
      </c>
      <c r="P66">
        <v>49.48</v>
      </c>
      <c r="Q66">
        <v>-0.71</v>
      </c>
      <c r="T66">
        <v>22.62</v>
      </c>
      <c r="U66">
        <v>22.48</v>
      </c>
      <c r="V66">
        <v>48.45</v>
      </c>
      <c r="W66">
        <v>28.43</v>
      </c>
      <c r="X66">
        <v>22.68</v>
      </c>
      <c r="Y66">
        <v>48.19</v>
      </c>
      <c r="Z66">
        <v>30.84</v>
      </c>
      <c r="AA66">
        <v>45.35</v>
      </c>
      <c r="AB66">
        <v>50.71</v>
      </c>
      <c r="AC66">
        <v>51.06</v>
      </c>
      <c r="AD66">
        <v>48.45</v>
      </c>
      <c r="AE66">
        <v>52.97</v>
      </c>
      <c r="AF66">
        <f t="shared" si="28"/>
        <v>50.71</v>
      </c>
      <c r="AG66">
        <v>4.5199999999999996</v>
      </c>
      <c r="AH66">
        <v>50.71</v>
      </c>
      <c r="AI66">
        <v>0.84</v>
      </c>
      <c r="AL66">
        <v>22.61</v>
      </c>
      <c r="AM66">
        <v>22.05</v>
      </c>
      <c r="AN66">
        <v>48.98</v>
      </c>
      <c r="AO66">
        <v>28.68</v>
      </c>
      <c r="AP66">
        <v>22.69</v>
      </c>
      <c r="AQ66">
        <v>50.86</v>
      </c>
      <c r="AR66">
        <v>31.38</v>
      </c>
      <c r="AS66">
        <v>44.6</v>
      </c>
      <c r="AT66">
        <v>49.52</v>
      </c>
      <c r="AU66">
        <v>49.97</v>
      </c>
      <c r="AV66">
        <v>48.98</v>
      </c>
      <c r="AW66">
        <v>50.06</v>
      </c>
      <c r="AX66">
        <f t="shared" si="29"/>
        <v>49.519999999999996</v>
      </c>
      <c r="AY66">
        <v>1.07</v>
      </c>
      <c r="AZ66">
        <v>49.52</v>
      </c>
      <c r="BA66">
        <v>-0.5</v>
      </c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1:70" x14ac:dyDescent="0.25">
      <c r="A67" s="1"/>
      <c r="B67">
        <v>11.69</v>
      </c>
      <c r="C67">
        <v>11.54</v>
      </c>
      <c r="D67">
        <v>50.41</v>
      </c>
      <c r="E67">
        <v>18.54</v>
      </c>
      <c r="F67">
        <v>11.48</v>
      </c>
      <c r="G67">
        <v>50.03</v>
      </c>
      <c r="H67">
        <v>18.670000000000002</v>
      </c>
      <c r="I67">
        <v>41</v>
      </c>
      <c r="J67">
        <v>49.99</v>
      </c>
      <c r="K67">
        <v>50.22</v>
      </c>
      <c r="L67">
        <v>50.41</v>
      </c>
      <c r="M67">
        <v>49.56</v>
      </c>
      <c r="N67">
        <f t="shared" si="27"/>
        <v>49.984999999999999</v>
      </c>
      <c r="O67">
        <v>0.85</v>
      </c>
      <c r="P67">
        <v>49.99</v>
      </c>
      <c r="Q67">
        <v>-0.04</v>
      </c>
      <c r="T67">
        <v>11.9</v>
      </c>
      <c r="U67">
        <v>11.83</v>
      </c>
      <c r="V67">
        <v>49.24</v>
      </c>
      <c r="W67">
        <v>18.78</v>
      </c>
      <c r="X67">
        <v>11.69</v>
      </c>
      <c r="Y67">
        <v>48.35</v>
      </c>
      <c r="Z67">
        <v>18.829999999999998</v>
      </c>
      <c r="AA67">
        <v>42.24</v>
      </c>
      <c r="AB67">
        <v>50.77</v>
      </c>
      <c r="AC67">
        <v>51.08</v>
      </c>
      <c r="AD67">
        <v>49.24</v>
      </c>
      <c r="AE67">
        <v>52.31</v>
      </c>
      <c r="AF67">
        <f t="shared" si="28"/>
        <v>50.775000000000006</v>
      </c>
      <c r="AG67">
        <v>3.07</v>
      </c>
      <c r="AH67">
        <v>50.77</v>
      </c>
      <c r="AI67">
        <v>0.91</v>
      </c>
      <c r="AL67">
        <v>11.88</v>
      </c>
      <c r="AM67">
        <v>11.81</v>
      </c>
      <c r="AN67">
        <v>52.41</v>
      </c>
      <c r="AO67">
        <v>19.11</v>
      </c>
      <c r="AP67">
        <v>11.9</v>
      </c>
      <c r="AQ67">
        <v>52.65</v>
      </c>
      <c r="AR67">
        <v>19.420000000000002</v>
      </c>
      <c r="AS67">
        <v>41.07</v>
      </c>
      <c r="AT67">
        <v>50.69</v>
      </c>
      <c r="AU67">
        <v>50.94</v>
      </c>
      <c r="AV67">
        <v>52.41</v>
      </c>
      <c r="AW67">
        <v>48.97</v>
      </c>
      <c r="AX67">
        <f t="shared" si="29"/>
        <v>50.69</v>
      </c>
      <c r="AY67">
        <v>3.44</v>
      </c>
      <c r="AZ67">
        <v>50.69</v>
      </c>
      <c r="BA67">
        <v>0.81</v>
      </c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1:70" x14ac:dyDescent="0.25">
      <c r="B68">
        <v>25.64</v>
      </c>
      <c r="C68">
        <v>25.85</v>
      </c>
      <c r="D68">
        <v>50.33</v>
      </c>
      <c r="E68">
        <v>32.53</v>
      </c>
      <c r="F68">
        <v>25.73</v>
      </c>
      <c r="G68">
        <v>50.14</v>
      </c>
      <c r="H68">
        <v>34.01</v>
      </c>
      <c r="I68">
        <v>46.01</v>
      </c>
      <c r="J68">
        <v>50.22</v>
      </c>
      <c r="K68">
        <v>49.96</v>
      </c>
      <c r="L68">
        <v>50.33</v>
      </c>
      <c r="M68">
        <v>50.1</v>
      </c>
      <c r="N68">
        <f>(L68+M68)/2</f>
        <v>50.215000000000003</v>
      </c>
      <c r="O68">
        <v>0.23</v>
      </c>
      <c r="P68">
        <v>50.22</v>
      </c>
      <c r="Q68">
        <v>0.38</v>
      </c>
      <c r="T68">
        <v>27.74</v>
      </c>
      <c r="U68">
        <v>26.72</v>
      </c>
      <c r="V68">
        <v>49.09</v>
      </c>
      <c r="W68">
        <v>32.81</v>
      </c>
      <c r="X68">
        <v>26.58</v>
      </c>
      <c r="Y68">
        <v>48.69</v>
      </c>
      <c r="Z68">
        <v>34.380000000000003</v>
      </c>
      <c r="AA68">
        <v>47.53</v>
      </c>
      <c r="AB68">
        <v>51.43</v>
      </c>
      <c r="AC68">
        <v>52</v>
      </c>
      <c r="AD68">
        <v>49.09</v>
      </c>
      <c r="AE68">
        <v>53.77</v>
      </c>
      <c r="AF68">
        <f t="shared" si="28"/>
        <v>51.430000000000007</v>
      </c>
      <c r="AG68">
        <v>4.68</v>
      </c>
      <c r="AH68">
        <v>51.43</v>
      </c>
      <c r="AI68">
        <v>2.4500000000000002</v>
      </c>
      <c r="AL68">
        <v>26.69</v>
      </c>
      <c r="AM68">
        <v>26.28</v>
      </c>
      <c r="AN68">
        <v>48.94</v>
      </c>
      <c r="AO68">
        <v>32.19</v>
      </c>
      <c r="AP68">
        <v>25.65</v>
      </c>
      <c r="AQ68">
        <v>48.4</v>
      </c>
      <c r="AR68">
        <v>33.53</v>
      </c>
      <c r="AS68">
        <v>46.42</v>
      </c>
      <c r="AT68">
        <v>50.48</v>
      </c>
      <c r="AU68">
        <v>51</v>
      </c>
      <c r="AV68">
        <v>48.94</v>
      </c>
      <c r="AW68">
        <v>52.03</v>
      </c>
      <c r="AX68">
        <f t="shared" si="29"/>
        <v>50.484999999999999</v>
      </c>
      <c r="AY68">
        <v>3.1</v>
      </c>
      <c r="AZ68">
        <v>50.48</v>
      </c>
      <c r="BA68">
        <v>1.08</v>
      </c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1:70" x14ac:dyDescent="0.25">
      <c r="B69">
        <v>22.63</v>
      </c>
      <c r="C69">
        <v>22.19</v>
      </c>
      <c r="D69">
        <v>50.32</v>
      </c>
      <c r="E69">
        <v>28.92</v>
      </c>
      <c r="F69">
        <v>22.56</v>
      </c>
      <c r="G69">
        <v>51.99</v>
      </c>
      <c r="H69">
        <v>31.46</v>
      </c>
      <c r="I69">
        <v>44.22</v>
      </c>
      <c r="J69">
        <v>49.54</v>
      </c>
      <c r="K69">
        <v>49.35</v>
      </c>
      <c r="L69">
        <v>50.32</v>
      </c>
      <c r="M69">
        <v>48.76</v>
      </c>
      <c r="N69">
        <f t="shared" si="27"/>
        <v>49.54</v>
      </c>
      <c r="O69">
        <v>1.56</v>
      </c>
      <c r="P69">
        <v>49.54</v>
      </c>
      <c r="Q69">
        <v>-0.3</v>
      </c>
      <c r="T69">
        <v>22.66</v>
      </c>
      <c r="U69">
        <v>22.4</v>
      </c>
      <c r="V69">
        <v>49.19</v>
      </c>
      <c r="W69">
        <v>28.5</v>
      </c>
      <c r="X69">
        <v>22.29</v>
      </c>
      <c r="Y69">
        <v>48.19</v>
      </c>
      <c r="Z69">
        <v>30.48</v>
      </c>
      <c r="AA69">
        <v>45.21</v>
      </c>
      <c r="AB69">
        <v>50.62</v>
      </c>
      <c r="AC69">
        <v>50.74</v>
      </c>
      <c r="AD69">
        <v>49.19</v>
      </c>
      <c r="AE69">
        <v>52.05</v>
      </c>
      <c r="AF69">
        <f t="shared" si="28"/>
        <v>50.62</v>
      </c>
      <c r="AG69">
        <v>2.87</v>
      </c>
      <c r="AH69">
        <v>50.62</v>
      </c>
      <c r="AI69">
        <v>0.68</v>
      </c>
      <c r="AL69">
        <v>22.4</v>
      </c>
      <c r="AM69">
        <v>21.8</v>
      </c>
      <c r="AN69">
        <v>48.4</v>
      </c>
      <c r="AO69">
        <v>28.17</v>
      </c>
      <c r="AP69">
        <v>22.24</v>
      </c>
      <c r="AQ69">
        <v>49.11</v>
      </c>
      <c r="AR69">
        <v>30.61</v>
      </c>
      <c r="AS69">
        <v>44.5</v>
      </c>
      <c r="AT69">
        <v>49.5</v>
      </c>
      <c r="AU69">
        <v>49.68</v>
      </c>
      <c r="AV69">
        <v>48.4</v>
      </c>
      <c r="AW69">
        <v>50.6</v>
      </c>
      <c r="AX69">
        <f t="shared" si="29"/>
        <v>49.5</v>
      </c>
      <c r="AY69">
        <v>2.21</v>
      </c>
      <c r="AZ69">
        <v>49.5</v>
      </c>
      <c r="BA69">
        <v>-0.89</v>
      </c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1:70" x14ac:dyDescent="0.25">
      <c r="B70">
        <v>17.71</v>
      </c>
      <c r="C70">
        <v>17.25</v>
      </c>
      <c r="D70">
        <v>54.32</v>
      </c>
      <c r="E70">
        <v>23.79</v>
      </c>
      <c r="F70">
        <v>17.14</v>
      </c>
      <c r="G70">
        <v>51.5</v>
      </c>
      <c r="H70">
        <v>25.72</v>
      </c>
      <c r="I70">
        <v>42.93</v>
      </c>
      <c r="J70">
        <v>52.26</v>
      </c>
      <c r="K70">
        <v>52.28</v>
      </c>
      <c r="L70">
        <v>54.32</v>
      </c>
      <c r="M70">
        <v>50.21</v>
      </c>
      <c r="N70">
        <f t="shared" si="27"/>
        <v>52.265000000000001</v>
      </c>
      <c r="O70">
        <v>4.12</v>
      </c>
      <c r="P70">
        <v>52.26</v>
      </c>
      <c r="Q70">
        <v>2.39</v>
      </c>
      <c r="T70">
        <v>16.68</v>
      </c>
      <c r="U70">
        <v>16.41</v>
      </c>
      <c r="V70">
        <v>45.03</v>
      </c>
      <c r="W70">
        <v>21.13</v>
      </c>
      <c r="X70">
        <v>15.6</v>
      </c>
      <c r="Y70">
        <v>43.2</v>
      </c>
      <c r="Z70">
        <v>22.92</v>
      </c>
      <c r="AA70">
        <v>42.66</v>
      </c>
      <c r="AB70">
        <v>49.37</v>
      </c>
      <c r="AC70">
        <v>48.7</v>
      </c>
      <c r="AD70">
        <v>45.03</v>
      </c>
      <c r="AE70">
        <v>53.71</v>
      </c>
      <c r="AF70">
        <f t="shared" si="28"/>
        <v>49.370000000000005</v>
      </c>
      <c r="AG70">
        <v>8.68</v>
      </c>
      <c r="AH70">
        <v>49.37</v>
      </c>
      <c r="AI70">
        <v>-0.94</v>
      </c>
      <c r="AL70">
        <v>17.14</v>
      </c>
      <c r="AM70">
        <v>16.54</v>
      </c>
      <c r="AN70">
        <v>42.12</v>
      </c>
      <c r="AO70">
        <v>20.2</v>
      </c>
      <c r="AP70">
        <v>14.84</v>
      </c>
      <c r="AQ70">
        <v>38.43</v>
      </c>
      <c r="AR70">
        <v>21.41</v>
      </c>
      <c r="AS70">
        <v>43.2</v>
      </c>
      <c r="AT70">
        <v>49.49</v>
      </c>
      <c r="AU70">
        <v>49.34</v>
      </c>
      <c r="AV70">
        <v>42.12</v>
      </c>
      <c r="AW70">
        <v>56.87</v>
      </c>
      <c r="AX70">
        <f t="shared" si="29"/>
        <v>49.494999999999997</v>
      </c>
      <c r="AY70">
        <v>14.75</v>
      </c>
      <c r="AZ70">
        <v>49.49</v>
      </c>
      <c r="BA70">
        <v>-0.36</v>
      </c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1:70" x14ac:dyDescent="0.25">
      <c r="B71" s="2">
        <f>AVERAGE(B61:B70)</f>
        <v>18.701000000000001</v>
      </c>
      <c r="C71" s="2">
        <f t="shared" ref="C71:Q71" si="30">AVERAGE(C61:C70)</f>
        <v>18.431000000000001</v>
      </c>
      <c r="D71" s="2">
        <f t="shared" si="30"/>
        <v>49.745999999999995</v>
      </c>
      <c r="E71" s="2">
        <f t="shared" si="30"/>
        <v>25.135999999999999</v>
      </c>
      <c r="F71" s="2">
        <f t="shared" si="30"/>
        <v>18.429000000000002</v>
      </c>
      <c r="G71" s="2">
        <f t="shared" si="30"/>
        <v>49.500999999999998</v>
      </c>
      <c r="H71" s="2">
        <f t="shared" si="30"/>
        <v>26.324999999999999</v>
      </c>
      <c r="I71" s="2">
        <f t="shared" si="30"/>
        <v>43.583999999999996</v>
      </c>
      <c r="J71" s="2">
        <f t="shared" si="30"/>
        <v>50.176000000000002</v>
      </c>
      <c r="K71" s="2">
        <f t="shared" si="30"/>
        <v>50.198</v>
      </c>
      <c r="L71" s="2">
        <f t="shared" si="30"/>
        <v>49.745999999999995</v>
      </c>
      <c r="M71" s="2">
        <f t="shared" si="30"/>
        <v>50.605000000000004</v>
      </c>
      <c r="N71" s="2">
        <f t="shared" si="30"/>
        <v>50.175500000000007</v>
      </c>
      <c r="O71" s="2">
        <f t="shared" si="30"/>
        <v>4.7410000000000005</v>
      </c>
      <c r="P71" s="2">
        <f t="shared" si="30"/>
        <v>50.176000000000002</v>
      </c>
      <c r="Q71" s="2">
        <f t="shared" si="30"/>
        <v>0.14899999999999999</v>
      </c>
      <c r="T71" s="2">
        <f>AVERAGE(T61:T70)</f>
        <v>19.260000000000002</v>
      </c>
      <c r="U71" s="2">
        <f t="shared" ref="U71:AI71" si="31">AVERAGE(U61:U70)</f>
        <v>18.905999999999999</v>
      </c>
      <c r="V71" s="2">
        <f t="shared" si="31"/>
        <v>46.936999999999998</v>
      </c>
      <c r="W71" s="2">
        <f t="shared" si="31"/>
        <v>24.908999999999999</v>
      </c>
      <c r="X71" s="2">
        <f t="shared" si="31"/>
        <v>18.716999999999995</v>
      </c>
      <c r="Y71" s="2">
        <f t="shared" si="31"/>
        <v>46.328000000000003</v>
      </c>
      <c r="Z71" s="2">
        <f t="shared" si="31"/>
        <v>26.107999999999997</v>
      </c>
      <c r="AA71" s="2">
        <f t="shared" si="31"/>
        <v>44.916000000000011</v>
      </c>
      <c r="AB71" s="2">
        <f t="shared" si="31"/>
        <v>50.757999999999996</v>
      </c>
      <c r="AC71" s="2">
        <f t="shared" si="31"/>
        <v>51.134999999999998</v>
      </c>
      <c r="AD71" s="2">
        <f t="shared" si="31"/>
        <v>46.936999999999998</v>
      </c>
      <c r="AE71" s="2">
        <f t="shared" si="31"/>
        <v>54.57800000000001</v>
      </c>
      <c r="AF71" s="2">
        <f t="shared" si="31"/>
        <v>50.7575</v>
      </c>
      <c r="AG71" s="2">
        <f t="shared" si="31"/>
        <v>7.641</v>
      </c>
      <c r="AH71" s="2">
        <f t="shared" si="31"/>
        <v>50.757999999999996</v>
      </c>
      <c r="AI71" s="2">
        <f t="shared" si="31"/>
        <v>1.1230000000000002</v>
      </c>
      <c r="AL71" s="2">
        <f>AVERAGE(AL61:AL70)</f>
        <v>18.947000000000003</v>
      </c>
      <c r="AM71" s="2">
        <f t="shared" ref="AM71:BA71" si="32">AVERAGE(AM61:AM70)</f>
        <v>18.700000000000003</v>
      </c>
      <c r="AN71" s="2">
        <f t="shared" si="32"/>
        <v>47.769999999999996</v>
      </c>
      <c r="AO71" s="2">
        <f t="shared" si="32"/>
        <v>24.945999999999998</v>
      </c>
      <c r="AP71" s="2">
        <f t="shared" si="32"/>
        <v>18.655000000000001</v>
      </c>
      <c r="AQ71" s="2">
        <f t="shared" si="32"/>
        <v>47.868999999999993</v>
      </c>
      <c r="AR71" s="2">
        <f t="shared" si="32"/>
        <v>26.268999999999998</v>
      </c>
      <c r="AS71" s="2">
        <f t="shared" si="32"/>
        <v>44.321000000000005</v>
      </c>
      <c r="AT71" s="2">
        <f t="shared" si="32"/>
        <v>50.349000000000004</v>
      </c>
      <c r="AU71" s="2">
        <f t="shared" si="32"/>
        <v>50.561</v>
      </c>
      <c r="AV71" s="2">
        <f t="shared" si="32"/>
        <v>47.769999999999996</v>
      </c>
      <c r="AW71" s="2">
        <f t="shared" si="32"/>
        <v>52.928999999999995</v>
      </c>
      <c r="AX71" s="2">
        <f t="shared" si="32"/>
        <v>50.349499999999999</v>
      </c>
      <c r="AY71" s="2">
        <f t="shared" si="32"/>
        <v>5.8480000000000008</v>
      </c>
      <c r="AZ71" s="2">
        <f t="shared" si="32"/>
        <v>50.349000000000004</v>
      </c>
      <c r="BA71" s="2">
        <f t="shared" si="32"/>
        <v>0.58000000000000007</v>
      </c>
    </row>
    <row r="74" spans="1:70" x14ac:dyDescent="0.25">
      <c r="A74" s="1" t="s">
        <v>27</v>
      </c>
      <c r="B74">
        <v>14.29</v>
      </c>
      <c r="C74">
        <v>15.6</v>
      </c>
      <c r="D74">
        <v>56.4</v>
      </c>
      <c r="E74">
        <v>24.36</v>
      </c>
      <c r="F74">
        <v>15.63</v>
      </c>
      <c r="G74">
        <v>56.41</v>
      </c>
      <c r="H74">
        <v>24.48</v>
      </c>
      <c r="I74">
        <v>48.14</v>
      </c>
      <c r="J74">
        <v>58.14</v>
      </c>
      <c r="K74">
        <v>60.7</v>
      </c>
      <c r="L74">
        <v>56.4</v>
      </c>
      <c r="M74">
        <v>59.88</v>
      </c>
      <c r="N74">
        <f>(L74+M74)/2</f>
        <v>58.14</v>
      </c>
      <c r="O74">
        <v>3.48</v>
      </c>
      <c r="P74">
        <v>58.14</v>
      </c>
      <c r="Q74">
        <v>10.19</v>
      </c>
      <c r="S74" s="1" t="s">
        <v>40</v>
      </c>
      <c r="T74">
        <v>7.07</v>
      </c>
      <c r="U74">
        <v>11.57</v>
      </c>
      <c r="V74">
        <v>100</v>
      </c>
      <c r="W74">
        <v>20.6</v>
      </c>
      <c r="X74">
        <v>11.57</v>
      </c>
      <c r="Y74">
        <v>100</v>
      </c>
      <c r="Z74">
        <v>20.74</v>
      </c>
      <c r="AA74">
        <v>10.3</v>
      </c>
      <c r="AB74">
        <v>50</v>
      </c>
      <c r="AC74">
        <v>50</v>
      </c>
      <c r="AD74">
        <v>100</v>
      </c>
      <c r="AE74">
        <v>0</v>
      </c>
      <c r="AF74">
        <f>(AD74+AE74)/2</f>
        <v>50</v>
      </c>
      <c r="AG74">
        <v>100</v>
      </c>
      <c r="AH74">
        <v>50</v>
      </c>
      <c r="AI74">
        <v>0</v>
      </c>
      <c r="AK74" s="1" t="s">
        <v>53</v>
      </c>
      <c r="AL74">
        <v>14.32</v>
      </c>
      <c r="AM74">
        <v>14.82</v>
      </c>
      <c r="AN74">
        <v>60.21</v>
      </c>
      <c r="AO74">
        <v>23.62</v>
      </c>
      <c r="AP74">
        <v>14.83</v>
      </c>
      <c r="AQ74">
        <v>61.62</v>
      </c>
      <c r="AR74">
        <v>23.91</v>
      </c>
      <c r="AS74">
        <v>44.87</v>
      </c>
      <c r="AT74">
        <v>56.75</v>
      </c>
      <c r="AU74">
        <v>59.53</v>
      </c>
      <c r="AV74">
        <v>60.21</v>
      </c>
      <c r="AW74">
        <v>53.29</v>
      </c>
      <c r="AX74">
        <f>(AV74+AW74)/2</f>
        <v>56.75</v>
      </c>
      <c r="AY74">
        <v>6.92</v>
      </c>
      <c r="AZ74">
        <v>56.75</v>
      </c>
      <c r="BA74">
        <v>8.52</v>
      </c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1"/>
      <c r="BQ74" s="1"/>
      <c r="BR74" s="1"/>
    </row>
    <row r="75" spans="1:70" x14ac:dyDescent="0.25">
      <c r="A75" s="1"/>
      <c r="B75">
        <v>15.21</v>
      </c>
      <c r="C75">
        <v>16.670000000000002</v>
      </c>
      <c r="D75">
        <v>39.69</v>
      </c>
      <c r="E75">
        <v>23.38</v>
      </c>
      <c r="F75">
        <v>16.82</v>
      </c>
      <c r="G75">
        <v>39.869999999999997</v>
      </c>
      <c r="H75">
        <v>23.66</v>
      </c>
      <c r="I75">
        <v>52.36</v>
      </c>
      <c r="J75">
        <v>56.88</v>
      </c>
      <c r="K75">
        <v>61.82</v>
      </c>
      <c r="L75">
        <v>39.69</v>
      </c>
      <c r="M75">
        <v>74.08</v>
      </c>
      <c r="N75">
        <f t="shared" ref="N75:N83" si="33">(L75+M75)/2</f>
        <v>56.884999999999998</v>
      </c>
      <c r="O75">
        <v>34.39</v>
      </c>
      <c r="P75">
        <v>56.88</v>
      </c>
      <c r="Q75">
        <v>9.74</v>
      </c>
      <c r="T75">
        <v>7.07</v>
      </c>
      <c r="U75">
        <v>11.57</v>
      </c>
      <c r="V75">
        <v>100</v>
      </c>
      <c r="W75">
        <v>20.6</v>
      </c>
      <c r="X75">
        <v>11.57</v>
      </c>
      <c r="Y75">
        <v>100</v>
      </c>
      <c r="Z75">
        <v>20.74</v>
      </c>
      <c r="AA75">
        <v>10.3</v>
      </c>
      <c r="AB75">
        <v>50</v>
      </c>
      <c r="AC75">
        <v>50</v>
      </c>
      <c r="AD75">
        <v>100</v>
      </c>
      <c r="AE75">
        <v>0</v>
      </c>
      <c r="AF75">
        <f t="shared" ref="AF75:AF83" si="34">(AD75+AE75)/2</f>
        <v>50</v>
      </c>
      <c r="AG75">
        <v>100</v>
      </c>
      <c r="AH75">
        <v>50</v>
      </c>
      <c r="AI75">
        <v>0</v>
      </c>
      <c r="AL75">
        <v>15.08</v>
      </c>
      <c r="AM75">
        <v>16.559999999999999</v>
      </c>
      <c r="AN75">
        <v>41.36</v>
      </c>
      <c r="AO75">
        <v>23.36</v>
      </c>
      <c r="AP75">
        <v>16.600000000000001</v>
      </c>
      <c r="AQ75">
        <v>42.11</v>
      </c>
      <c r="AR75">
        <v>23.81</v>
      </c>
      <c r="AS75">
        <v>51.68</v>
      </c>
      <c r="AT75">
        <v>56.74</v>
      </c>
      <c r="AU75">
        <v>60.62</v>
      </c>
      <c r="AV75">
        <v>41.36</v>
      </c>
      <c r="AW75">
        <v>72.13</v>
      </c>
      <c r="AX75">
        <f t="shared" ref="AX75:AX83" si="35">(AV75+AW75)/2</f>
        <v>56.744999999999997</v>
      </c>
      <c r="AY75">
        <v>30.77</v>
      </c>
      <c r="AZ75">
        <v>56.74</v>
      </c>
      <c r="BA75">
        <v>9.56</v>
      </c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1"/>
      <c r="BQ75" s="1"/>
      <c r="BR75" s="1"/>
    </row>
    <row r="76" spans="1:70" x14ac:dyDescent="0.25">
      <c r="A76" s="1"/>
      <c r="B76">
        <v>36.47</v>
      </c>
      <c r="C76">
        <v>33.99</v>
      </c>
      <c r="D76">
        <v>63.36</v>
      </c>
      <c r="E76">
        <v>43.8</v>
      </c>
      <c r="F76">
        <v>36.56</v>
      </c>
      <c r="G76">
        <v>68.58</v>
      </c>
      <c r="H76">
        <v>47.69</v>
      </c>
      <c r="I76">
        <v>53.72</v>
      </c>
      <c r="J76">
        <v>59.52</v>
      </c>
      <c r="K76">
        <v>63.75</v>
      </c>
      <c r="L76">
        <v>63.36</v>
      </c>
      <c r="M76">
        <v>55.67</v>
      </c>
      <c r="N76">
        <f t="shared" si="33"/>
        <v>59.515000000000001</v>
      </c>
      <c r="O76">
        <v>7.69</v>
      </c>
      <c r="P76">
        <v>59.52</v>
      </c>
      <c r="Q76">
        <v>16.36</v>
      </c>
      <c r="T76">
        <v>29.93</v>
      </c>
      <c r="U76">
        <v>25.66</v>
      </c>
      <c r="V76">
        <v>100</v>
      </c>
      <c r="W76">
        <v>39.51</v>
      </c>
      <c r="X76">
        <v>25.66</v>
      </c>
      <c r="Y76">
        <v>100</v>
      </c>
      <c r="Z76">
        <v>40.85</v>
      </c>
      <c r="AA76">
        <v>19.760000000000002</v>
      </c>
      <c r="AB76">
        <v>50</v>
      </c>
      <c r="AC76">
        <v>50</v>
      </c>
      <c r="AD76">
        <v>100</v>
      </c>
      <c r="AE76">
        <v>0</v>
      </c>
      <c r="AF76">
        <f t="shared" si="34"/>
        <v>50</v>
      </c>
      <c r="AG76">
        <v>100</v>
      </c>
      <c r="AH76">
        <v>50</v>
      </c>
      <c r="AI76">
        <v>0</v>
      </c>
      <c r="AL76">
        <v>35.82</v>
      </c>
      <c r="AM76">
        <v>35.96</v>
      </c>
      <c r="AN76">
        <v>47.69</v>
      </c>
      <c r="AO76">
        <v>39.94</v>
      </c>
      <c r="AP76">
        <v>37.130000000000003</v>
      </c>
      <c r="AQ76">
        <v>48.76</v>
      </c>
      <c r="AR76">
        <v>42.16</v>
      </c>
      <c r="AS76">
        <v>56.7</v>
      </c>
      <c r="AT76">
        <v>58.88</v>
      </c>
      <c r="AU76">
        <v>63.9</v>
      </c>
      <c r="AV76">
        <v>47.69</v>
      </c>
      <c r="AW76">
        <v>70.069999999999993</v>
      </c>
      <c r="AX76">
        <f t="shared" si="35"/>
        <v>58.879999999999995</v>
      </c>
      <c r="AY76">
        <v>22.39</v>
      </c>
      <c r="AZ76">
        <v>58.88</v>
      </c>
      <c r="BA76">
        <v>16.03</v>
      </c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1"/>
      <c r="BQ76" s="1"/>
      <c r="BR76" s="1"/>
    </row>
    <row r="77" spans="1:70" x14ac:dyDescent="0.25">
      <c r="A77" s="1"/>
      <c r="B77">
        <v>15.98</v>
      </c>
      <c r="C77">
        <v>18.690000000000001</v>
      </c>
      <c r="D77">
        <v>33.67</v>
      </c>
      <c r="E77">
        <v>23.67</v>
      </c>
      <c r="F77">
        <v>18.8</v>
      </c>
      <c r="G77">
        <v>33.07</v>
      </c>
      <c r="H77">
        <v>23.97</v>
      </c>
      <c r="I77">
        <v>54.61</v>
      </c>
      <c r="J77">
        <v>57.49</v>
      </c>
      <c r="K77">
        <v>61.48</v>
      </c>
      <c r="L77">
        <v>33.67</v>
      </c>
      <c r="M77">
        <v>81.319999999999993</v>
      </c>
      <c r="N77">
        <f t="shared" si="33"/>
        <v>57.494999999999997</v>
      </c>
      <c r="O77">
        <v>47.65</v>
      </c>
      <c r="P77">
        <v>57.49</v>
      </c>
      <c r="Q77">
        <v>11.53</v>
      </c>
      <c r="T77">
        <v>12.94</v>
      </c>
      <c r="U77">
        <v>12.32</v>
      </c>
      <c r="V77">
        <v>68.38</v>
      </c>
      <c r="W77">
        <v>14.39</v>
      </c>
      <c r="X77">
        <v>9.59</v>
      </c>
      <c r="Y77">
        <v>56.44</v>
      </c>
      <c r="Z77">
        <v>16.39</v>
      </c>
      <c r="AA77">
        <v>22.36</v>
      </c>
      <c r="AB77">
        <v>50.16</v>
      </c>
      <c r="AC77">
        <v>53.84</v>
      </c>
      <c r="AD77">
        <v>68.38</v>
      </c>
      <c r="AE77">
        <v>31.94</v>
      </c>
      <c r="AF77">
        <f t="shared" si="34"/>
        <v>50.16</v>
      </c>
      <c r="AG77">
        <v>36.44</v>
      </c>
      <c r="AH77">
        <v>50.16</v>
      </c>
      <c r="AI77">
        <v>0.71</v>
      </c>
      <c r="AL77">
        <v>15.46</v>
      </c>
      <c r="AM77">
        <v>16.329999999999998</v>
      </c>
      <c r="AN77">
        <v>42.8</v>
      </c>
      <c r="AO77">
        <v>23.57</v>
      </c>
      <c r="AP77">
        <v>16.64</v>
      </c>
      <c r="AQ77">
        <v>44.29</v>
      </c>
      <c r="AR77">
        <v>24.19</v>
      </c>
      <c r="AS77">
        <v>51.29</v>
      </c>
      <c r="AT77">
        <v>56.72</v>
      </c>
      <c r="AU77">
        <v>59.53</v>
      </c>
      <c r="AV77">
        <v>42.8</v>
      </c>
      <c r="AW77">
        <v>70.63</v>
      </c>
      <c r="AX77">
        <f t="shared" si="35"/>
        <v>56.714999999999996</v>
      </c>
      <c r="AY77">
        <v>27.84</v>
      </c>
      <c r="AZ77">
        <v>56.72</v>
      </c>
      <c r="BA77">
        <v>9.4</v>
      </c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1"/>
      <c r="BQ77" s="1"/>
      <c r="BR77" s="1"/>
    </row>
    <row r="78" spans="1:70" x14ac:dyDescent="0.25">
      <c r="A78" s="1"/>
      <c r="B78">
        <v>37.75</v>
      </c>
      <c r="C78">
        <v>42.07</v>
      </c>
      <c r="D78">
        <v>29.82</v>
      </c>
      <c r="E78">
        <v>33.92</v>
      </c>
      <c r="F78">
        <v>43.48</v>
      </c>
      <c r="G78">
        <v>29.39</v>
      </c>
      <c r="H78">
        <v>35.07</v>
      </c>
      <c r="I78">
        <v>57.56</v>
      </c>
      <c r="J78">
        <v>57.88</v>
      </c>
      <c r="K78">
        <v>63.77</v>
      </c>
      <c r="L78">
        <v>29.82</v>
      </c>
      <c r="M78">
        <v>85.94</v>
      </c>
      <c r="N78">
        <f t="shared" si="33"/>
        <v>57.879999999999995</v>
      </c>
      <c r="O78">
        <v>56.13</v>
      </c>
      <c r="P78">
        <v>57.88</v>
      </c>
      <c r="Q78">
        <v>17.27</v>
      </c>
      <c r="T78">
        <v>26.99</v>
      </c>
      <c r="U78">
        <v>25.68</v>
      </c>
      <c r="V78">
        <v>99.86</v>
      </c>
      <c r="W78">
        <v>39.520000000000003</v>
      </c>
      <c r="X78">
        <v>25.69</v>
      </c>
      <c r="Y78">
        <v>99.9</v>
      </c>
      <c r="Z78">
        <v>40.869999999999997</v>
      </c>
      <c r="AA78">
        <v>19.989999999999998</v>
      </c>
      <c r="AB78">
        <v>50.05</v>
      </c>
      <c r="AC78">
        <v>52.18</v>
      </c>
      <c r="AD78">
        <v>99.86</v>
      </c>
      <c r="AE78">
        <v>0.23</v>
      </c>
      <c r="AF78">
        <f t="shared" si="34"/>
        <v>50.045000000000002</v>
      </c>
      <c r="AG78">
        <v>99.63</v>
      </c>
      <c r="AH78">
        <v>50.05</v>
      </c>
      <c r="AI78">
        <v>0.67</v>
      </c>
      <c r="AL78">
        <v>35.97</v>
      </c>
      <c r="AM78">
        <v>38.36</v>
      </c>
      <c r="AN78">
        <v>31.29</v>
      </c>
      <c r="AO78">
        <v>30.6</v>
      </c>
      <c r="AP78">
        <v>36.880000000000003</v>
      </c>
      <c r="AQ78">
        <v>27.02</v>
      </c>
      <c r="AR78">
        <v>31.19</v>
      </c>
      <c r="AS78">
        <v>55.18</v>
      </c>
      <c r="AT78">
        <v>57.75</v>
      </c>
      <c r="AU78">
        <v>63.36</v>
      </c>
      <c r="AV78">
        <v>31.29</v>
      </c>
      <c r="AW78">
        <v>84.21</v>
      </c>
      <c r="AX78">
        <f t="shared" si="35"/>
        <v>57.75</v>
      </c>
      <c r="AY78">
        <v>52.92</v>
      </c>
      <c r="AZ78">
        <v>57.75</v>
      </c>
      <c r="BA78">
        <v>15.13</v>
      </c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1"/>
      <c r="BQ78" s="1"/>
      <c r="BR78" s="1"/>
    </row>
    <row r="79" spans="1:70" x14ac:dyDescent="0.25">
      <c r="A79" s="1"/>
      <c r="B79">
        <v>33.61</v>
      </c>
      <c r="C79">
        <v>35</v>
      </c>
      <c r="D79">
        <v>37.15</v>
      </c>
      <c r="E79">
        <v>33.340000000000003</v>
      </c>
      <c r="F79">
        <v>37.630000000000003</v>
      </c>
      <c r="G79">
        <v>41.39</v>
      </c>
      <c r="H79">
        <v>39.42</v>
      </c>
      <c r="I79">
        <v>56.84</v>
      </c>
      <c r="J79">
        <v>58.45</v>
      </c>
      <c r="K79">
        <v>65.33</v>
      </c>
      <c r="L79">
        <v>37.15</v>
      </c>
      <c r="M79">
        <v>79.739999999999995</v>
      </c>
      <c r="N79">
        <f t="shared" si="33"/>
        <v>58.444999999999993</v>
      </c>
      <c r="O79">
        <v>42.59</v>
      </c>
      <c r="P79">
        <v>58.45</v>
      </c>
      <c r="Q79">
        <v>16.600000000000001</v>
      </c>
      <c r="T79">
        <v>23.74</v>
      </c>
      <c r="U79">
        <v>23.91</v>
      </c>
      <c r="V79">
        <v>84.16</v>
      </c>
      <c r="W79">
        <v>32.01</v>
      </c>
      <c r="X79">
        <v>20.059999999999999</v>
      </c>
      <c r="Y79">
        <v>74.260000000000005</v>
      </c>
      <c r="Z79">
        <v>31.59</v>
      </c>
      <c r="AA79">
        <v>26.24</v>
      </c>
      <c r="AB79">
        <v>51.5</v>
      </c>
      <c r="AC79">
        <v>52.44</v>
      </c>
      <c r="AD79">
        <v>84.16</v>
      </c>
      <c r="AE79">
        <v>18.829999999999998</v>
      </c>
      <c r="AF79">
        <f t="shared" si="34"/>
        <v>51.494999999999997</v>
      </c>
      <c r="AG79">
        <v>65.34</v>
      </c>
      <c r="AH79">
        <v>51.5</v>
      </c>
      <c r="AI79">
        <v>2.79</v>
      </c>
      <c r="AL79">
        <v>33.549999999999997</v>
      </c>
      <c r="AM79">
        <v>33.08</v>
      </c>
      <c r="AN79">
        <v>43.51</v>
      </c>
      <c r="AO79">
        <v>35.33</v>
      </c>
      <c r="AP79">
        <v>37.29</v>
      </c>
      <c r="AQ79">
        <v>50.06</v>
      </c>
      <c r="AR79">
        <v>42.74</v>
      </c>
      <c r="AS79">
        <v>56.69</v>
      </c>
      <c r="AT79">
        <v>59.1</v>
      </c>
      <c r="AU79">
        <v>65.010000000000005</v>
      </c>
      <c r="AV79">
        <v>43.51</v>
      </c>
      <c r="AW79">
        <v>74.69</v>
      </c>
      <c r="AX79">
        <f t="shared" si="35"/>
        <v>59.099999999999994</v>
      </c>
      <c r="AY79">
        <v>31.18</v>
      </c>
      <c r="AZ79">
        <v>59.1</v>
      </c>
      <c r="BA79">
        <v>16.8</v>
      </c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1"/>
      <c r="BQ79" s="1"/>
      <c r="BR79" s="1"/>
    </row>
    <row r="80" spans="1:70" x14ac:dyDescent="0.25">
      <c r="A80" s="1"/>
      <c r="B80">
        <v>16.059999999999999</v>
      </c>
      <c r="C80">
        <v>15.82</v>
      </c>
      <c r="D80">
        <v>49.98</v>
      </c>
      <c r="E80">
        <v>24.01</v>
      </c>
      <c r="F80">
        <v>16.3</v>
      </c>
      <c r="G80">
        <v>50.88</v>
      </c>
      <c r="H80">
        <v>24.69</v>
      </c>
      <c r="I80">
        <v>49.99</v>
      </c>
      <c r="J80">
        <v>57.76</v>
      </c>
      <c r="K80">
        <v>60.46</v>
      </c>
      <c r="L80">
        <v>49.98</v>
      </c>
      <c r="M80">
        <v>65.540000000000006</v>
      </c>
      <c r="N80">
        <f t="shared" si="33"/>
        <v>57.760000000000005</v>
      </c>
      <c r="O80">
        <v>15.56</v>
      </c>
      <c r="P80">
        <v>57.76</v>
      </c>
      <c r="Q80">
        <v>10.08</v>
      </c>
      <c r="T80">
        <v>13.15</v>
      </c>
      <c r="U80">
        <v>10.95</v>
      </c>
      <c r="V80">
        <v>62.55</v>
      </c>
      <c r="W80">
        <v>13.9</v>
      </c>
      <c r="X80">
        <v>9.89</v>
      </c>
      <c r="Y80">
        <v>51.34</v>
      </c>
      <c r="Z80">
        <v>16.59</v>
      </c>
      <c r="AA80">
        <v>29.2</v>
      </c>
      <c r="AB80">
        <v>51.38</v>
      </c>
      <c r="AC80">
        <v>55.78</v>
      </c>
      <c r="AD80">
        <v>62.55</v>
      </c>
      <c r="AE80">
        <v>40.200000000000003</v>
      </c>
      <c r="AF80">
        <f t="shared" si="34"/>
        <v>51.375</v>
      </c>
      <c r="AG80">
        <v>22.34</v>
      </c>
      <c r="AH80">
        <v>51.38</v>
      </c>
      <c r="AI80">
        <v>2.21</v>
      </c>
      <c r="AL80">
        <v>15.17</v>
      </c>
      <c r="AM80">
        <v>15.4</v>
      </c>
      <c r="AN80">
        <v>51.52</v>
      </c>
      <c r="AO80">
        <v>22.78</v>
      </c>
      <c r="AP80">
        <v>15.21</v>
      </c>
      <c r="AQ80">
        <v>56.51</v>
      </c>
      <c r="AR80">
        <v>23.96</v>
      </c>
      <c r="AS80">
        <v>44.8</v>
      </c>
      <c r="AT80">
        <v>54.71</v>
      </c>
      <c r="AU80">
        <v>58.51</v>
      </c>
      <c r="AV80">
        <v>51.52</v>
      </c>
      <c r="AW80">
        <v>57.89</v>
      </c>
      <c r="AX80">
        <f t="shared" si="35"/>
        <v>54.704999999999998</v>
      </c>
      <c r="AY80">
        <v>6.37</v>
      </c>
      <c r="AZ80">
        <v>54.71</v>
      </c>
      <c r="BA80">
        <v>6.69</v>
      </c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1"/>
      <c r="BQ80" s="1"/>
      <c r="BR80" s="1"/>
    </row>
    <row r="81" spans="1:70" x14ac:dyDescent="0.25">
      <c r="A81" s="1"/>
      <c r="B81">
        <v>35.57</v>
      </c>
      <c r="C81">
        <v>39.29</v>
      </c>
      <c r="D81">
        <v>26.77</v>
      </c>
      <c r="E81">
        <v>28.68</v>
      </c>
      <c r="F81">
        <v>38.21</v>
      </c>
      <c r="G81">
        <v>22.5</v>
      </c>
      <c r="H81">
        <v>28.32</v>
      </c>
      <c r="I81">
        <v>54.99</v>
      </c>
      <c r="J81">
        <v>57.26</v>
      </c>
      <c r="K81">
        <v>62.6</v>
      </c>
      <c r="L81">
        <v>26.77</v>
      </c>
      <c r="M81">
        <v>87.75</v>
      </c>
      <c r="N81">
        <f t="shared" si="33"/>
        <v>57.26</v>
      </c>
      <c r="O81">
        <v>60.98</v>
      </c>
      <c r="P81">
        <v>57.26</v>
      </c>
      <c r="Q81">
        <v>14.96</v>
      </c>
      <c r="T81">
        <v>27.32</v>
      </c>
      <c r="U81">
        <v>25.76</v>
      </c>
      <c r="V81">
        <v>97.86</v>
      </c>
      <c r="W81">
        <v>39.57</v>
      </c>
      <c r="X81">
        <v>26.05</v>
      </c>
      <c r="Y81">
        <v>98.75</v>
      </c>
      <c r="Z81">
        <v>41.22</v>
      </c>
      <c r="AA81">
        <v>22.33</v>
      </c>
      <c r="AB81">
        <v>50.34</v>
      </c>
      <c r="AC81">
        <v>53.24</v>
      </c>
      <c r="AD81">
        <v>97.86</v>
      </c>
      <c r="AE81">
        <v>2.81</v>
      </c>
      <c r="AF81">
        <f t="shared" si="34"/>
        <v>50.335000000000001</v>
      </c>
      <c r="AG81">
        <v>95.05</v>
      </c>
      <c r="AH81">
        <v>50.34</v>
      </c>
      <c r="AI81">
        <v>0.79</v>
      </c>
      <c r="AL81">
        <v>35.22</v>
      </c>
      <c r="AM81">
        <v>40.130000000000003</v>
      </c>
      <c r="AN81">
        <v>20.71</v>
      </c>
      <c r="AO81">
        <v>23.66</v>
      </c>
      <c r="AP81">
        <v>38.08</v>
      </c>
      <c r="AQ81">
        <v>16.36</v>
      </c>
      <c r="AR81">
        <v>22.89</v>
      </c>
      <c r="AS81">
        <v>52.99</v>
      </c>
      <c r="AT81">
        <v>55.94</v>
      </c>
      <c r="AU81">
        <v>62.26</v>
      </c>
      <c r="AV81">
        <v>20.71</v>
      </c>
      <c r="AW81">
        <v>91.17</v>
      </c>
      <c r="AX81">
        <f t="shared" si="35"/>
        <v>55.94</v>
      </c>
      <c r="AY81">
        <v>70.459999999999994</v>
      </c>
      <c r="AZ81">
        <v>55.94</v>
      </c>
      <c r="BA81">
        <v>13.37</v>
      </c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1"/>
      <c r="BQ81" s="1"/>
      <c r="BR81" s="1"/>
    </row>
    <row r="82" spans="1:70" x14ac:dyDescent="0.25">
      <c r="A82" s="1"/>
      <c r="B82">
        <v>32.49</v>
      </c>
      <c r="C82">
        <v>36.200000000000003</v>
      </c>
      <c r="D82">
        <v>28.68</v>
      </c>
      <c r="E82">
        <v>30.05</v>
      </c>
      <c r="F82">
        <v>38.630000000000003</v>
      </c>
      <c r="G82">
        <v>29.95</v>
      </c>
      <c r="H82">
        <v>33.74</v>
      </c>
      <c r="I82">
        <v>56.53</v>
      </c>
      <c r="J82">
        <v>57.42</v>
      </c>
      <c r="K82">
        <v>64.41</v>
      </c>
      <c r="L82">
        <v>28.68</v>
      </c>
      <c r="M82">
        <v>86.17</v>
      </c>
      <c r="N82">
        <f t="shared" si="33"/>
        <v>57.424999999999997</v>
      </c>
      <c r="O82">
        <v>57.49</v>
      </c>
      <c r="P82">
        <v>57.42</v>
      </c>
      <c r="Q82">
        <v>15.6</v>
      </c>
      <c r="T82">
        <v>23.84</v>
      </c>
      <c r="U82">
        <v>27.66</v>
      </c>
      <c r="V82">
        <v>62.61</v>
      </c>
      <c r="W82">
        <v>19.59</v>
      </c>
      <c r="X82">
        <v>15.88</v>
      </c>
      <c r="Y82">
        <v>43.93</v>
      </c>
      <c r="Z82">
        <v>23.33</v>
      </c>
      <c r="AA82">
        <v>27.61</v>
      </c>
      <c r="AB82">
        <v>50.61</v>
      </c>
      <c r="AC82">
        <v>53.67</v>
      </c>
      <c r="AD82">
        <v>62.61</v>
      </c>
      <c r="AE82">
        <v>38.619999999999997</v>
      </c>
      <c r="AF82">
        <f t="shared" si="34"/>
        <v>50.614999999999995</v>
      </c>
      <c r="AG82">
        <v>23.99</v>
      </c>
      <c r="AH82">
        <v>50.61</v>
      </c>
      <c r="AI82">
        <v>0.74</v>
      </c>
      <c r="AL82">
        <v>32.44</v>
      </c>
      <c r="AM82">
        <v>35.950000000000003</v>
      </c>
      <c r="AN82">
        <v>26.25</v>
      </c>
      <c r="AO82">
        <v>28.37</v>
      </c>
      <c r="AP82">
        <v>41.16</v>
      </c>
      <c r="AQ82">
        <v>29.74</v>
      </c>
      <c r="AR82">
        <v>34.53</v>
      </c>
      <c r="AS82">
        <v>55.97</v>
      </c>
      <c r="AT82">
        <v>56.77</v>
      </c>
      <c r="AU82">
        <v>64.16</v>
      </c>
      <c r="AV82">
        <v>26.25</v>
      </c>
      <c r="AW82">
        <v>87.28</v>
      </c>
      <c r="AX82">
        <f t="shared" si="35"/>
        <v>56.765000000000001</v>
      </c>
      <c r="AY82">
        <v>61.03</v>
      </c>
      <c r="AZ82">
        <v>56.77</v>
      </c>
      <c r="BA82">
        <v>14.66</v>
      </c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1"/>
      <c r="BQ82" s="1"/>
      <c r="BR82" s="1"/>
    </row>
    <row r="83" spans="1:70" x14ac:dyDescent="0.25">
      <c r="B83">
        <v>25.79</v>
      </c>
      <c r="C83">
        <v>26.01</v>
      </c>
      <c r="D83">
        <v>36.380000000000003</v>
      </c>
      <c r="E83">
        <v>28.99</v>
      </c>
      <c r="F83">
        <v>31.19</v>
      </c>
      <c r="G83">
        <v>40.729999999999997</v>
      </c>
      <c r="H83">
        <v>35.33</v>
      </c>
      <c r="I83">
        <v>56.24</v>
      </c>
      <c r="J83">
        <v>58.72</v>
      </c>
      <c r="K83">
        <v>64.290000000000006</v>
      </c>
      <c r="L83">
        <v>36.380000000000003</v>
      </c>
      <c r="M83">
        <v>81.069999999999993</v>
      </c>
      <c r="N83">
        <f t="shared" si="33"/>
        <v>58.724999999999994</v>
      </c>
      <c r="O83">
        <v>44.68</v>
      </c>
      <c r="P83">
        <v>58.72</v>
      </c>
      <c r="Q83">
        <v>14.32</v>
      </c>
      <c r="T83">
        <v>19.07</v>
      </c>
      <c r="U83">
        <v>26.29</v>
      </c>
      <c r="V83">
        <v>59.82</v>
      </c>
      <c r="W83">
        <v>23.94</v>
      </c>
      <c r="X83">
        <v>18.399999999999999</v>
      </c>
      <c r="Y83">
        <v>63.17</v>
      </c>
      <c r="Z83">
        <v>28.49</v>
      </c>
      <c r="AA83">
        <v>35.729999999999997</v>
      </c>
      <c r="AB83">
        <v>51.9</v>
      </c>
      <c r="AC83">
        <v>56.48</v>
      </c>
      <c r="AD83">
        <v>59.82</v>
      </c>
      <c r="AE83">
        <v>43.98</v>
      </c>
      <c r="AF83">
        <f t="shared" si="34"/>
        <v>51.9</v>
      </c>
      <c r="AG83">
        <v>15.84</v>
      </c>
      <c r="AH83">
        <v>51.9</v>
      </c>
      <c r="AI83">
        <v>4.12</v>
      </c>
      <c r="AL83">
        <v>24.02</v>
      </c>
      <c r="AM83">
        <v>24.47</v>
      </c>
      <c r="AN83">
        <v>35.29</v>
      </c>
      <c r="AO83">
        <v>34.380000000000003</v>
      </c>
      <c r="AP83">
        <v>29.33</v>
      </c>
      <c r="AQ83">
        <v>37.979999999999997</v>
      </c>
      <c r="AR83">
        <v>33.1</v>
      </c>
      <c r="AS83">
        <v>54.49</v>
      </c>
      <c r="AT83">
        <v>58.06</v>
      </c>
      <c r="AU83">
        <v>62.69</v>
      </c>
      <c r="AV83">
        <v>35.29</v>
      </c>
      <c r="AW83">
        <v>80.84</v>
      </c>
      <c r="AX83">
        <f t="shared" si="35"/>
        <v>58.064999999999998</v>
      </c>
      <c r="AY83">
        <v>45.56</v>
      </c>
      <c r="AZ83">
        <v>58.06</v>
      </c>
      <c r="BA83">
        <v>12.37</v>
      </c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1"/>
      <c r="BQ83" s="1"/>
      <c r="BR83" s="1"/>
    </row>
    <row r="84" spans="1:70" x14ac:dyDescent="0.25">
      <c r="B84" s="2">
        <f>AVERAGE(B74:B83)</f>
        <v>26.322000000000003</v>
      </c>
      <c r="C84" s="2">
        <f t="shared" ref="C84:Q84" si="36">AVERAGE(C74:C83)</f>
        <v>27.933999999999997</v>
      </c>
      <c r="D84" s="2">
        <f t="shared" si="36"/>
        <v>40.19</v>
      </c>
      <c r="E84" s="2">
        <f t="shared" si="36"/>
        <v>29.419999999999998</v>
      </c>
      <c r="F84" s="2">
        <f t="shared" si="36"/>
        <v>29.324999999999999</v>
      </c>
      <c r="G84" s="2">
        <f t="shared" si="36"/>
        <v>41.277000000000001</v>
      </c>
      <c r="H84" s="2">
        <f t="shared" si="36"/>
        <v>31.637</v>
      </c>
      <c r="I84" s="2">
        <f t="shared" si="36"/>
        <v>54.097999999999999</v>
      </c>
      <c r="J84" s="2">
        <f t="shared" si="36"/>
        <v>57.951999999999998</v>
      </c>
      <c r="K84" s="2">
        <f t="shared" si="36"/>
        <v>62.86099999999999</v>
      </c>
      <c r="L84" s="2">
        <f t="shared" si="36"/>
        <v>40.19</v>
      </c>
      <c r="M84" s="2">
        <f t="shared" si="36"/>
        <v>75.716000000000008</v>
      </c>
      <c r="N84" s="2">
        <f t="shared" si="36"/>
        <v>57.952999999999996</v>
      </c>
      <c r="O84" s="2">
        <f t="shared" si="36"/>
        <v>37.064000000000007</v>
      </c>
      <c r="P84" s="2">
        <f t="shared" si="36"/>
        <v>57.951999999999998</v>
      </c>
      <c r="Q84" s="2">
        <f t="shared" si="36"/>
        <v>13.664999999999997</v>
      </c>
      <c r="T84" s="2">
        <f>AVERAGE(T74:T83)</f>
        <v>19.112000000000002</v>
      </c>
      <c r="U84" s="2">
        <f t="shared" ref="U84:AI84" si="37">AVERAGE(U74:U83)</f>
        <v>20.136999999999997</v>
      </c>
      <c r="V84" s="2">
        <f t="shared" si="37"/>
        <v>83.524000000000001</v>
      </c>
      <c r="W84" s="2">
        <f t="shared" si="37"/>
        <v>26.363</v>
      </c>
      <c r="X84" s="2">
        <f t="shared" si="37"/>
        <v>17.436</v>
      </c>
      <c r="Y84" s="2">
        <f t="shared" si="37"/>
        <v>78.778999999999996</v>
      </c>
      <c r="Z84" s="2">
        <f t="shared" si="37"/>
        <v>28.081</v>
      </c>
      <c r="AA84" s="2">
        <f t="shared" si="37"/>
        <v>22.381999999999998</v>
      </c>
      <c r="AB84" s="2">
        <f t="shared" si="37"/>
        <v>50.593999999999994</v>
      </c>
      <c r="AC84" s="2">
        <f t="shared" si="37"/>
        <v>52.762999999999998</v>
      </c>
      <c r="AD84" s="2">
        <f t="shared" si="37"/>
        <v>83.524000000000001</v>
      </c>
      <c r="AE84" s="2">
        <f t="shared" si="37"/>
        <v>17.660999999999998</v>
      </c>
      <c r="AF84" s="2">
        <f t="shared" si="37"/>
        <v>50.592499999999994</v>
      </c>
      <c r="AG84" s="2">
        <f t="shared" si="37"/>
        <v>65.863</v>
      </c>
      <c r="AH84" s="2">
        <f t="shared" si="37"/>
        <v>50.593999999999994</v>
      </c>
      <c r="AI84" s="2">
        <f t="shared" si="37"/>
        <v>1.2030000000000001</v>
      </c>
      <c r="AL84" s="2">
        <f>AVERAGE(AL74:AL83)</f>
        <v>25.704999999999995</v>
      </c>
      <c r="AM84" s="2">
        <f t="shared" ref="AM84:BA84" si="38">AVERAGE(AM74:AM83)</f>
        <v>27.106000000000005</v>
      </c>
      <c r="AN84" s="2">
        <f t="shared" si="38"/>
        <v>40.063000000000002</v>
      </c>
      <c r="AO84" s="2">
        <f t="shared" si="38"/>
        <v>28.561</v>
      </c>
      <c r="AP84" s="2">
        <f t="shared" si="38"/>
        <v>28.315000000000005</v>
      </c>
      <c r="AQ84" s="2">
        <f t="shared" si="38"/>
        <v>41.445000000000007</v>
      </c>
      <c r="AR84" s="2">
        <f t="shared" si="38"/>
        <v>30.248000000000001</v>
      </c>
      <c r="AS84" s="2">
        <f t="shared" si="38"/>
        <v>52.465999999999994</v>
      </c>
      <c r="AT84" s="2">
        <f t="shared" si="38"/>
        <v>57.14200000000001</v>
      </c>
      <c r="AU84" s="2">
        <f t="shared" si="38"/>
        <v>61.956999999999994</v>
      </c>
      <c r="AV84" s="2">
        <f t="shared" si="38"/>
        <v>40.063000000000002</v>
      </c>
      <c r="AW84" s="2">
        <f t="shared" si="38"/>
        <v>74.22</v>
      </c>
      <c r="AX84" s="2">
        <f t="shared" si="38"/>
        <v>57.141499999999994</v>
      </c>
      <c r="AY84" s="2">
        <f t="shared" si="38"/>
        <v>35.543999999999997</v>
      </c>
      <c r="AZ84" s="2">
        <f>AVERAGE(AZ74:AZ83)</f>
        <v>57.14200000000001</v>
      </c>
      <c r="BA84" s="2">
        <f t="shared" si="38"/>
        <v>12.253</v>
      </c>
      <c r="BP84" s="2"/>
      <c r="BQ84" s="2"/>
      <c r="BR84" s="2"/>
    </row>
    <row r="87" spans="1:70" x14ac:dyDescent="0.25">
      <c r="A87" s="1" t="s">
        <v>28</v>
      </c>
      <c r="B87">
        <v>15.9</v>
      </c>
      <c r="C87">
        <v>16.23</v>
      </c>
      <c r="D87">
        <v>53.94</v>
      </c>
      <c r="E87">
        <v>24.81</v>
      </c>
      <c r="F87">
        <v>16.260000000000002</v>
      </c>
      <c r="G87">
        <v>52.82</v>
      </c>
      <c r="H87">
        <v>24.87</v>
      </c>
      <c r="I87">
        <v>50.03</v>
      </c>
      <c r="J87">
        <v>59.07</v>
      </c>
      <c r="K87">
        <v>62.48</v>
      </c>
      <c r="L87">
        <v>53.94</v>
      </c>
      <c r="M87">
        <v>64.2</v>
      </c>
      <c r="N87">
        <f>(L87+M87)/2</f>
        <v>59.07</v>
      </c>
      <c r="O87">
        <v>10.26</v>
      </c>
      <c r="P87">
        <v>59.07</v>
      </c>
      <c r="Q87">
        <v>11.43</v>
      </c>
      <c r="S87" s="1" t="s">
        <v>41</v>
      </c>
      <c r="T87">
        <v>15.92</v>
      </c>
      <c r="U87">
        <v>16.03</v>
      </c>
      <c r="V87">
        <v>62.95</v>
      </c>
      <c r="W87">
        <v>25.29</v>
      </c>
      <c r="X87">
        <v>15.78</v>
      </c>
      <c r="Y87">
        <v>61.02</v>
      </c>
      <c r="Z87">
        <v>25.07</v>
      </c>
      <c r="AA87">
        <v>47.71</v>
      </c>
      <c r="AB87">
        <v>60.07</v>
      </c>
      <c r="AC87">
        <v>63</v>
      </c>
      <c r="AD87">
        <v>62.95</v>
      </c>
      <c r="AE87">
        <v>57.19</v>
      </c>
      <c r="AF87">
        <f>(AD87+AE87)/2</f>
        <v>60.07</v>
      </c>
      <c r="AG87">
        <v>5.76</v>
      </c>
      <c r="AH87">
        <v>60.07</v>
      </c>
      <c r="AI87">
        <v>12.38</v>
      </c>
      <c r="AK87" s="1" t="s">
        <v>54</v>
      </c>
      <c r="AL87">
        <v>15.2</v>
      </c>
      <c r="AM87">
        <v>16.36</v>
      </c>
      <c r="AN87">
        <v>58.74</v>
      </c>
      <c r="AO87">
        <v>25.25</v>
      </c>
      <c r="AP87">
        <v>16.28</v>
      </c>
      <c r="AQ87">
        <v>57.19</v>
      </c>
      <c r="AR87">
        <v>25.35</v>
      </c>
      <c r="AS87">
        <v>49.4</v>
      </c>
      <c r="AT87">
        <v>60.11</v>
      </c>
      <c r="AU87">
        <v>61.83</v>
      </c>
      <c r="AV87">
        <v>58.74</v>
      </c>
      <c r="AW87">
        <v>61.47</v>
      </c>
      <c r="AX87">
        <f>(AV87+AW87)/2</f>
        <v>60.105000000000004</v>
      </c>
      <c r="AY87">
        <v>2.73</v>
      </c>
      <c r="AZ87">
        <v>60.11</v>
      </c>
      <c r="BA87">
        <v>12.66</v>
      </c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">
        <f t="shared" ref="BP87:BP96" si="39">(O87+AG87+AY87)/3</f>
        <v>6.25</v>
      </c>
      <c r="BQ87" s="1">
        <f t="shared" ref="BQ87:BQ96" si="40">(P87+AH87+AZ87)/3</f>
        <v>59.75</v>
      </c>
      <c r="BR87" s="1">
        <f t="shared" ref="BR87:BR96" si="41">(Q87+AI87+BA87)/3</f>
        <v>12.156666666666666</v>
      </c>
    </row>
    <row r="88" spans="1:70" x14ac:dyDescent="0.25">
      <c r="A88" s="1"/>
      <c r="B88">
        <v>16.82</v>
      </c>
      <c r="C88">
        <v>20.27</v>
      </c>
      <c r="D88">
        <v>23.1</v>
      </c>
      <c r="E88">
        <v>20.53</v>
      </c>
      <c r="F88">
        <v>19.48</v>
      </c>
      <c r="G88">
        <v>21.99</v>
      </c>
      <c r="H88">
        <v>20.66</v>
      </c>
      <c r="I88">
        <v>54.68</v>
      </c>
      <c r="J88">
        <v>55.64</v>
      </c>
      <c r="K88">
        <v>64.36</v>
      </c>
      <c r="L88">
        <v>23.1</v>
      </c>
      <c r="M88">
        <v>88.17</v>
      </c>
      <c r="N88">
        <f t="shared" ref="N88:N96" si="42">(L88+M88)/2</f>
        <v>55.635000000000005</v>
      </c>
      <c r="O88">
        <v>65.06</v>
      </c>
      <c r="P88">
        <v>55.64</v>
      </c>
      <c r="Q88">
        <v>10.39</v>
      </c>
      <c r="T88">
        <v>15.86</v>
      </c>
      <c r="U88">
        <v>17.68</v>
      </c>
      <c r="V88">
        <v>27.2</v>
      </c>
      <c r="W88">
        <v>20.68</v>
      </c>
      <c r="X88">
        <v>17</v>
      </c>
      <c r="Y88">
        <v>26.45</v>
      </c>
      <c r="Z88">
        <v>20.7</v>
      </c>
      <c r="AA88">
        <v>53.44</v>
      </c>
      <c r="AB88">
        <v>55.18</v>
      </c>
      <c r="AC88">
        <v>62.91</v>
      </c>
      <c r="AD88">
        <v>27.2</v>
      </c>
      <c r="AE88">
        <v>83.16</v>
      </c>
      <c r="AF88">
        <f t="shared" ref="AF88:AF96" si="43">(AD88+AE88)/2</f>
        <v>55.18</v>
      </c>
      <c r="AG88">
        <v>55.96</v>
      </c>
      <c r="AH88">
        <v>55.18</v>
      </c>
      <c r="AI88">
        <v>8.6199999999999992</v>
      </c>
      <c r="AL88">
        <v>14.95</v>
      </c>
      <c r="AM88">
        <v>16.36</v>
      </c>
      <c r="AN88">
        <v>27.93</v>
      </c>
      <c r="AO88">
        <v>20.3</v>
      </c>
      <c r="AP88">
        <v>16.38</v>
      </c>
      <c r="AQ88">
        <v>27.74</v>
      </c>
      <c r="AR88">
        <v>20.6</v>
      </c>
      <c r="AS88">
        <v>52.79</v>
      </c>
      <c r="AT88">
        <v>54.68</v>
      </c>
      <c r="AU88">
        <v>61.71</v>
      </c>
      <c r="AV88">
        <v>27.93</v>
      </c>
      <c r="AW88">
        <v>81.44</v>
      </c>
      <c r="AX88">
        <f t="shared" ref="AX88:AX96" si="44">(AV88+AW88)/2</f>
        <v>54.685000000000002</v>
      </c>
      <c r="AY88">
        <v>53.51</v>
      </c>
      <c r="AZ88">
        <v>54.68</v>
      </c>
      <c r="BA88">
        <v>7.41</v>
      </c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">
        <f t="shared" si="39"/>
        <v>58.176666666666669</v>
      </c>
      <c r="BQ88" s="1">
        <f t="shared" si="40"/>
        <v>55.166666666666664</v>
      </c>
      <c r="BR88" s="1">
        <f t="shared" si="41"/>
        <v>8.8066666666666666</v>
      </c>
    </row>
    <row r="89" spans="1:70" x14ac:dyDescent="0.25">
      <c r="A89" s="1"/>
      <c r="B89">
        <v>37.119999999999997</v>
      </c>
      <c r="C89">
        <v>38.65</v>
      </c>
      <c r="D89">
        <v>43.84</v>
      </c>
      <c r="E89">
        <v>39.94</v>
      </c>
      <c r="F89">
        <v>41.65</v>
      </c>
      <c r="G89">
        <v>48.9</v>
      </c>
      <c r="H89">
        <v>44.98</v>
      </c>
      <c r="I89">
        <v>58.12</v>
      </c>
      <c r="J89">
        <v>58.99</v>
      </c>
      <c r="K89">
        <v>64.86</v>
      </c>
      <c r="L89">
        <v>43.84</v>
      </c>
      <c r="M89">
        <v>74.14</v>
      </c>
      <c r="N89">
        <f t="shared" si="42"/>
        <v>58.99</v>
      </c>
      <c r="O89">
        <v>30.3</v>
      </c>
      <c r="P89">
        <v>58.99</v>
      </c>
      <c r="Q89">
        <v>17.72</v>
      </c>
      <c r="T89">
        <v>35.950000000000003</v>
      </c>
      <c r="U89">
        <v>36.299999999999997</v>
      </c>
      <c r="V89">
        <v>43.26</v>
      </c>
      <c r="W89">
        <v>38.04</v>
      </c>
      <c r="X89">
        <v>37.409999999999997</v>
      </c>
      <c r="Y89">
        <v>45.61</v>
      </c>
      <c r="Z89">
        <v>41.1</v>
      </c>
      <c r="AA89">
        <v>55.91</v>
      </c>
      <c r="AB89">
        <v>57.59</v>
      </c>
      <c r="AC89">
        <v>63.04</v>
      </c>
      <c r="AD89">
        <v>43.26</v>
      </c>
      <c r="AE89">
        <v>71.91</v>
      </c>
      <c r="AF89">
        <f t="shared" si="43"/>
        <v>57.584999999999994</v>
      </c>
      <c r="AG89">
        <v>28.64</v>
      </c>
      <c r="AH89">
        <v>57.59</v>
      </c>
      <c r="AI89">
        <v>14.51</v>
      </c>
      <c r="AL89">
        <v>34.42</v>
      </c>
      <c r="AM89">
        <v>34.74</v>
      </c>
      <c r="AN89">
        <v>48.59</v>
      </c>
      <c r="AO89">
        <v>40.24</v>
      </c>
      <c r="AP89">
        <v>38.130000000000003</v>
      </c>
      <c r="AQ89">
        <v>53.74</v>
      </c>
      <c r="AR89">
        <v>44.61</v>
      </c>
      <c r="AS89">
        <v>56.12</v>
      </c>
      <c r="AT89">
        <v>57.92</v>
      </c>
      <c r="AU89">
        <v>62.75</v>
      </c>
      <c r="AV89">
        <v>48.59</v>
      </c>
      <c r="AW89">
        <v>67.239999999999995</v>
      </c>
      <c r="AX89">
        <f t="shared" si="44"/>
        <v>57.914999999999999</v>
      </c>
      <c r="AY89">
        <v>18.649999999999999</v>
      </c>
      <c r="AZ89">
        <v>57.92</v>
      </c>
      <c r="BA89">
        <v>14.43</v>
      </c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">
        <f t="shared" si="39"/>
        <v>25.863333333333333</v>
      </c>
      <c r="BQ89" s="1">
        <f t="shared" si="40"/>
        <v>58.166666666666664</v>
      </c>
      <c r="BR89" s="1">
        <f t="shared" si="41"/>
        <v>15.553333333333333</v>
      </c>
    </row>
    <row r="90" spans="1:70" x14ac:dyDescent="0.25">
      <c r="A90" s="1"/>
      <c r="B90">
        <v>17.329999999999998</v>
      </c>
      <c r="C90">
        <v>21.82</v>
      </c>
      <c r="D90">
        <v>17.5</v>
      </c>
      <c r="E90">
        <v>18.149999999999999</v>
      </c>
      <c r="F90">
        <v>21</v>
      </c>
      <c r="G90">
        <v>16.43</v>
      </c>
      <c r="H90">
        <v>18.440000000000001</v>
      </c>
      <c r="I90">
        <v>54.37</v>
      </c>
      <c r="J90">
        <v>54.73</v>
      </c>
      <c r="K90">
        <v>64.209999999999994</v>
      </c>
      <c r="L90">
        <v>17.5</v>
      </c>
      <c r="M90">
        <v>91.96</v>
      </c>
      <c r="N90">
        <f t="shared" si="42"/>
        <v>54.73</v>
      </c>
      <c r="O90">
        <v>74.459999999999994</v>
      </c>
      <c r="P90">
        <v>54.73</v>
      </c>
      <c r="Q90">
        <v>10.029999999999999</v>
      </c>
      <c r="T90">
        <v>16.579999999999998</v>
      </c>
      <c r="U90">
        <v>19.760000000000002</v>
      </c>
      <c r="V90">
        <v>19.670000000000002</v>
      </c>
      <c r="W90">
        <v>19.149999999999999</v>
      </c>
      <c r="X90">
        <v>19.329999999999998</v>
      </c>
      <c r="Y90">
        <v>19.09</v>
      </c>
      <c r="Z90">
        <v>19.21</v>
      </c>
      <c r="AA90">
        <v>54.31</v>
      </c>
      <c r="AB90">
        <v>54.63</v>
      </c>
      <c r="AC90">
        <v>63.23</v>
      </c>
      <c r="AD90">
        <v>19.670000000000002</v>
      </c>
      <c r="AE90">
        <v>89.6</v>
      </c>
      <c r="AF90">
        <f t="shared" si="43"/>
        <v>54.634999999999998</v>
      </c>
      <c r="AG90">
        <v>69.930000000000007</v>
      </c>
      <c r="AH90">
        <v>54.63</v>
      </c>
      <c r="AI90">
        <v>9.14</v>
      </c>
      <c r="AL90">
        <v>16.13</v>
      </c>
      <c r="AM90">
        <v>17.78</v>
      </c>
      <c r="AN90">
        <v>18.89</v>
      </c>
      <c r="AO90">
        <v>17.64</v>
      </c>
      <c r="AP90">
        <v>17.55</v>
      </c>
      <c r="AQ90">
        <v>18.2</v>
      </c>
      <c r="AR90">
        <v>17.87</v>
      </c>
      <c r="AS90">
        <v>53.32</v>
      </c>
      <c r="AT90">
        <v>53.86</v>
      </c>
      <c r="AU90">
        <v>62.75</v>
      </c>
      <c r="AV90">
        <v>18.89</v>
      </c>
      <c r="AW90">
        <v>88.84</v>
      </c>
      <c r="AX90">
        <f t="shared" si="44"/>
        <v>53.865000000000002</v>
      </c>
      <c r="AY90">
        <v>69.95</v>
      </c>
      <c r="AZ90">
        <v>53.86</v>
      </c>
      <c r="BA90">
        <v>7.28</v>
      </c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">
        <f t="shared" si="39"/>
        <v>71.446666666666658</v>
      </c>
      <c r="BQ90" s="1">
        <f t="shared" si="40"/>
        <v>54.406666666666666</v>
      </c>
      <c r="BR90" s="1">
        <f t="shared" si="41"/>
        <v>8.8166666666666682</v>
      </c>
    </row>
    <row r="91" spans="1:70" x14ac:dyDescent="0.25">
      <c r="A91" s="1"/>
      <c r="B91">
        <v>36.53</v>
      </c>
      <c r="C91">
        <v>43.45</v>
      </c>
      <c r="D91">
        <v>18.25</v>
      </c>
      <c r="E91">
        <v>22.86</v>
      </c>
      <c r="F91">
        <v>45.05</v>
      </c>
      <c r="G91">
        <v>16.079999999999998</v>
      </c>
      <c r="H91">
        <v>23.7</v>
      </c>
      <c r="I91">
        <v>53.11</v>
      </c>
      <c r="J91">
        <v>55.69</v>
      </c>
      <c r="K91">
        <v>64.22</v>
      </c>
      <c r="L91">
        <v>18.25</v>
      </c>
      <c r="M91">
        <v>93.13</v>
      </c>
      <c r="N91">
        <f t="shared" si="42"/>
        <v>55.69</v>
      </c>
      <c r="O91">
        <v>74.89</v>
      </c>
      <c r="P91">
        <v>55.69</v>
      </c>
      <c r="Q91">
        <v>14.3</v>
      </c>
      <c r="T91">
        <v>35.53</v>
      </c>
      <c r="U91">
        <v>40.659999999999997</v>
      </c>
      <c r="V91">
        <v>20.56</v>
      </c>
      <c r="W91">
        <v>24.59</v>
      </c>
      <c r="X91">
        <v>38.369999999999997</v>
      </c>
      <c r="Y91">
        <v>17.52</v>
      </c>
      <c r="Z91">
        <v>24.06</v>
      </c>
      <c r="AA91">
        <v>53.3</v>
      </c>
      <c r="AB91">
        <v>55.43</v>
      </c>
      <c r="AC91">
        <v>62.92</v>
      </c>
      <c r="AD91">
        <v>20.56</v>
      </c>
      <c r="AE91">
        <v>90.29</v>
      </c>
      <c r="AF91">
        <f t="shared" si="43"/>
        <v>55.425000000000004</v>
      </c>
      <c r="AG91">
        <v>69.739999999999995</v>
      </c>
      <c r="AH91">
        <v>55.43</v>
      </c>
      <c r="AI91">
        <v>12.97</v>
      </c>
      <c r="AL91">
        <v>35.14</v>
      </c>
      <c r="AM91">
        <v>39.24</v>
      </c>
      <c r="AN91">
        <v>19.8</v>
      </c>
      <c r="AO91">
        <v>22.67</v>
      </c>
      <c r="AP91">
        <v>40.299999999999997</v>
      </c>
      <c r="AQ91">
        <v>17.29</v>
      </c>
      <c r="AR91">
        <v>24.19</v>
      </c>
      <c r="AS91">
        <v>52.54</v>
      </c>
      <c r="AT91">
        <v>55.46</v>
      </c>
      <c r="AU91">
        <v>62.84</v>
      </c>
      <c r="AV91">
        <v>19.8</v>
      </c>
      <c r="AW91">
        <v>91.12</v>
      </c>
      <c r="AX91">
        <f t="shared" si="44"/>
        <v>55.46</v>
      </c>
      <c r="AY91">
        <v>71.31</v>
      </c>
      <c r="AZ91">
        <v>55.46</v>
      </c>
      <c r="BA91">
        <v>12.32</v>
      </c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">
        <f t="shared" si="39"/>
        <v>71.98</v>
      </c>
      <c r="BQ91" s="1">
        <f t="shared" si="40"/>
        <v>55.526666666666671</v>
      </c>
      <c r="BR91" s="1">
        <f t="shared" si="41"/>
        <v>13.196666666666667</v>
      </c>
    </row>
    <row r="92" spans="1:70" x14ac:dyDescent="0.25">
      <c r="A92" s="1"/>
      <c r="B92">
        <v>30.34</v>
      </c>
      <c r="C92">
        <v>32.409999999999997</v>
      </c>
      <c r="D92">
        <v>29.64</v>
      </c>
      <c r="E92">
        <v>28.36</v>
      </c>
      <c r="F92">
        <v>38.340000000000003</v>
      </c>
      <c r="G92">
        <v>38.28</v>
      </c>
      <c r="H92">
        <v>38.31</v>
      </c>
      <c r="I92">
        <v>54.16</v>
      </c>
      <c r="J92">
        <v>55.08</v>
      </c>
      <c r="K92">
        <v>61.78</v>
      </c>
      <c r="L92">
        <v>29.64</v>
      </c>
      <c r="M92">
        <v>80.52</v>
      </c>
      <c r="N92">
        <f t="shared" si="42"/>
        <v>55.08</v>
      </c>
      <c r="O92">
        <v>50.88</v>
      </c>
      <c r="P92">
        <v>55.08</v>
      </c>
      <c r="Q92">
        <v>11.23</v>
      </c>
      <c r="T92">
        <v>31.02</v>
      </c>
      <c r="U92">
        <v>32.770000000000003</v>
      </c>
      <c r="V92">
        <v>33.020000000000003</v>
      </c>
      <c r="W92">
        <v>31.5</v>
      </c>
      <c r="X92">
        <v>39.090000000000003</v>
      </c>
      <c r="Y92">
        <v>41.21</v>
      </c>
      <c r="Z92">
        <v>40.119999999999997</v>
      </c>
      <c r="AA92">
        <v>55.95</v>
      </c>
      <c r="AB92">
        <v>56.52</v>
      </c>
      <c r="AC92">
        <v>62.29</v>
      </c>
      <c r="AD92">
        <v>33.020000000000003</v>
      </c>
      <c r="AE92">
        <v>80.03</v>
      </c>
      <c r="AF92">
        <f t="shared" si="43"/>
        <v>56.525000000000006</v>
      </c>
      <c r="AG92">
        <v>47.01</v>
      </c>
      <c r="AH92">
        <v>56.52</v>
      </c>
      <c r="AI92">
        <v>13.44</v>
      </c>
      <c r="AL92">
        <v>29.72</v>
      </c>
      <c r="AM92">
        <v>31.67</v>
      </c>
      <c r="AN92">
        <v>30.66</v>
      </c>
      <c r="AO92">
        <v>29.65</v>
      </c>
      <c r="AP92">
        <v>39.270000000000003</v>
      </c>
      <c r="AQ92">
        <v>39.9</v>
      </c>
      <c r="AR92">
        <v>39.58</v>
      </c>
      <c r="AS92">
        <v>55</v>
      </c>
      <c r="AT92">
        <v>55.52</v>
      </c>
      <c r="AU92">
        <v>60.86</v>
      </c>
      <c r="AV92">
        <v>30.66</v>
      </c>
      <c r="AW92">
        <v>80.38</v>
      </c>
      <c r="AX92">
        <f t="shared" si="44"/>
        <v>55.519999999999996</v>
      </c>
      <c r="AY92">
        <v>49.72</v>
      </c>
      <c r="AZ92">
        <v>55.52</v>
      </c>
      <c r="BA92">
        <v>11.64</v>
      </c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">
        <f t="shared" si="39"/>
        <v>49.20333333333334</v>
      </c>
      <c r="BQ92" s="1">
        <f t="shared" si="40"/>
        <v>55.706666666666671</v>
      </c>
      <c r="BR92" s="1">
        <f t="shared" si="41"/>
        <v>12.103333333333333</v>
      </c>
    </row>
    <row r="93" spans="1:70" x14ac:dyDescent="0.25">
      <c r="A93" s="1"/>
      <c r="B93">
        <v>14.64</v>
      </c>
      <c r="C93">
        <v>15.91</v>
      </c>
      <c r="D93">
        <v>6.77</v>
      </c>
      <c r="E93">
        <v>8.8000000000000007</v>
      </c>
      <c r="F93">
        <v>18.239999999999998</v>
      </c>
      <c r="G93">
        <v>7.41</v>
      </c>
      <c r="H93">
        <v>10.54</v>
      </c>
      <c r="I93">
        <v>50.4</v>
      </c>
      <c r="J93">
        <v>51.2</v>
      </c>
      <c r="K93">
        <v>57.83</v>
      </c>
      <c r="L93">
        <v>6.77</v>
      </c>
      <c r="M93">
        <v>95.64</v>
      </c>
      <c r="N93">
        <f t="shared" si="42"/>
        <v>51.204999999999998</v>
      </c>
      <c r="O93">
        <v>88.87</v>
      </c>
      <c r="P93">
        <v>51.2</v>
      </c>
      <c r="Q93">
        <v>3.43</v>
      </c>
      <c r="T93">
        <v>16.510000000000002</v>
      </c>
      <c r="U93">
        <v>19.8</v>
      </c>
      <c r="V93">
        <v>20.16</v>
      </c>
      <c r="W93">
        <v>19.59</v>
      </c>
      <c r="X93">
        <v>19.88</v>
      </c>
      <c r="Y93">
        <v>20.12</v>
      </c>
      <c r="Z93">
        <v>20</v>
      </c>
      <c r="AA93">
        <v>54.5</v>
      </c>
      <c r="AB93">
        <v>54.77</v>
      </c>
      <c r="AC93">
        <v>63.03</v>
      </c>
      <c r="AD93">
        <v>20.16</v>
      </c>
      <c r="AE93">
        <v>89.39</v>
      </c>
      <c r="AF93">
        <f t="shared" si="43"/>
        <v>54.774999999999999</v>
      </c>
      <c r="AG93">
        <v>69.22</v>
      </c>
      <c r="AH93">
        <v>54.77</v>
      </c>
      <c r="AI93">
        <v>9.36</v>
      </c>
      <c r="AL93">
        <v>16.03</v>
      </c>
      <c r="AM93">
        <v>18.12</v>
      </c>
      <c r="AN93">
        <v>13.9</v>
      </c>
      <c r="AO93">
        <v>15.27</v>
      </c>
      <c r="AP93">
        <v>19.350000000000001</v>
      </c>
      <c r="AQ93">
        <v>14.53</v>
      </c>
      <c r="AR93">
        <v>16.59</v>
      </c>
      <c r="AS93">
        <v>52.89</v>
      </c>
      <c r="AT93">
        <v>52.96</v>
      </c>
      <c r="AU93">
        <v>61.9</v>
      </c>
      <c r="AV93">
        <v>13.9</v>
      </c>
      <c r="AW93">
        <v>92.02</v>
      </c>
      <c r="AX93">
        <f t="shared" si="44"/>
        <v>52.96</v>
      </c>
      <c r="AY93">
        <v>78.13</v>
      </c>
      <c r="AZ93">
        <v>52.96</v>
      </c>
      <c r="BA93">
        <v>6.47</v>
      </c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">
        <f t="shared" si="39"/>
        <v>78.739999999999995</v>
      </c>
      <c r="BQ93" s="1">
        <f t="shared" si="40"/>
        <v>52.976666666666667</v>
      </c>
      <c r="BR93" s="1">
        <f t="shared" si="41"/>
        <v>6.419999999999999</v>
      </c>
    </row>
    <row r="94" spans="1:70" x14ac:dyDescent="0.25">
      <c r="A94" s="1"/>
      <c r="B94">
        <v>30.79</v>
      </c>
      <c r="C94">
        <v>40.19</v>
      </c>
      <c r="D94">
        <v>4.4400000000000004</v>
      </c>
      <c r="E94">
        <v>22.97</v>
      </c>
      <c r="F94">
        <v>32.22</v>
      </c>
      <c r="G94">
        <v>2.77</v>
      </c>
      <c r="H94">
        <v>5.0999999999999996</v>
      </c>
      <c r="I94">
        <v>45.27</v>
      </c>
      <c r="J94">
        <v>51.33</v>
      </c>
      <c r="K94">
        <v>57.63</v>
      </c>
      <c r="L94">
        <v>4.4400000000000004</v>
      </c>
      <c r="M94">
        <v>98.21</v>
      </c>
      <c r="N94">
        <f t="shared" si="42"/>
        <v>51.324999999999996</v>
      </c>
      <c r="O94">
        <v>93.78</v>
      </c>
      <c r="P94">
        <v>51.33</v>
      </c>
      <c r="Q94">
        <v>4.2300000000000004</v>
      </c>
      <c r="T94">
        <v>35.299999999999997</v>
      </c>
      <c r="U94">
        <v>36.51</v>
      </c>
      <c r="V94">
        <v>17.760000000000002</v>
      </c>
      <c r="W94">
        <v>20.09</v>
      </c>
      <c r="X94">
        <v>36.96</v>
      </c>
      <c r="Y94">
        <v>12.42</v>
      </c>
      <c r="Z94">
        <v>18.59</v>
      </c>
      <c r="AA94">
        <v>51.49</v>
      </c>
      <c r="AB94">
        <v>55.48</v>
      </c>
      <c r="AC94">
        <v>62.69</v>
      </c>
      <c r="AD94">
        <v>17.760000000000002</v>
      </c>
      <c r="AE94">
        <v>93.2</v>
      </c>
      <c r="AF94">
        <f t="shared" si="43"/>
        <v>55.480000000000004</v>
      </c>
      <c r="AG94">
        <v>75.44</v>
      </c>
      <c r="AH94">
        <v>55.48</v>
      </c>
      <c r="AI94">
        <v>11.81</v>
      </c>
      <c r="AL94">
        <v>33.46</v>
      </c>
      <c r="AM94">
        <v>55.74</v>
      </c>
      <c r="AN94">
        <v>9.5299999999999994</v>
      </c>
      <c r="AO94">
        <v>11.88</v>
      </c>
      <c r="AP94">
        <v>34.200000000000003</v>
      </c>
      <c r="AQ94">
        <v>5.86</v>
      </c>
      <c r="AR94">
        <v>10</v>
      </c>
      <c r="AS94">
        <v>47.83</v>
      </c>
      <c r="AT94">
        <v>53.05</v>
      </c>
      <c r="AU94">
        <v>60.53</v>
      </c>
      <c r="AV94">
        <v>9.5299999999999994</v>
      </c>
      <c r="AW94">
        <v>96.57</v>
      </c>
      <c r="AX94">
        <f t="shared" si="44"/>
        <v>53.05</v>
      </c>
      <c r="AY94">
        <v>87.04</v>
      </c>
      <c r="AZ94">
        <v>53.05</v>
      </c>
      <c r="BA94">
        <v>7.66</v>
      </c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">
        <f t="shared" si="39"/>
        <v>85.42</v>
      </c>
      <c r="BQ94" s="1">
        <f t="shared" si="40"/>
        <v>53.286666666666669</v>
      </c>
      <c r="BR94" s="1">
        <f t="shared" si="41"/>
        <v>7.8999999999999995</v>
      </c>
    </row>
    <row r="95" spans="1:70" x14ac:dyDescent="0.25">
      <c r="A95" s="1"/>
      <c r="B95">
        <v>25.93</v>
      </c>
      <c r="C95">
        <v>52.73</v>
      </c>
      <c r="D95">
        <v>4.8099999999999996</v>
      </c>
      <c r="E95">
        <v>18.59</v>
      </c>
      <c r="F95">
        <v>39.86</v>
      </c>
      <c r="G95">
        <v>7.43</v>
      </c>
      <c r="H95">
        <v>12.52</v>
      </c>
      <c r="I95">
        <v>46.68</v>
      </c>
      <c r="J95">
        <v>50.53</v>
      </c>
      <c r="K95">
        <v>56.06</v>
      </c>
      <c r="L95">
        <v>4.8099999999999996</v>
      </c>
      <c r="M95">
        <v>96.24</v>
      </c>
      <c r="N95">
        <f t="shared" si="42"/>
        <v>50.524999999999999</v>
      </c>
      <c r="O95">
        <v>91.42</v>
      </c>
      <c r="P95">
        <v>50.53</v>
      </c>
      <c r="Q95">
        <v>1.54</v>
      </c>
      <c r="T95">
        <v>29.61</v>
      </c>
      <c r="U95">
        <v>34.94</v>
      </c>
      <c r="V95">
        <v>16.13</v>
      </c>
      <c r="W95">
        <v>19.87</v>
      </c>
      <c r="X95">
        <v>39.9</v>
      </c>
      <c r="Y95">
        <v>18.329999999999998</v>
      </c>
      <c r="Z95">
        <v>25.12</v>
      </c>
      <c r="AA95">
        <v>52.25</v>
      </c>
      <c r="AB95">
        <v>53.82</v>
      </c>
      <c r="AC95">
        <v>61.4</v>
      </c>
      <c r="AD95">
        <v>16.13</v>
      </c>
      <c r="AE95">
        <v>91.51</v>
      </c>
      <c r="AF95">
        <f t="shared" si="43"/>
        <v>53.82</v>
      </c>
      <c r="AG95">
        <v>75.38</v>
      </c>
      <c r="AH95">
        <v>53.82</v>
      </c>
      <c r="AI95">
        <v>9.56</v>
      </c>
      <c r="AL95">
        <v>28.72</v>
      </c>
      <c r="AM95">
        <v>56.37</v>
      </c>
      <c r="AN95">
        <v>9.23</v>
      </c>
      <c r="AO95">
        <v>23.96</v>
      </c>
      <c r="AP95">
        <v>42.06</v>
      </c>
      <c r="AQ95">
        <v>12.6</v>
      </c>
      <c r="AR95">
        <v>19.39</v>
      </c>
      <c r="AS95">
        <v>49.15</v>
      </c>
      <c r="AT95">
        <v>51.77</v>
      </c>
      <c r="AU95">
        <v>60.83</v>
      </c>
      <c r="AV95">
        <v>9.23</v>
      </c>
      <c r="AW95">
        <v>94.31</v>
      </c>
      <c r="AX95">
        <f t="shared" si="44"/>
        <v>51.77</v>
      </c>
      <c r="AY95">
        <v>85.09</v>
      </c>
      <c r="AZ95">
        <v>51.77</v>
      </c>
      <c r="BA95">
        <v>4.82</v>
      </c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">
        <f t="shared" si="39"/>
        <v>83.963333333333338</v>
      </c>
      <c r="BQ95" s="1">
        <f t="shared" si="40"/>
        <v>52.04</v>
      </c>
      <c r="BR95" s="1">
        <f t="shared" si="41"/>
        <v>5.3066666666666675</v>
      </c>
    </row>
    <row r="96" spans="1:70" x14ac:dyDescent="0.25">
      <c r="A96" s="1"/>
      <c r="B96">
        <v>19.600000000000001</v>
      </c>
      <c r="C96">
        <v>41.84</v>
      </c>
      <c r="D96">
        <v>14.93</v>
      </c>
      <c r="E96">
        <v>22.27</v>
      </c>
      <c r="F96">
        <v>32.65</v>
      </c>
      <c r="G96">
        <v>26.2</v>
      </c>
      <c r="H96">
        <v>29.07</v>
      </c>
      <c r="I96">
        <v>49.63</v>
      </c>
      <c r="J96">
        <v>51.1</v>
      </c>
      <c r="K96">
        <v>54.46</v>
      </c>
      <c r="L96">
        <v>14.93</v>
      </c>
      <c r="M96">
        <v>87.28</v>
      </c>
      <c r="N96">
        <f t="shared" si="42"/>
        <v>51.105000000000004</v>
      </c>
      <c r="O96">
        <v>72.349999999999994</v>
      </c>
      <c r="P96">
        <v>51.1</v>
      </c>
      <c r="Q96">
        <v>2.54</v>
      </c>
      <c r="T96">
        <v>23.11</v>
      </c>
      <c r="U96">
        <v>26.34</v>
      </c>
      <c r="V96">
        <v>24.85</v>
      </c>
      <c r="W96">
        <v>32.22</v>
      </c>
      <c r="X96">
        <v>36.08</v>
      </c>
      <c r="Y96">
        <v>36.61</v>
      </c>
      <c r="Z96">
        <v>36.340000000000003</v>
      </c>
      <c r="AA96">
        <v>54.56</v>
      </c>
      <c r="AB96">
        <v>55.06</v>
      </c>
      <c r="AC96">
        <v>60.67</v>
      </c>
      <c r="AD96">
        <v>24.85</v>
      </c>
      <c r="AE96">
        <v>85.26</v>
      </c>
      <c r="AF96">
        <f t="shared" si="43"/>
        <v>55.055000000000007</v>
      </c>
      <c r="AG96">
        <v>60.4</v>
      </c>
      <c r="AH96">
        <v>55.06</v>
      </c>
      <c r="AI96">
        <v>10.82</v>
      </c>
      <c r="AL96">
        <v>21.44</v>
      </c>
      <c r="AM96">
        <v>48.07</v>
      </c>
      <c r="AN96">
        <v>20.98</v>
      </c>
      <c r="AO96">
        <v>19.600000000000001</v>
      </c>
      <c r="AP96">
        <v>35.89</v>
      </c>
      <c r="AQ96">
        <v>34.17</v>
      </c>
      <c r="AR96">
        <v>35.01</v>
      </c>
      <c r="AS96">
        <v>52.33</v>
      </c>
      <c r="AT96">
        <v>53.37</v>
      </c>
      <c r="AU96">
        <v>58.9</v>
      </c>
      <c r="AV96">
        <v>20.98</v>
      </c>
      <c r="AW96">
        <v>85.76</v>
      </c>
      <c r="AX96">
        <f t="shared" si="44"/>
        <v>53.370000000000005</v>
      </c>
      <c r="AY96">
        <v>64.78</v>
      </c>
      <c r="AZ96">
        <v>53.37</v>
      </c>
      <c r="BA96">
        <v>7.66</v>
      </c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">
        <f t="shared" si="39"/>
        <v>65.843333333333334</v>
      </c>
      <c r="BQ96" s="1">
        <f t="shared" si="40"/>
        <v>53.176666666666669</v>
      </c>
      <c r="BR96" s="1">
        <f t="shared" si="41"/>
        <v>7.0066666666666668</v>
      </c>
    </row>
    <row r="97" spans="1:70" x14ac:dyDescent="0.25">
      <c r="A97" s="1"/>
      <c r="B97" s="2">
        <f>AVERAGE(B87:B96)</f>
        <v>24.5</v>
      </c>
      <c r="C97" s="2">
        <f t="shared" ref="C97:Q97" si="45">AVERAGE(C87:C96)</f>
        <v>32.35</v>
      </c>
      <c r="D97" s="2">
        <f t="shared" si="45"/>
        <v>21.722000000000001</v>
      </c>
      <c r="E97" s="2">
        <f t="shared" si="45"/>
        <v>22.728000000000002</v>
      </c>
      <c r="F97" s="2">
        <f t="shared" si="45"/>
        <v>30.475000000000001</v>
      </c>
      <c r="G97" s="2">
        <f t="shared" si="45"/>
        <v>23.831000000000003</v>
      </c>
      <c r="H97" s="2">
        <f t="shared" si="45"/>
        <v>22.818999999999996</v>
      </c>
      <c r="I97" s="2">
        <f t="shared" si="45"/>
        <v>51.645000000000003</v>
      </c>
      <c r="J97" s="2">
        <f t="shared" si="45"/>
        <v>54.335999999999999</v>
      </c>
      <c r="K97" s="2">
        <f t="shared" si="45"/>
        <v>60.789000000000001</v>
      </c>
      <c r="L97" s="2">
        <f t="shared" si="45"/>
        <v>21.722000000000001</v>
      </c>
      <c r="M97" s="2">
        <f t="shared" si="45"/>
        <v>86.948999999999998</v>
      </c>
      <c r="N97" s="2">
        <f t="shared" si="45"/>
        <v>54.335499999999989</v>
      </c>
      <c r="O97" s="2">
        <f t="shared" si="45"/>
        <v>65.227000000000004</v>
      </c>
      <c r="P97" s="2">
        <f t="shared" si="45"/>
        <v>54.335999999999999</v>
      </c>
      <c r="Q97" s="2">
        <f t="shared" si="45"/>
        <v>8.6840000000000028</v>
      </c>
      <c r="T97" s="2">
        <f>AVERAGE(T87:T96)</f>
        <v>25.539000000000005</v>
      </c>
      <c r="U97" s="2">
        <f t="shared" ref="U97:AI97" si="46">AVERAGE(U87:U96)</f>
        <v>28.079000000000001</v>
      </c>
      <c r="V97" s="2">
        <f t="shared" si="46"/>
        <v>28.556000000000001</v>
      </c>
      <c r="W97" s="2">
        <f t="shared" si="46"/>
        <v>25.102</v>
      </c>
      <c r="X97" s="2">
        <f t="shared" si="46"/>
        <v>29.979999999999997</v>
      </c>
      <c r="Y97" s="2">
        <f t="shared" si="46"/>
        <v>29.838000000000001</v>
      </c>
      <c r="Z97" s="2">
        <f t="shared" si="46"/>
        <v>27.031000000000006</v>
      </c>
      <c r="AA97" s="2">
        <f t="shared" si="46"/>
        <v>53.342000000000006</v>
      </c>
      <c r="AB97" s="2">
        <f t="shared" si="46"/>
        <v>55.854999999999997</v>
      </c>
      <c r="AC97" s="2">
        <f t="shared" si="46"/>
        <v>62.517999999999994</v>
      </c>
      <c r="AD97" s="2">
        <f t="shared" si="46"/>
        <v>28.556000000000001</v>
      </c>
      <c r="AE97" s="2">
        <f t="shared" si="46"/>
        <v>83.154000000000011</v>
      </c>
      <c r="AF97" s="2">
        <f t="shared" si="46"/>
        <v>55.854999999999997</v>
      </c>
      <c r="AG97" s="2">
        <f t="shared" si="46"/>
        <v>55.748000000000005</v>
      </c>
      <c r="AH97" s="2">
        <f t="shared" si="46"/>
        <v>55.854999999999997</v>
      </c>
      <c r="AI97" s="2">
        <f t="shared" si="46"/>
        <v>11.261000000000001</v>
      </c>
      <c r="AL97" s="2">
        <f>AVERAGE(AL87:AL96)</f>
        <v>24.521000000000001</v>
      </c>
      <c r="AM97" s="2">
        <f t="shared" ref="AM97:BA97" si="47">AVERAGE(AM87:AM96)</f>
        <v>33.445000000000007</v>
      </c>
      <c r="AN97" s="2">
        <f t="shared" si="47"/>
        <v>25.824999999999999</v>
      </c>
      <c r="AO97" s="2">
        <f t="shared" si="47"/>
        <v>22.646000000000001</v>
      </c>
      <c r="AP97" s="2">
        <f t="shared" si="47"/>
        <v>29.940999999999995</v>
      </c>
      <c r="AQ97" s="2">
        <f t="shared" si="47"/>
        <v>28.121999999999996</v>
      </c>
      <c r="AR97" s="2">
        <f t="shared" si="47"/>
        <v>25.318999999999999</v>
      </c>
      <c r="AS97" s="2">
        <f t="shared" si="47"/>
        <v>52.137</v>
      </c>
      <c r="AT97" s="2">
        <f t="shared" si="47"/>
        <v>54.86999999999999</v>
      </c>
      <c r="AU97" s="2">
        <f t="shared" si="47"/>
        <v>61.489999999999995</v>
      </c>
      <c r="AV97" s="2">
        <f t="shared" si="47"/>
        <v>25.824999999999999</v>
      </c>
      <c r="AW97" s="2">
        <f t="shared" si="47"/>
        <v>83.914999999999992</v>
      </c>
      <c r="AX97" s="2">
        <f t="shared" si="47"/>
        <v>54.870000000000005</v>
      </c>
      <c r="AY97" s="2">
        <f t="shared" si="47"/>
        <v>58.090999999999994</v>
      </c>
      <c r="AZ97" s="2">
        <f t="shared" si="47"/>
        <v>54.86999999999999</v>
      </c>
      <c r="BA97" s="2">
        <f t="shared" si="47"/>
        <v>9.2349999999999994</v>
      </c>
      <c r="BP97" s="2">
        <f t="shared" ref="BP97:BR97" si="48">AVERAGE(BP87:BP96)</f>
        <v>59.688666666666677</v>
      </c>
      <c r="BQ97" s="2">
        <f t="shared" si="48"/>
        <v>55.02033333333334</v>
      </c>
      <c r="BR97" s="2">
        <f t="shared" si="48"/>
        <v>9.7266666666666683</v>
      </c>
    </row>
    <row r="100" spans="1:70" x14ac:dyDescent="0.25">
      <c r="A100" s="1" t="s">
        <v>29</v>
      </c>
      <c r="B100">
        <v>15.8</v>
      </c>
      <c r="C100">
        <v>16.32</v>
      </c>
      <c r="D100">
        <v>41.36</v>
      </c>
      <c r="E100">
        <v>23.34</v>
      </c>
      <c r="F100">
        <v>16.82</v>
      </c>
      <c r="G100">
        <v>42.3</v>
      </c>
      <c r="H100">
        <v>24.07</v>
      </c>
      <c r="I100">
        <v>51.69</v>
      </c>
      <c r="J100">
        <v>56.83</v>
      </c>
      <c r="K100">
        <v>60.29</v>
      </c>
      <c r="L100">
        <v>41.36</v>
      </c>
      <c r="M100">
        <v>72.3</v>
      </c>
      <c r="N100">
        <f>(L100+M100)/2</f>
        <v>56.83</v>
      </c>
      <c r="O100">
        <v>30.94</v>
      </c>
      <c r="P100">
        <v>56.83</v>
      </c>
      <c r="Q100">
        <v>9.4</v>
      </c>
      <c r="S100" s="1" t="s">
        <v>42</v>
      </c>
      <c r="T100">
        <v>16</v>
      </c>
      <c r="U100">
        <v>16.170000000000002</v>
      </c>
      <c r="V100">
        <v>53.18</v>
      </c>
      <c r="W100">
        <v>24.75</v>
      </c>
      <c r="X100">
        <v>16.43</v>
      </c>
      <c r="Y100">
        <v>52.86</v>
      </c>
      <c r="Z100">
        <v>25.07</v>
      </c>
      <c r="AA100">
        <v>50.11</v>
      </c>
      <c r="AB100">
        <v>58.89</v>
      </c>
      <c r="AC100">
        <v>62.16</v>
      </c>
      <c r="AD100">
        <v>53.18</v>
      </c>
      <c r="AE100">
        <v>64.599999999999994</v>
      </c>
      <c r="AF100">
        <f>(AD100+AE100)/2</f>
        <v>58.89</v>
      </c>
      <c r="AG100">
        <v>11.41</v>
      </c>
      <c r="AH100">
        <v>58.89</v>
      </c>
      <c r="AI100">
        <v>11.25</v>
      </c>
      <c r="AK100" s="1" t="s">
        <v>49</v>
      </c>
      <c r="AL100">
        <v>16.02</v>
      </c>
      <c r="AM100">
        <v>17.11</v>
      </c>
      <c r="AN100">
        <v>44.43</v>
      </c>
      <c r="AO100">
        <v>24.43</v>
      </c>
      <c r="AP100">
        <v>17.059999999999999</v>
      </c>
      <c r="AQ100">
        <v>42.65</v>
      </c>
      <c r="AR100">
        <v>24.37</v>
      </c>
      <c r="AS100">
        <v>52.59</v>
      </c>
      <c r="AT100">
        <v>58.64</v>
      </c>
      <c r="AU100">
        <v>61.32</v>
      </c>
      <c r="AV100">
        <v>44.43</v>
      </c>
      <c r="AW100">
        <v>72.84</v>
      </c>
      <c r="AX100">
        <f>(AV100+AW100)/2</f>
        <v>58.635000000000005</v>
      </c>
      <c r="AY100">
        <v>28.42</v>
      </c>
      <c r="AZ100">
        <v>58.64</v>
      </c>
      <c r="BA100">
        <v>11.53</v>
      </c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">
        <f t="shared" ref="BP100:BP109" si="49">(O100+AG100+AY100)/3</f>
        <v>23.590000000000003</v>
      </c>
      <c r="BQ100" s="1">
        <f t="shared" ref="BQ100:BQ109" si="50">(P100+AH100+AZ100)/3</f>
        <v>58.120000000000005</v>
      </c>
      <c r="BR100" s="1">
        <f t="shared" ref="BR100:BR109" si="51">(Q100+AI100+BA100)/3</f>
        <v>10.726666666666667</v>
      </c>
    </row>
    <row r="101" spans="1:70" x14ac:dyDescent="0.25">
      <c r="B101">
        <v>18.920000000000002</v>
      </c>
      <c r="C101">
        <v>19.22</v>
      </c>
      <c r="D101">
        <v>40.99</v>
      </c>
      <c r="E101">
        <v>25.9</v>
      </c>
      <c r="F101">
        <v>19.350000000000001</v>
      </c>
      <c r="G101">
        <v>39.700000000000003</v>
      </c>
      <c r="H101">
        <v>26.02</v>
      </c>
      <c r="I101">
        <v>55</v>
      </c>
      <c r="J101">
        <v>59.66</v>
      </c>
      <c r="K101">
        <v>64.790000000000006</v>
      </c>
      <c r="L101">
        <v>40.99</v>
      </c>
      <c r="M101">
        <v>78.319999999999993</v>
      </c>
      <c r="N101">
        <f t="shared" ref="N101:N109" si="52">(L101+M101)/2</f>
        <v>59.655000000000001</v>
      </c>
      <c r="O101">
        <v>37.33</v>
      </c>
      <c r="P101">
        <v>59.66</v>
      </c>
      <c r="Q101">
        <v>13.88</v>
      </c>
      <c r="T101">
        <v>17.21</v>
      </c>
      <c r="U101">
        <v>19.61</v>
      </c>
      <c r="V101">
        <v>37.53</v>
      </c>
      <c r="W101">
        <v>25.34</v>
      </c>
      <c r="X101">
        <v>19.59</v>
      </c>
      <c r="Y101">
        <v>36.51</v>
      </c>
      <c r="Z101">
        <v>25.5</v>
      </c>
      <c r="AA101">
        <v>55.27</v>
      </c>
      <c r="AB101">
        <v>58.97</v>
      </c>
      <c r="AC101">
        <v>64.14</v>
      </c>
      <c r="AD101">
        <v>37.53</v>
      </c>
      <c r="AE101">
        <v>80.41</v>
      </c>
      <c r="AF101">
        <f t="shared" ref="AF101:AF109" si="53">(AD101+AE101)/2</f>
        <v>58.97</v>
      </c>
      <c r="AG101">
        <v>42.88</v>
      </c>
      <c r="AH101">
        <v>58.97</v>
      </c>
      <c r="AI101">
        <v>13.49</v>
      </c>
      <c r="AL101">
        <v>17.57</v>
      </c>
      <c r="AM101">
        <v>20.82</v>
      </c>
      <c r="AN101">
        <v>26.49</v>
      </c>
      <c r="AO101">
        <v>22.68</v>
      </c>
      <c r="AP101">
        <v>21.78</v>
      </c>
      <c r="AQ101">
        <v>26.38</v>
      </c>
      <c r="AR101">
        <v>23.86</v>
      </c>
      <c r="AS101">
        <v>55.71</v>
      </c>
      <c r="AT101">
        <v>57.01</v>
      </c>
      <c r="AU101">
        <v>63.35</v>
      </c>
      <c r="AV101">
        <v>26.49</v>
      </c>
      <c r="AW101">
        <v>87.54</v>
      </c>
      <c r="AX101">
        <f t="shared" ref="AX101:AX109" si="54">(AV101+AW101)/2</f>
        <v>57.015000000000001</v>
      </c>
      <c r="AY101">
        <v>61.05</v>
      </c>
      <c r="AZ101">
        <v>57.01</v>
      </c>
      <c r="BA101">
        <v>12.22</v>
      </c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1">
        <f t="shared" si="49"/>
        <v>47.086666666666666</v>
      </c>
      <c r="BQ101" s="1">
        <f t="shared" si="50"/>
        <v>58.54666666666666</v>
      </c>
      <c r="BR101" s="1">
        <f t="shared" si="51"/>
        <v>13.196666666666667</v>
      </c>
    </row>
    <row r="102" spans="1:70" x14ac:dyDescent="0.25">
      <c r="B102">
        <v>37.78</v>
      </c>
      <c r="C102">
        <v>35.44</v>
      </c>
      <c r="D102">
        <v>51.67</v>
      </c>
      <c r="E102">
        <v>41.44</v>
      </c>
      <c r="F102">
        <v>37.770000000000003</v>
      </c>
      <c r="G102">
        <v>52.2</v>
      </c>
      <c r="H102">
        <v>43.83</v>
      </c>
      <c r="I102">
        <v>57.62</v>
      </c>
      <c r="J102">
        <v>60.32</v>
      </c>
      <c r="K102">
        <v>64.91</v>
      </c>
      <c r="L102">
        <v>51.67</v>
      </c>
      <c r="M102">
        <v>68.959999999999994</v>
      </c>
      <c r="N102">
        <f t="shared" si="52"/>
        <v>60.314999999999998</v>
      </c>
      <c r="O102">
        <v>17.29</v>
      </c>
      <c r="P102">
        <v>60.32</v>
      </c>
      <c r="Q102">
        <v>17.43</v>
      </c>
      <c r="T102">
        <v>36.729999999999997</v>
      </c>
      <c r="U102">
        <v>36.08</v>
      </c>
      <c r="V102">
        <v>49.94</v>
      </c>
      <c r="W102">
        <v>41.14</v>
      </c>
      <c r="X102">
        <v>37.909999999999997</v>
      </c>
      <c r="Y102">
        <v>50.79</v>
      </c>
      <c r="Z102">
        <v>43.42</v>
      </c>
      <c r="AA102">
        <v>57.64</v>
      </c>
      <c r="AB102">
        <v>59.99</v>
      </c>
      <c r="AC102">
        <v>64.55</v>
      </c>
      <c r="AD102">
        <v>49.94</v>
      </c>
      <c r="AE102">
        <v>70.03</v>
      </c>
      <c r="AF102">
        <f t="shared" si="53"/>
        <v>59.984999999999999</v>
      </c>
      <c r="AG102">
        <v>20.09</v>
      </c>
      <c r="AH102">
        <v>59.99</v>
      </c>
      <c r="AI102">
        <v>17.350000000000001</v>
      </c>
      <c r="AL102">
        <v>36.92</v>
      </c>
      <c r="AM102">
        <v>36.01</v>
      </c>
      <c r="AN102">
        <v>46.65</v>
      </c>
      <c r="AO102">
        <v>40.04</v>
      </c>
      <c r="AP102">
        <v>40.31</v>
      </c>
      <c r="AQ102">
        <v>53.39</v>
      </c>
      <c r="AR102">
        <v>45.94</v>
      </c>
      <c r="AS102">
        <v>57</v>
      </c>
      <c r="AT102">
        <v>58.36</v>
      </c>
      <c r="AU102">
        <v>64.209999999999994</v>
      </c>
      <c r="AV102">
        <v>46.65</v>
      </c>
      <c r="AW102">
        <v>70.069999999999993</v>
      </c>
      <c r="AX102">
        <f t="shared" si="54"/>
        <v>58.36</v>
      </c>
      <c r="AY102">
        <v>23.42</v>
      </c>
      <c r="AZ102">
        <v>58.36</v>
      </c>
      <c r="BA102">
        <v>15.98</v>
      </c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1">
        <f t="shared" si="49"/>
        <v>20.266666666666666</v>
      </c>
      <c r="BQ102" s="1">
        <f t="shared" si="50"/>
        <v>59.556666666666672</v>
      </c>
      <c r="BR102" s="1">
        <f t="shared" si="51"/>
        <v>16.920000000000002</v>
      </c>
    </row>
    <row r="103" spans="1:70" x14ac:dyDescent="0.25">
      <c r="B103">
        <v>18.45</v>
      </c>
      <c r="C103">
        <v>18.48</v>
      </c>
      <c r="D103">
        <v>42.89</v>
      </c>
      <c r="E103">
        <v>25.37</v>
      </c>
      <c r="F103">
        <v>18.329999999999998</v>
      </c>
      <c r="G103">
        <v>40.92</v>
      </c>
      <c r="H103">
        <v>25.32</v>
      </c>
      <c r="I103">
        <v>54.09</v>
      </c>
      <c r="J103">
        <v>59.54</v>
      </c>
      <c r="K103">
        <v>63.74</v>
      </c>
      <c r="L103">
        <v>42.89</v>
      </c>
      <c r="M103">
        <v>76.180000000000007</v>
      </c>
      <c r="N103">
        <f t="shared" si="52"/>
        <v>59.535000000000004</v>
      </c>
      <c r="O103">
        <v>33.29</v>
      </c>
      <c r="P103">
        <v>59.54</v>
      </c>
      <c r="Q103">
        <v>13.26</v>
      </c>
      <c r="T103">
        <v>19.059999999999999</v>
      </c>
      <c r="U103">
        <v>21.28</v>
      </c>
      <c r="V103">
        <v>37.659999999999997</v>
      </c>
      <c r="W103">
        <v>26.46</v>
      </c>
      <c r="X103">
        <v>21.08</v>
      </c>
      <c r="Y103">
        <v>35.68</v>
      </c>
      <c r="Z103">
        <v>26.5</v>
      </c>
      <c r="AA103">
        <v>56.45</v>
      </c>
      <c r="AB103">
        <v>60.12</v>
      </c>
      <c r="AC103">
        <v>65.16</v>
      </c>
      <c r="AD103">
        <v>37.659999999999997</v>
      </c>
      <c r="AE103">
        <v>82.58</v>
      </c>
      <c r="AF103">
        <f t="shared" si="53"/>
        <v>60.12</v>
      </c>
      <c r="AG103">
        <v>44.92</v>
      </c>
      <c r="AH103">
        <v>60.12</v>
      </c>
      <c r="AI103">
        <v>15.52</v>
      </c>
      <c r="AL103">
        <v>18.47</v>
      </c>
      <c r="AM103">
        <v>20.16</v>
      </c>
      <c r="AN103">
        <v>33.85</v>
      </c>
      <c r="AO103">
        <v>24.67</v>
      </c>
      <c r="AP103">
        <v>20.100000000000001</v>
      </c>
      <c r="AQ103">
        <v>32.020000000000003</v>
      </c>
      <c r="AR103">
        <v>24.7</v>
      </c>
      <c r="AS103">
        <v>55.68</v>
      </c>
      <c r="AT103">
        <v>58.62</v>
      </c>
      <c r="AU103">
        <v>63.79</v>
      </c>
      <c r="AV103">
        <v>33.85</v>
      </c>
      <c r="AW103">
        <v>83.38</v>
      </c>
      <c r="AX103">
        <f t="shared" si="54"/>
        <v>58.614999999999995</v>
      </c>
      <c r="AY103">
        <v>49.53</v>
      </c>
      <c r="AZ103">
        <v>58.62</v>
      </c>
      <c r="BA103">
        <v>13.41</v>
      </c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1">
        <f t="shared" si="49"/>
        <v>42.580000000000005</v>
      </c>
      <c r="BQ103" s="1">
        <f t="shared" si="50"/>
        <v>59.426666666666669</v>
      </c>
      <c r="BR103" s="1">
        <f t="shared" si="51"/>
        <v>14.063333333333333</v>
      </c>
    </row>
    <row r="104" spans="1:70" x14ac:dyDescent="0.25">
      <c r="B104">
        <v>37.49</v>
      </c>
      <c r="C104">
        <v>37.58</v>
      </c>
      <c r="D104">
        <v>40.83</v>
      </c>
      <c r="E104">
        <v>34.75</v>
      </c>
      <c r="F104">
        <v>35.369999999999997</v>
      </c>
      <c r="G104">
        <v>33.76</v>
      </c>
      <c r="H104">
        <v>34.54</v>
      </c>
      <c r="I104">
        <v>56.33</v>
      </c>
      <c r="J104">
        <v>60.12</v>
      </c>
      <c r="K104">
        <v>64.19</v>
      </c>
      <c r="L104">
        <v>40.83</v>
      </c>
      <c r="M104">
        <v>79.42</v>
      </c>
      <c r="N104">
        <f t="shared" si="52"/>
        <v>60.125</v>
      </c>
      <c r="O104">
        <v>38.590000000000003</v>
      </c>
      <c r="P104">
        <v>60.12</v>
      </c>
      <c r="Q104">
        <v>17.55</v>
      </c>
      <c r="T104">
        <v>35.93</v>
      </c>
      <c r="U104">
        <v>37.57</v>
      </c>
      <c r="V104">
        <v>36.58</v>
      </c>
      <c r="W104">
        <v>34.770000000000003</v>
      </c>
      <c r="X104">
        <v>37.56</v>
      </c>
      <c r="Y104">
        <v>33.86</v>
      </c>
      <c r="Z104">
        <v>35.619999999999997</v>
      </c>
      <c r="AA104">
        <v>56.67</v>
      </c>
      <c r="AB104">
        <v>58.48</v>
      </c>
      <c r="AC104">
        <v>62.82</v>
      </c>
      <c r="AD104">
        <v>36.58</v>
      </c>
      <c r="AE104">
        <v>80.37</v>
      </c>
      <c r="AF104">
        <f t="shared" si="53"/>
        <v>58.475000000000001</v>
      </c>
      <c r="AG104">
        <v>43.79</v>
      </c>
      <c r="AH104">
        <v>58.48</v>
      </c>
      <c r="AI104">
        <v>15.84</v>
      </c>
      <c r="AL104">
        <v>36.19</v>
      </c>
      <c r="AM104">
        <v>36.56</v>
      </c>
      <c r="AN104">
        <v>38.659999999999997</v>
      </c>
      <c r="AO104">
        <v>35.369999999999997</v>
      </c>
      <c r="AP104">
        <v>36.950000000000003</v>
      </c>
      <c r="AQ104">
        <v>35.42</v>
      </c>
      <c r="AR104">
        <v>36.17</v>
      </c>
      <c r="AS104">
        <v>56.67</v>
      </c>
      <c r="AT104">
        <v>58.83</v>
      </c>
      <c r="AU104">
        <v>63.27</v>
      </c>
      <c r="AV104">
        <v>38.659999999999997</v>
      </c>
      <c r="AW104">
        <v>78.989999999999995</v>
      </c>
      <c r="AX104">
        <f t="shared" si="54"/>
        <v>58.824999999999996</v>
      </c>
      <c r="AY104">
        <v>40.33</v>
      </c>
      <c r="AZ104">
        <v>58.83</v>
      </c>
      <c r="BA104">
        <v>15.82</v>
      </c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1">
        <f t="shared" si="49"/>
        <v>40.903333333333329</v>
      </c>
      <c r="BQ104" s="1">
        <f t="shared" si="50"/>
        <v>59.143333333333338</v>
      </c>
      <c r="BR104" s="1">
        <f t="shared" si="51"/>
        <v>16.403333333333332</v>
      </c>
    </row>
    <row r="105" spans="1:70" x14ac:dyDescent="0.25">
      <c r="B105">
        <v>34.39</v>
      </c>
      <c r="C105">
        <v>33.18</v>
      </c>
      <c r="D105">
        <v>46.71</v>
      </c>
      <c r="E105">
        <v>38.04</v>
      </c>
      <c r="F105">
        <v>38.64</v>
      </c>
      <c r="G105">
        <v>52.81</v>
      </c>
      <c r="H105">
        <v>44.63</v>
      </c>
      <c r="I105">
        <v>58.5</v>
      </c>
      <c r="J105">
        <v>60.78</v>
      </c>
      <c r="K105">
        <v>66.290000000000006</v>
      </c>
      <c r="L105">
        <v>46.71</v>
      </c>
      <c r="M105">
        <v>74.84</v>
      </c>
      <c r="N105">
        <f t="shared" si="52"/>
        <v>60.775000000000006</v>
      </c>
      <c r="O105">
        <v>28.13</v>
      </c>
      <c r="P105">
        <v>60.78</v>
      </c>
      <c r="Q105">
        <v>18.809999999999999</v>
      </c>
      <c r="T105">
        <v>34.92</v>
      </c>
      <c r="U105">
        <v>34.76</v>
      </c>
      <c r="V105">
        <v>46.87</v>
      </c>
      <c r="W105">
        <v>39.11</v>
      </c>
      <c r="X105">
        <v>39.94</v>
      </c>
      <c r="Y105">
        <v>52.71</v>
      </c>
      <c r="Z105">
        <v>45.44</v>
      </c>
      <c r="AA105">
        <v>59.5</v>
      </c>
      <c r="AB105">
        <v>61.58</v>
      </c>
      <c r="AC105">
        <v>67.14</v>
      </c>
      <c r="AD105">
        <v>46.87</v>
      </c>
      <c r="AE105">
        <v>76.290000000000006</v>
      </c>
      <c r="AF105">
        <f t="shared" si="53"/>
        <v>61.58</v>
      </c>
      <c r="AG105">
        <v>29.42</v>
      </c>
      <c r="AH105">
        <v>61.58</v>
      </c>
      <c r="AI105">
        <v>20.6</v>
      </c>
      <c r="AL105">
        <v>35.19</v>
      </c>
      <c r="AM105">
        <v>34.08</v>
      </c>
      <c r="AN105">
        <v>46.87</v>
      </c>
      <c r="AO105">
        <v>37.85</v>
      </c>
      <c r="AP105">
        <v>38.520000000000003</v>
      </c>
      <c r="AQ105">
        <v>51.37</v>
      </c>
      <c r="AR105">
        <v>44.03</v>
      </c>
      <c r="AS105">
        <v>58.54</v>
      </c>
      <c r="AT105">
        <v>61.24</v>
      </c>
      <c r="AU105">
        <v>67.069999999999993</v>
      </c>
      <c r="AV105">
        <v>46.87</v>
      </c>
      <c r="AW105">
        <v>75.599999999999994</v>
      </c>
      <c r="AX105">
        <f t="shared" si="54"/>
        <v>61.234999999999999</v>
      </c>
      <c r="AY105">
        <v>28.73</v>
      </c>
      <c r="AZ105">
        <v>61.24</v>
      </c>
      <c r="BA105">
        <v>19.52</v>
      </c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1">
        <f t="shared" si="49"/>
        <v>28.76</v>
      </c>
      <c r="BQ105" s="1">
        <f t="shared" si="50"/>
        <v>61.199999999999996</v>
      </c>
      <c r="BR105" s="1">
        <f t="shared" si="51"/>
        <v>19.643333333333331</v>
      </c>
    </row>
    <row r="106" spans="1:70" x14ac:dyDescent="0.25">
      <c r="B106">
        <v>17.329999999999998</v>
      </c>
      <c r="C106">
        <v>18.28</v>
      </c>
      <c r="D106">
        <v>36.76</v>
      </c>
      <c r="E106">
        <v>24.29</v>
      </c>
      <c r="F106">
        <v>18.190000000000001</v>
      </c>
      <c r="G106">
        <v>36.15</v>
      </c>
      <c r="H106">
        <v>24.2</v>
      </c>
      <c r="I106">
        <v>54.16</v>
      </c>
      <c r="J106">
        <v>57.69</v>
      </c>
      <c r="K106">
        <v>62.58</v>
      </c>
      <c r="L106">
        <v>36.76</v>
      </c>
      <c r="M106">
        <v>78.62</v>
      </c>
      <c r="N106">
        <f t="shared" si="52"/>
        <v>57.69</v>
      </c>
      <c r="O106">
        <v>41.86</v>
      </c>
      <c r="P106">
        <v>57.69</v>
      </c>
      <c r="Q106">
        <v>11.45</v>
      </c>
      <c r="T106">
        <v>19.170000000000002</v>
      </c>
      <c r="U106">
        <v>18.649999999999999</v>
      </c>
      <c r="V106">
        <v>43.39</v>
      </c>
      <c r="W106">
        <v>25.77</v>
      </c>
      <c r="X106">
        <v>18.809999999999999</v>
      </c>
      <c r="Y106">
        <v>41.57</v>
      </c>
      <c r="Z106">
        <v>25.9</v>
      </c>
      <c r="AA106">
        <v>54.4</v>
      </c>
      <c r="AB106">
        <v>59.94</v>
      </c>
      <c r="AC106">
        <v>64.36</v>
      </c>
      <c r="AD106">
        <v>43.39</v>
      </c>
      <c r="AE106">
        <v>76.48</v>
      </c>
      <c r="AF106">
        <f t="shared" si="53"/>
        <v>59.935000000000002</v>
      </c>
      <c r="AG106">
        <v>33.090000000000003</v>
      </c>
      <c r="AH106">
        <v>59.94</v>
      </c>
      <c r="AI106">
        <v>13.73</v>
      </c>
      <c r="AL106">
        <v>17.82</v>
      </c>
      <c r="AM106">
        <v>17.829999999999998</v>
      </c>
      <c r="AN106">
        <v>41</v>
      </c>
      <c r="AO106">
        <v>24.83</v>
      </c>
      <c r="AP106">
        <v>17.79</v>
      </c>
      <c r="AQ106">
        <v>40.26</v>
      </c>
      <c r="AR106">
        <v>24.67</v>
      </c>
      <c r="AS106">
        <v>53.52</v>
      </c>
      <c r="AT106">
        <v>58.23</v>
      </c>
      <c r="AU106">
        <v>61.9</v>
      </c>
      <c r="AV106">
        <v>41</v>
      </c>
      <c r="AW106">
        <v>75.459999999999994</v>
      </c>
      <c r="AX106">
        <f t="shared" si="54"/>
        <v>58.23</v>
      </c>
      <c r="AY106">
        <v>34.46</v>
      </c>
      <c r="AZ106">
        <v>58.23</v>
      </c>
      <c r="BA106">
        <v>11.61</v>
      </c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1">
        <f t="shared" si="49"/>
        <v>36.47</v>
      </c>
      <c r="BQ106" s="1">
        <f t="shared" si="50"/>
        <v>58.62</v>
      </c>
      <c r="BR106" s="1">
        <f t="shared" si="51"/>
        <v>12.263333333333334</v>
      </c>
    </row>
    <row r="107" spans="1:70" x14ac:dyDescent="0.25">
      <c r="B107">
        <v>35.44</v>
      </c>
      <c r="C107">
        <v>37.21</v>
      </c>
      <c r="D107">
        <v>33.24</v>
      </c>
      <c r="E107">
        <v>29.82</v>
      </c>
      <c r="F107">
        <v>33.83</v>
      </c>
      <c r="G107">
        <v>26.74</v>
      </c>
      <c r="H107">
        <v>29.87</v>
      </c>
      <c r="I107">
        <v>54.34</v>
      </c>
      <c r="J107">
        <v>58</v>
      </c>
      <c r="K107">
        <v>62.25</v>
      </c>
      <c r="L107">
        <v>33.24</v>
      </c>
      <c r="M107">
        <v>82.75</v>
      </c>
      <c r="N107">
        <f t="shared" si="52"/>
        <v>57.995000000000005</v>
      </c>
      <c r="O107">
        <v>49.51</v>
      </c>
      <c r="P107">
        <v>58</v>
      </c>
      <c r="Q107">
        <v>14.67</v>
      </c>
      <c r="T107">
        <v>34.97</v>
      </c>
      <c r="U107">
        <v>34.97</v>
      </c>
      <c r="V107">
        <v>37.44</v>
      </c>
      <c r="W107">
        <v>32.76</v>
      </c>
      <c r="X107">
        <v>33.630000000000003</v>
      </c>
      <c r="Y107">
        <v>32.74</v>
      </c>
      <c r="Z107">
        <v>33.18</v>
      </c>
      <c r="AA107">
        <v>54.91</v>
      </c>
      <c r="AB107">
        <v>57.81</v>
      </c>
      <c r="AC107">
        <v>61.7</v>
      </c>
      <c r="AD107">
        <v>37.44</v>
      </c>
      <c r="AE107">
        <v>78.19</v>
      </c>
      <c r="AF107">
        <f t="shared" si="53"/>
        <v>57.814999999999998</v>
      </c>
      <c r="AG107">
        <v>40.75</v>
      </c>
      <c r="AH107">
        <v>57.81</v>
      </c>
      <c r="AI107">
        <v>13.71</v>
      </c>
      <c r="AL107">
        <v>34.979999999999997</v>
      </c>
      <c r="AM107">
        <v>36.47</v>
      </c>
      <c r="AN107">
        <v>34.93</v>
      </c>
      <c r="AO107">
        <v>31</v>
      </c>
      <c r="AP107">
        <v>33.29</v>
      </c>
      <c r="AQ107">
        <v>29.49</v>
      </c>
      <c r="AR107">
        <v>31.28</v>
      </c>
      <c r="AS107">
        <v>54.42</v>
      </c>
      <c r="AT107">
        <v>57.71</v>
      </c>
      <c r="AU107">
        <v>61.63</v>
      </c>
      <c r="AV107">
        <v>34.93</v>
      </c>
      <c r="AW107">
        <v>80.48</v>
      </c>
      <c r="AX107">
        <f t="shared" si="54"/>
        <v>57.704999999999998</v>
      </c>
      <c r="AY107">
        <v>45.55</v>
      </c>
      <c r="AZ107">
        <v>57.71</v>
      </c>
      <c r="BA107">
        <v>14.23</v>
      </c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1">
        <f t="shared" si="49"/>
        <v>45.27</v>
      </c>
      <c r="BQ107" s="1">
        <f t="shared" si="50"/>
        <v>57.84</v>
      </c>
      <c r="BR107" s="1">
        <f t="shared" si="51"/>
        <v>14.203333333333333</v>
      </c>
    </row>
    <row r="108" spans="1:70" x14ac:dyDescent="0.25">
      <c r="B108">
        <v>32.4</v>
      </c>
      <c r="C108">
        <v>34.24</v>
      </c>
      <c r="D108">
        <v>31.42</v>
      </c>
      <c r="E108">
        <v>30.63</v>
      </c>
      <c r="F108">
        <v>37.770000000000003</v>
      </c>
      <c r="G108">
        <v>33.74</v>
      </c>
      <c r="H108">
        <v>35.64</v>
      </c>
      <c r="I108">
        <v>56.34</v>
      </c>
      <c r="J108">
        <v>57.6</v>
      </c>
      <c r="K108">
        <v>64.31</v>
      </c>
      <c r="L108">
        <v>31.42</v>
      </c>
      <c r="M108">
        <v>83.78</v>
      </c>
      <c r="N108">
        <f t="shared" si="52"/>
        <v>57.6</v>
      </c>
      <c r="O108">
        <v>52.36</v>
      </c>
      <c r="P108">
        <v>57.6</v>
      </c>
      <c r="Q108">
        <v>14.96</v>
      </c>
      <c r="T108">
        <v>32.67</v>
      </c>
      <c r="U108">
        <v>32.72</v>
      </c>
      <c r="V108">
        <v>38.799999999999997</v>
      </c>
      <c r="W108">
        <v>33.47</v>
      </c>
      <c r="X108">
        <v>35.97</v>
      </c>
      <c r="Y108">
        <v>41.26</v>
      </c>
      <c r="Z108">
        <v>38.44</v>
      </c>
      <c r="AA108">
        <v>56.62</v>
      </c>
      <c r="AB108">
        <v>58.69</v>
      </c>
      <c r="AC108">
        <v>64.53</v>
      </c>
      <c r="AD108">
        <v>38.799999999999997</v>
      </c>
      <c r="AE108">
        <v>78.58</v>
      </c>
      <c r="AF108">
        <f t="shared" si="53"/>
        <v>58.69</v>
      </c>
      <c r="AG108">
        <v>39.78</v>
      </c>
      <c r="AH108">
        <v>58.69</v>
      </c>
      <c r="AI108">
        <v>15.69</v>
      </c>
      <c r="AL108">
        <v>33.380000000000003</v>
      </c>
      <c r="AM108">
        <v>34.21</v>
      </c>
      <c r="AN108">
        <v>36.39</v>
      </c>
      <c r="AO108">
        <v>32.76</v>
      </c>
      <c r="AP108">
        <v>37.31</v>
      </c>
      <c r="AQ108">
        <v>38.03</v>
      </c>
      <c r="AR108">
        <v>37.67</v>
      </c>
      <c r="AS108">
        <v>56.88</v>
      </c>
      <c r="AT108">
        <v>58.84</v>
      </c>
      <c r="AU108">
        <v>65.569999999999993</v>
      </c>
      <c r="AV108">
        <v>36.39</v>
      </c>
      <c r="AW108">
        <v>81.290000000000006</v>
      </c>
      <c r="AX108">
        <f t="shared" si="54"/>
        <v>58.84</v>
      </c>
      <c r="AY108">
        <v>44.9</v>
      </c>
      <c r="AZ108">
        <v>58.84</v>
      </c>
      <c r="BA108">
        <v>16.41</v>
      </c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1">
        <f t="shared" si="49"/>
        <v>45.68</v>
      </c>
      <c r="BQ108" s="1">
        <f t="shared" si="50"/>
        <v>58.376666666666665</v>
      </c>
      <c r="BR108" s="1">
        <f t="shared" si="51"/>
        <v>15.686666666666667</v>
      </c>
    </row>
    <row r="109" spans="1:70" x14ac:dyDescent="0.25">
      <c r="B109">
        <v>25.22</v>
      </c>
      <c r="C109">
        <v>23.89</v>
      </c>
      <c r="D109">
        <v>38.14</v>
      </c>
      <c r="E109">
        <v>28.12</v>
      </c>
      <c r="F109">
        <v>29.83</v>
      </c>
      <c r="G109">
        <v>44.84</v>
      </c>
      <c r="H109">
        <v>35.82</v>
      </c>
      <c r="I109">
        <v>55.02</v>
      </c>
      <c r="J109">
        <v>57.99</v>
      </c>
      <c r="K109">
        <v>64.27</v>
      </c>
      <c r="L109">
        <v>38.14</v>
      </c>
      <c r="M109">
        <v>77.849999999999994</v>
      </c>
      <c r="N109">
        <f t="shared" si="52"/>
        <v>57.994999999999997</v>
      </c>
      <c r="O109">
        <v>39.72</v>
      </c>
      <c r="P109">
        <v>57.99</v>
      </c>
      <c r="Q109">
        <v>12.55</v>
      </c>
      <c r="T109">
        <v>26.32</v>
      </c>
      <c r="U109">
        <v>24.34</v>
      </c>
      <c r="V109">
        <v>41.99</v>
      </c>
      <c r="W109">
        <v>28.9</v>
      </c>
      <c r="X109">
        <v>28.56</v>
      </c>
      <c r="Y109">
        <v>46.73</v>
      </c>
      <c r="Z109">
        <v>35.450000000000003</v>
      </c>
      <c r="AA109">
        <v>54.97</v>
      </c>
      <c r="AB109">
        <v>59.05</v>
      </c>
      <c r="AC109">
        <v>65.38</v>
      </c>
      <c r="AD109">
        <v>41.99</v>
      </c>
      <c r="AE109">
        <v>76.099999999999994</v>
      </c>
      <c r="AF109">
        <f t="shared" si="53"/>
        <v>59.045000000000002</v>
      </c>
      <c r="AG109">
        <v>34.11</v>
      </c>
      <c r="AH109">
        <v>59.05</v>
      </c>
      <c r="AI109">
        <v>13.88</v>
      </c>
      <c r="AL109">
        <v>24.86</v>
      </c>
      <c r="AM109">
        <v>24.04</v>
      </c>
      <c r="AN109">
        <v>40.299999999999997</v>
      </c>
      <c r="AO109">
        <v>29.16</v>
      </c>
      <c r="AP109">
        <v>29.93</v>
      </c>
      <c r="AQ109">
        <v>47.72</v>
      </c>
      <c r="AR109">
        <v>36.79</v>
      </c>
      <c r="AS109">
        <v>55.21</v>
      </c>
      <c r="AT109">
        <v>58.38</v>
      </c>
      <c r="AU109">
        <v>64.56</v>
      </c>
      <c r="AV109">
        <v>40.299999999999997</v>
      </c>
      <c r="AW109">
        <v>76.47</v>
      </c>
      <c r="AX109">
        <f t="shared" si="54"/>
        <v>58.384999999999998</v>
      </c>
      <c r="AY109">
        <v>36.159999999999997</v>
      </c>
      <c r="AZ109">
        <v>58.38</v>
      </c>
      <c r="BA109">
        <v>13.19</v>
      </c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1">
        <f t="shared" si="49"/>
        <v>36.663333333333334</v>
      </c>
      <c r="BQ109" s="1">
        <f t="shared" si="50"/>
        <v>58.473333333333329</v>
      </c>
      <c r="BR109" s="1">
        <f t="shared" si="51"/>
        <v>13.206666666666665</v>
      </c>
    </row>
    <row r="110" spans="1:70" x14ac:dyDescent="0.25">
      <c r="B110" s="2">
        <f>AVERAGE(B100:B109)</f>
        <v>27.321999999999996</v>
      </c>
      <c r="C110" s="2">
        <f t="shared" ref="C110:Q110" si="55">AVERAGE(C100:C109)</f>
        <v>27.384000000000004</v>
      </c>
      <c r="D110" s="2">
        <f t="shared" si="55"/>
        <v>40.400999999999996</v>
      </c>
      <c r="E110" s="2">
        <f t="shared" si="55"/>
        <v>30.169999999999998</v>
      </c>
      <c r="F110" s="2">
        <f t="shared" si="55"/>
        <v>28.589999999999993</v>
      </c>
      <c r="G110" s="2">
        <f t="shared" si="55"/>
        <v>40.315999999999995</v>
      </c>
      <c r="H110" s="2">
        <f t="shared" si="55"/>
        <v>32.393999999999998</v>
      </c>
      <c r="I110" s="2">
        <f t="shared" si="55"/>
        <v>55.309000000000005</v>
      </c>
      <c r="J110" s="2">
        <f t="shared" si="55"/>
        <v>58.852999999999994</v>
      </c>
      <c r="K110" s="2">
        <f t="shared" si="55"/>
        <v>63.762</v>
      </c>
      <c r="L110" s="2">
        <f t="shared" si="55"/>
        <v>40.400999999999996</v>
      </c>
      <c r="M110" s="2">
        <f t="shared" si="55"/>
        <v>77.301999999999992</v>
      </c>
      <c r="N110" s="2">
        <f t="shared" si="55"/>
        <v>58.851500000000001</v>
      </c>
      <c r="O110" s="2">
        <f t="shared" si="55"/>
        <v>36.902000000000001</v>
      </c>
      <c r="P110" s="2">
        <f t="shared" si="55"/>
        <v>58.852999999999994</v>
      </c>
      <c r="Q110" s="2">
        <f t="shared" si="55"/>
        <v>14.396000000000001</v>
      </c>
      <c r="T110" s="2">
        <f>AVERAGE(T100:T109)</f>
        <v>27.298000000000002</v>
      </c>
      <c r="U110" s="2">
        <f t="shared" ref="U110:AI110" si="56">AVERAGE(U100:U109)</f>
        <v>27.614999999999998</v>
      </c>
      <c r="V110" s="2">
        <f t="shared" si="56"/>
        <v>42.338000000000001</v>
      </c>
      <c r="W110" s="2">
        <f t="shared" si="56"/>
        <v>31.246999999999996</v>
      </c>
      <c r="X110" s="2">
        <f t="shared" si="56"/>
        <v>28.947999999999997</v>
      </c>
      <c r="Y110" s="2">
        <f t="shared" si="56"/>
        <v>42.470999999999997</v>
      </c>
      <c r="Z110" s="2">
        <f t="shared" si="56"/>
        <v>33.451999999999998</v>
      </c>
      <c r="AA110" s="2">
        <f t="shared" si="56"/>
        <v>55.653999999999996</v>
      </c>
      <c r="AB110" s="2">
        <f t="shared" si="56"/>
        <v>59.351999999999997</v>
      </c>
      <c r="AC110" s="2">
        <f t="shared" si="56"/>
        <v>64.193999999999988</v>
      </c>
      <c r="AD110" s="2">
        <f t="shared" si="56"/>
        <v>42.338000000000001</v>
      </c>
      <c r="AE110" s="2">
        <f t="shared" si="56"/>
        <v>76.363000000000014</v>
      </c>
      <c r="AF110" s="2">
        <f t="shared" si="56"/>
        <v>59.350499999999997</v>
      </c>
      <c r="AG110" s="2">
        <f t="shared" si="56"/>
        <v>34.024000000000001</v>
      </c>
      <c r="AH110" s="2">
        <f t="shared" si="56"/>
        <v>59.351999999999997</v>
      </c>
      <c r="AI110" s="2">
        <f t="shared" si="56"/>
        <v>15.106</v>
      </c>
      <c r="AL110" s="2">
        <f>AVERAGE(AL100:AL109)</f>
        <v>27.139999999999997</v>
      </c>
      <c r="AM110" s="2">
        <f t="shared" ref="AM110:BA110" si="57">AVERAGE(AM100:AM109)</f>
        <v>27.729000000000003</v>
      </c>
      <c r="AN110" s="2">
        <f t="shared" si="57"/>
        <v>38.957000000000001</v>
      </c>
      <c r="AO110" s="2">
        <f t="shared" si="57"/>
        <v>30.279000000000003</v>
      </c>
      <c r="AP110" s="2">
        <f t="shared" si="57"/>
        <v>29.304000000000002</v>
      </c>
      <c r="AQ110" s="2">
        <f t="shared" si="57"/>
        <v>39.673000000000002</v>
      </c>
      <c r="AR110" s="2">
        <f t="shared" si="57"/>
        <v>32.948</v>
      </c>
      <c r="AS110" s="2">
        <f t="shared" si="57"/>
        <v>55.622</v>
      </c>
      <c r="AT110" s="2">
        <f t="shared" si="57"/>
        <v>58.585999999999999</v>
      </c>
      <c r="AU110" s="2">
        <f t="shared" si="57"/>
        <v>63.666999999999987</v>
      </c>
      <c r="AV110" s="2">
        <f t="shared" si="57"/>
        <v>38.957000000000001</v>
      </c>
      <c r="AW110" s="2">
        <f t="shared" si="57"/>
        <v>78.212000000000003</v>
      </c>
      <c r="AX110" s="2">
        <f t="shared" si="57"/>
        <v>58.584500000000006</v>
      </c>
      <c r="AY110" s="2">
        <f t="shared" si="57"/>
        <v>39.254999999999995</v>
      </c>
      <c r="AZ110" s="2">
        <f t="shared" si="57"/>
        <v>58.585999999999999</v>
      </c>
      <c r="BA110" s="2">
        <f t="shared" si="57"/>
        <v>14.392000000000001</v>
      </c>
      <c r="BP110" s="2">
        <f t="shared" ref="BP110:BR110" si="58">AVERAGE(BP100:BP109)</f>
        <v>36.727000000000004</v>
      </c>
      <c r="BQ110" s="2">
        <f t="shared" si="58"/>
        <v>58.930333333333337</v>
      </c>
      <c r="BR110" s="2">
        <f t="shared" si="58"/>
        <v>14.631333333333336</v>
      </c>
    </row>
    <row r="113" spans="1:70" x14ac:dyDescent="0.25">
      <c r="A113" s="1" t="s">
        <v>30</v>
      </c>
      <c r="B113">
        <v>13.37</v>
      </c>
      <c r="C113">
        <v>14.33</v>
      </c>
      <c r="D113">
        <v>56.11</v>
      </c>
      <c r="E113">
        <v>22.71</v>
      </c>
      <c r="F113">
        <v>14.38</v>
      </c>
      <c r="G113">
        <v>56.35</v>
      </c>
      <c r="H113">
        <v>22.91</v>
      </c>
      <c r="I113">
        <v>45.74</v>
      </c>
      <c r="J113">
        <v>56</v>
      </c>
      <c r="K113">
        <v>56.78</v>
      </c>
      <c r="L113">
        <v>56.11</v>
      </c>
      <c r="M113">
        <v>55.88</v>
      </c>
      <c r="N113">
        <f>(L113+M113)/2</f>
        <v>55.995000000000005</v>
      </c>
      <c r="O113">
        <v>0.24</v>
      </c>
      <c r="P113">
        <v>56</v>
      </c>
      <c r="Q113">
        <v>7.43</v>
      </c>
      <c r="S113" s="1" t="s">
        <v>43</v>
      </c>
      <c r="T113">
        <v>13.41</v>
      </c>
      <c r="U113">
        <v>14.27</v>
      </c>
      <c r="V113">
        <v>43.04</v>
      </c>
      <c r="W113">
        <v>21.31</v>
      </c>
      <c r="X113">
        <v>14.39</v>
      </c>
      <c r="Y113">
        <v>43.47</v>
      </c>
      <c r="Z113">
        <v>21.63</v>
      </c>
      <c r="AA113">
        <v>48.62</v>
      </c>
      <c r="AB113">
        <v>54.52</v>
      </c>
      <c r="AC113">
        <v>56.15</v>
      </c>
      <c r="AD113">
        <v>43.04</v>
      </c>
      <c r="AE113">
        <v>66</v>
      </c>
      <c r="AF113">
        <f>(AD113+AE113)/2</f>
        <v>54.519999999999996</v>
      </c>
      <c r="AG113">
        <v>22.96</v>
      </c>
      <c r="AH113">
        <v>54.52</v>
      </c>
      <c r="AI113">
        <v>5.97</v>
      </c>
      <c r="AK113" s="1" t="s">
        <v>50</v>
      </c>
      <c r="AL113">
        <v>14.17</v>
      </c>
      <c r="AM113">
        <v>14.17</v>
      </c>
      <c r="AN113">
        <v>55.61</v>
      </c>
      <c r="AO113">
        <v>22.47</v>
      </c>
      <c r="AP113">
        <v>14.21</v>
      </c>
      <c r="AQ113">
        <v>55.88</v>
      </c>
      <c r="AR113">
        <v>22.66</v>
      </c>
      <c r="AS113">
        <v>45.48</v>
      </c>
      <c r="AT113">
        <v>55.62</v>
      </c>
      <c r="AU113">
        <v>57.42</v>
      </c>
      <c r="AV113">
        <v>55.61</v>
      </c>
      <c r="AW113">
        <v>55.62</v>
      </c>
      <c r="AX113">
        <f>(AV113+AW113)/2</f>
        <v>55.614999999999995</v>
      </c>
      <c r="AY113">
        <v>0.01</v>
      </c>
      <c r="AZ113">
        <v>55.62</v>
      </c>
      <c r="BA113">
        <v>6.92</v>
      </c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1">
        <f t="shared" ref="BP113:BP122" si="59">(O113+AG113+AY113)/3</f>
        <v>7.7366666666666672</v>
      </c>
      <c r="BQ113" s="1">
        <f t="shared" ref="BQ113:BQ122" si="60">(P113+AH113+AZ113)/3</f>
        <v>55.38</v>
      </c>
      <c r="BR113" s="1">
        <f t="shared" ref="BR113:BR122" si="61">(Q113+AI113+BA113)/3</f>
        <v>6.7733333333333334</v>
      </c>
    </row>
    <row r="114" spans="1:70" x14ac:dyDescent="0.25">
      <c r="A114" s="1"/>
      <c r="B114">
        <v>13.84</v>
      </c>
      <c r="C114">
        <v>15.72</v>
      </c>
      <c r="D114">
        <v>30.22</v>
      </c>
      <c r="E114">
        <v>20.36</v>
      </c>
      <c r="F114">
        <v>15.7</v>
      </c>
      <c r="G114">
        <v>30.12</v>
      </c>
      <c r="H114">
        <v>20.64</v>
      </c>
      <c r="I114">
        <v>52.11</v>
      </c>
      <c r="J114">
        <v>54.54</v>
      </c>
      <c r="K114">
        <v>57.07</v>
      </c>
      <c r="L114">
        <v>30.22</v>
      </c>
      <c r="M114">
        <v>78.849999999999994</v>
      </c>
      <c r="N114">
        <f t="shared" ref="N114:N122" si="62">(L114+M114)/2</f>
        <v>54.534999999999997</v>
      </c>
      <c r="O114">
        <v>48.63</v>
      </c>
      <c r="P114">
        <v>54.54</v>
      </c>
      <c r="Q114">
        <v>6.92</v>
      </c>
      <c r="T114">
        <v>13.7</v>
      </c>
      <c r="U114">
        <v>15.75</v>
      </c>
      <c r="V114">
        <v>23.5</v>
      </c>
      <c r="W114">
        <v>18.22</v>
      </c>
      <c r="X114">
        <v>15.5</v>
      </c>
      <c r="Y114">
        <v>22.86</v>
      </c>
      <c r="Z114">
        <v>18.48</v>
      </c>
      <c r="AA114">
        <v>52.3</v>
      </c>
      <c r="AB114">
        <v>53.63</v>
      </c>
      <c r="AC114">
        <v>55.19</v>
      </c>
      <c r="AD114">
        <v>23.5</v>
      </c>
      <c r="AE114">
        <v>83.77</v>
      </c>
      <c r="AF114">
        <f t="shared" ref="AF114:AF122" si="63">(AD114+AE114)/2</f>
        <v>53.634999999999998</v>
      </c>
      <c r="AG114">
        <v>60.27</v>
      </c>
      <c r="AH114">
        <v>53.63</v>
      </c>
      <c r="AI114">
        <v>5.99</v>
      </c>
      <c r="AL114">
        <v>14.14</v>
      </c>
      <c r="AM114">
        <v>16.2</v>
      </c>
      <c r="AN114">
        <v>31.16</v>
      </c>
      <c r="AO114">
        <v>21.03</v>
      </c>
      <c r="AP114">
        <v>16.05</v>
      </c>
      <c r="AQ114">
        <v>31.31</v>
      </c>
      <c r="AR114">
        <v>21.22</v>
      </c>
      <c r="AS114">
        <v>52.38</v>
      </c>
      <c r="AT114">
        <v>54.87</v>
      </c>
      <c r="AU114">
        <v>56.64</v>
      </c>
      <c r="AV114">
        <v>31.16</v>
      </c>
      <c r="AW114">
        <v>78.58</v>
      </c>
      <c r="AX114">
        <f t="shared" ref="AX114:AX122" si="64">(AV114+AW114)/2</f>
        <v>54.87</v>
      </c>
      <c r="AY114">
        <v>47.42</v>
      </c>
      <c r="AZ114">
        <v>54.87</v>
      </c>
      <c r="BA114">
        <v>7.56</v>
      </c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1">
        <f t="shared" si="59"/>
        <v>52.106666666666662</v>
      </c>
      <c r="BQ114" s="1">
        <f t="shared" si="60"/>
        <v>54.346666666666664</v>
      </c>
      <c r="BR114" s="1">
        <f t="shared" si="61"/>
        <v>6.8233333333333333</v>
      </c>
    </row>
    <row r="115" spans="1:70" x14ac:dyDescent="0.25">
      <c r="A115" s="1"/>
      <c r="B115">
        <v>33.25</v>
      </c>
      <c r="C115">
        <v>34.08</v>
      </c>
      <c r="D115">
        <v>46.14</v>
      </c>
      <c r="E115">
        <v>38.57</v>
      </c>
      <c r="F115">
        <v>35.630000000000003</v>
      </c>
      <c r="G115">
        <v>45.25</v>
      </c>
      <c r="H115">
        <v>39.869999999999997</v>
      </c>
      <c r="I115">
        <v>56.15</v>
      </c>
      <c r="J115">
        <v>58.24</v>
      </c>
      <c r="K115">
        <v>60.97</v>
      </c>
      <c r="L115">
        <v>46.14</v>
      </c>
      <c r="M115">
        <v>70.34</v>
      </c>
      <c r="N115">
        <f t="shared" si="62"/>
        <v>58.24</v>
      </c>
      <c r="O115">
        <v>24.2</v>
      </c>
      <c r="P115">
        <v>58.24</v>
      </c>
      <c r="Q115">
        <v>13.8</v>
      </c>
      <c r="T115">
        <v>34.1</v>
      </c>
      <c r="U115">
        <v>34.450000000000003</v>
      </c>
      <c r="V115">
        <v>40.25</v>
      </c>
      <c r="W115">
        <v>36.67</v>
      </c>
      <c r="X115">
        <v>36.22</v>
      </c>
      <c r="Y115">
        <v>41.14</v>
      </c>
      <c r="Z115">
        <v>38.520000000000003</v>
      </c>
      <c r="AA115">
        <v>55.81</v>
      </c>
      <c r="AB115">
        <v>56.75</v>
      </c>
      <c r="AC115">
        <v>60.69</v>
      </c>
      <c r="AD115">
        <v>40.25</v>
      </c>
      <c r="AE115">
        <v>73.239999999999995</v>
      </c>
      <c r="AF115">
        <f t="shared" si="63"/>
        <v>56.744999999999997</v>
      </c>
      <c r="AG115">
        <v>32.99</v>
      </c>
      <c r="AH115">
        <v>56.75</v>
      </c>
      <c r="AI115">
        <v>12.29</v>
      </c>
      <c r="AL115">
        <v>33.380000000000003</v>
      </c>
      <c r="AM115">
        <v>32.61</v>
      </c>
      <c r="AN115">
        <v>46.45</v>
      </c>
      <c r="AO115">
        <v>36.86</v>
      </c>
      <c r="AP115">
        <v>32.979999999999997</v>
      </c>
      <c r="AQ115">
        <v>44.24</v>
      </c>
      <c r="AR115">
        <v>37.79</v>
      </c>
      <c r="AS115">
        <v>54.03</v>
      </c>
      <c r="AT115">
        <v>57.06</v>
      </c>
      <c r="AU115">
        <v>60.25</v>
      </c>
      <c r="AV115">
        <v>46.45</v>
      </c>
      <c r="AW115">
        <v>67.680000000000007</v>
      </c>
      <c r="AX115">
        <f t="shared" si="64"/>
        <v>57.065000000000005</v>
      </c>
      <c r="AY115">
        <v>21.23</v>
      </c>
      <c r="AZ115">
        <v>57.06</v>
      </c>
      <c r="BA115">
        <v>11.51</v>
      </c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1">
        <f t="shared" si="59"/>
        <v>26.14</v>
      </c>
      <c r="BQ115" s="1">
        <f t="shared" si="60"/>
        <v>57.35</v>
      </c>
      <c r="BR115" s="1">
        <f t="shared" si="61"/>
        <v>12.533333333333333</v>
      </c>
    </row>
    <row r="116" spans="1:70" x14ac:dyDescent="0.25">
      <c r="A116" s="1"/>
      <c r="B116">
        <v>13.68</v>
      </c>
      <c r="C116">
        <v>15.03</v>
      </c>
      <c r="D116">
        <v>21.77</v>
      </c>
      <c r="E116">
        <v>17.03</v>
      </c>
      <c r="F116">
        <v>14.87</v>
      </c>
      <c r="G116">
        <v>20.329999999999998</v>
      </c>
      <c r="H116">
        <v>17.18</v>
      </c>
      <c r="I116">
        <v>51.94</v>
      </c>
      <c r="J116">
        <v>53.31</v>
      </c>
      <c r="K116">
        <v>56.12</v>
      </c>
      <c r="L116">
        <v>21.77</v>
      </c>
      <c r="M116">
        <v>84.85</v>
      </c>
      <c r="N116">
        <f t="shared" si="62"/>
        <v>53.309999999999995</v>
      </c>
      <c r="O116">
        <v>63.08</v>
      </c>
      <c r="P116">
        <v>53.31</v>
      </c>
      <c r="Q116">
        <v>5.22</v>
      </c>
      <c r="T116">
        <v>13.66</v>
      </c>
      <c r="U116">
        <v>15.85</v>
      </c>
      <c r="V116">
        <v>17.47</v>
      </c>
      <c r="W116">
        <v>14.14</v>
      </c>
      <c r="X116">
        <v>13.84</v>
      </c>
      <c r="Y116">
        <v>15.47</v>
      </c>
      <c r="Z116">
        <v>14.61</v>
      </c>
      <c r="AA116">
        <v>51.1</v>
      </c>
      <c r="AB116">
        <v>52.53</v>
      </c>
      <c r="AC116">
        <v>55.2</v>
      </c>
      <c r="AD116">
        <v>17.47</v>
      </c>
      <c r="AE116">
        <v>87.6</v>
      </c>
      <c r="AF116">
        <f t="shared" si="63"/>
        <v>52.534999999999997</v>
      </c>
      <c r="AG116">
        <v>70.14</v>
      </c>
      <c r="AH116">
        <v>52.53</v>
      </c>
      <c r="AI116">
        <v>4.62</v>
      </c>
      <c r="AL116">
        <v>13.25</v>
      </c>
      <c r="AM116">
        <v>14.57</v>
      </c>
      <c r="AN116">
        <v>42.42</v>
      </c>
      <c r="AO116">
        <v>21.32</v>
      </c>
      <c r="AP116">
        <v>14.3</v>
      </c>
      <c r="AQ116">
        <v>41.93</v>
      </c>
      <c r="AR116">
        <v>21.32</v>
      </c>
      <c r="AS116">
        <v>48.99</v>
      </c>
      <c r="AT116">
        <v>54.78</v>
      </c>
      <c r="AU116">
        <v>55.35</v>
      </c>
      <c r="AV116">
        <v>42.42</v>
      </c>
      <c r="AW116">
        <v>67.13</v>
      </c>
      <c r="AX116">
        <f t="shared" si="64"/>
        <v>54.774999999999999</v>
      </c>
      <c r="AY116">
        <v>24.72</v>
      </c>
      <c r="AZ116">
        <v>54.78</v>
      </c>
      <c r="BA116">
        <v>6.44</v>
      </c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1">
        <f t="shared" si="59"/>
        <v>52.646666666666668</v>
      </c>
      <c r="BQ116" s="1">
        <f t="shared" si="60"/>
        <v>53.54</v>
      </c>
      <c r="BR116" s="1">
        <f t="shared" si="61"/>
        <v>5.4266666666666667</v>
      </c>
    </row>
    <row r="117" spans="1:70" x14ac:dyDescent="0.25">
      <c r="A117" s="1"/>
      <c r="B117">
        <v>31.38</v>
      </c>
      <c r="C117">
        <v>30.68</v>
      </c>
      <c r="D117">
        <v>22.54</v>
      </c>
      <c r="E117">
        <v>23.18</v>
      </c>
      <c r="F117">
        <v>30.68</v>
      </c>
      <c r="G117">
        <v>18.079999999999998</v>
      </c>
      <c r="H117">
        <v>22.75</v>
      </c>
      <c r="I117">
        <v>51.5</v>
      </c>
      <c r="J117">
        <v>54.3</v>
      </c>
      <c r="K117">
        <v>58.49</v>
      </c>
      <c r="L117">
        <v>22.54</v>
      </c>
      <c r="M117">
        <v>86.06</v>
      </c>
      <c r="N117">
        <f t="shared" si="62"/>
        <v>54.3</v>
      </c>
      <c r="O117">
        <v>63.52</v>
      </c>
      <c r="P117">
        <v>54.3</v>
      </c>
      <c r="Q117">
        <v>7.37</v>
      </c>
      <c r="T117">
        <v>32.56</v>
      </c>
      <c r="U117">
        <v>45.74</v>
      </c>
      <c r="V117">
        <v>22.24</v>
      </c>
      <c r="W117">
        <v>22.05</v>
      </c>
      <c r="X117">
        <v>33.67</v>
      </c>
      <c r="Y117">
        <v>17.5</v>
      </c>
      <c r="Z117">
        <v>23.03</v>
      </c>
      <c r="AA117">
        <v>51.38</v>
      </c>
      <c r="AB117">
        <v>55.19</v>
      </c>
      <c r="AC117">
        <v>58.69</v>
      </c>
      <c r="AD117">
        <v>22.24</v>
      </c>
      <c r="AE117">
        <v>88.15</v>
      </c>
      <c r="AF117">
        <f t="shared" si="63"/>
        <v>55.195</v>
      </c>
      <c r="AG117">
        <v>65.91</v>
      </c>
      <c r="AH117">
        <v>55.19</v>
      </c>
      <c r="AI117">
        <v>10.050000000000001</v>
      </c>
      <c r="AL117">
        <v>31.41</v>
      </c>
      <c r="AM117">
        <v>30.21</v>
      </c>
      <c r="AN117">
        <v>44</v>
      </c>
      <c r="AO117">
        <v>32.97</v>
      </c>
      <c r="AP117">
        <v>28.87</v>
      </c>
      <c r="AQ117">
        <v>37.89</v>
      </c>
      <c r="AR117">
        <v>32.770000000000003</v>
      </c>
      <c r="AS117">
        <v>52.1</v>
      </c>
      <c r="AT117">
        <v>56.05</v>
      </c>
      <c r="AU117">
        <v>58.03</v>
      </c>
      <c r="AV117">
        <v>44</v>
      </c>
      <c r="AW117">
        <v>68.099999999999994</v>
      </c>
      <c r="AX117">
        <f t="shared" si="64"/>
        <v>56.05</v>
      </c>
      <c r="AY117">
        <v>24.1</v>
      </c>
      <c r="AZ117">
        <v>56.05</v>
      </c>
      <c r="BA117">
        <v>9.06</v>
      </c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1">
        <f t="shared" si="59"/>
        <v>51.176666666666669</v>
      </c>
      <c r="BQ117" s="1">
        <f t="shared" si="60"/>
        <v>55.18</v>
      </c>
      <c r="BR117" s="1">
        <f t="shared" si="61"/>
        <v>8.826666666666668</v>
      </c>
    </row>
    <row r="118" spans="1:70" x14ac:dyDescent="0.25">
      <c r="A118" s="1"/>
      <c r="B118">
        <v>28.19</v>
      </c>
      <c r="C118">
        <v>29.49</v>
      </c>
      <c r="D118">
        <v>31.52</v>
      </c>
      <c r="E118">
        <v>29.81</v>
      </c>
      <c r="F118">
        <v>35.01</v>
      </c>
      <c r="G118">
        <v>37.950000000000003</v>
      </c>
      <c r="H118">
        <v>36.42</v>
      </c>
      <c r="I118">
        <v>54.55</v>
      </c>
      <c r="J118">
        <v>54.97</v>
      </c>
      <c r="K118">
        <v>57.79</v>
      </c>
      <c r="L118">
        <v>31.52</v>
      </c>
      <c r="M118">
        <v>78.430000000000007</v>
      </c>
      <c r="N118">
        <f t="shared" si="62"/>
        <v>54.975000000000001</v>
      </c>
      <c r="O118">
        <v>46.91</v>
      </c>
      <c r="P118">
        <v>54.97</v>
      </c>
      <c r="Q118">
        <v>9.7899999999999991</v>
      </c>
      <c r="T118">
        <v>28.03</v>
      </c>
      <c r="U118">
        <v>40.97</v>
      </c>
      <c r="V118">
        <v>28.98</v>
      </c>
      <c r="W118">
        <v>27.29</v>
      </c>
      <c r="X118">
        <v>36.450000000000003</v>
      </c>
      <c r="Y118">
        <v>36.26</v>
      </c>
      <c r="Z118">
        <v>36.35</v>
      </c>
      <c r="AA118">
        <v>53.61</v>
      </c>
      <c r="AB118">
        <v>54.67</v>
      </c>
      <c r="AC118">
        <v>58.14</v>
      </c>
      <c r="AD118">
        <v>28.98</v>
      </c>
      <c r="AE118">
        <v>80.36</v>
      </c>
      <c r="AF118">
        <f t="shared" si="63"/>
        <v>54.67</v>
      </c>
      <c r="AG118">
        <v>51.38</v>
      </c>
      <c r="AH118">
        <v>54.67</v>
      </c>
      <c r="AI118">
        <v>9.68</v>
      </c>
      <c r="AL118">
        <v>28.38</v>
      </c>
      <c r="AM118">
        <v>27.24</v>
      </c>
      <c r="AN118">
        <v>52.77</v>
      </c>
      <c r="AO118">
        <v>34.26</v>
      </c>
      <c r="AP118">
        <v>29.26</v>
      </c>
      <c r="AQ118">
        <v>56.97</v>
      </c>
      <c r="AR118">
        <v>38.659999999999997</v>
      </c>
      <c r="AS118">
        <v>51.21</v>
      </c>
      <c r="AT118">
        <v>56.13</v>
      </c>
      <c r="AU118">
        <v>58.81</v>
      </c>
      <c r="AV118">
        <v>52.77</v>
      </c>
      <c r="AW118">
        <v>59.48</v>
      </c>
      <c r="AX118">
        <f t="shared" si="64"/>
        <v>56.125</v>
      </c>
      <c r="AY118">
        <v>6.7</v>
      </c>
      <c r="AZ118">
        <v>56.13</v>
      </c>
      <c r="BA118">
        <v>10.09</v>
      </c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1">
        <f t="shared" si="59"/>
        <v>34.996666666666663</v>
      </c>
      <c r="BQ118" s="1">
        <f t="shared" si="60"/>
        <v>55.256666666666668</v>
      </c>
      <c r="BR118" s="1">
        <f t="shared" si="61"/>
        <v>9.8533333333333335</v>
      </c>
    </row>
    <row r="119" spans="1:70" x14ac:dyDescent="0.25">
      <c r="A119" s="1"/>
      <c r="B119">
        <v>12.96</v>
      </c>
      <c r="C119">
        <v>13.26</v>
      </c>
      <c r="D119">
        <v>17.559999999999999</v>
      </c>
      <c r="E119">
        <v>14.49</v>
      </c>
      <c r="F119">
        <v>12.91</v>
      </c>
      <c r="G119">
        <v>16.36</v>
      </c>
      <c r="H119">
        <v>14.43</v>
      </c>
      <c r="I119">
        <v>50.79</v>
      </c>
      <c r="J119">
        <v>51.6</v>
      </c>
      <c r="K119">
        <v>54.74</v>
      </c>
      <c r="L119">
        <v>17.559999999999999</v>
      </c>
      <c r="M119">
        <v>85.64</v>
      </c>
      <c r="N119">
        <f t="shared" si="62"/>
        <v>51.6</v>
      </c>
      <c r="O119">
        <v>68.069999999999993</v>
      </c>
      <c r="P119">
        <v>51.6</v>
      </c>
      <c r="Q119">
        <v>2.54</v>
      </c>
      <c r="T119">
        <v>12.65</v>
      </c>
      <c r="U119">
        <v>13.53</v>
      </c>
      <c r="V119">
        <v>17.89</v>
      </c>
      <c r="W119">
        <v>14.57</v>
      </c>
      <c r="X119">
        <v>13.63</v>
      </c>
      <c r="Y119">
        <v>16.52</v>
      </c>
      <c r="Z119">
        <v>14.93</v>
      </c>
      <c r="AA119">
        <v>51.02</v>
      </c>
      <c r="AB119">
        <v>52.13</v>
      </c>
      <c r="AC119">
        <v>52.41</v>
      </c>
      <c r="AD119">
        <v>17.89</v>
      </c>
      <c r="AE119">
        <v>86.37</v>
      </c>
      <c r="AF119">
        <f t="shared" si="63"/>
        <v>52.13</v>
      </c>
      <c r="AG119">
        <v>68.48</v>
      </c>
      <c r="AH119">
        <v>52.13</v>
      </c>
      <c r="AI119">
        <v>3.2</v>
      </c>
      <c r="AL119">
        <v>12.66</v>
      </c>
      <c r="AM119">
        <v>13.98</v>
      </c>
      <c r="AN119">
        <v>30.98</v>
      </c>
      <c r="AO119">
        <v>19.010000000000002</v>
      </c>
      <c r="AP119">
        <v>13.92</v>
      </c>
      <c r="AQ119">
        <v>31.03</v>
      </c>
      <c r="AR119">
        <v>19.22</v>
      </c>
      <c r="AS119">
        <v>50.2</v>
      </c>
      <c r="AT119">
        <v>52.93</v>
      </c>
      <c r="AU119">
        <v>53.46</v>
      </c>
      <c r="AV119">
        <v>30.98</v>
      </c>
      <c r="AW119">
        <v>74.88</v>
      </c>
      <c r="AX119">
        <f t="shared" si="64"/>
        <v>52.93</v>
      </c>
      <c r="AY119">
        <v>43.9</v>
      </c>
      <c r="AZ119">
        <v>52.93</v>
      </c>
      <c r="BA119">
        <v>4.3099999999999996</v>
      </c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1">
        <f t="shared" si="59"/>
        <v>60.150000000000006</v>
      </c>
      <c r="BQ119" s="1">
        <f t="shared" si="60"/>
        <v>52.22</v>
      </c>
      <c r="BR119" s="1">
        <f t="shared" si="61"/>
        <v>3.35</v>
      </c>
    </row>
    <row r="120" spans="1:70" x14ac:dyDescent="0.25">
      <c r="A120" s="1"/>
      <c r="B120">
        <v>30.09</v>
      </c>
      <c r="C120">
        <v>31.6</v>
      </c>
      <c r="D120">
        <v>20.83</v>
      </c>
      <c r="E120">
        <v>22.21</v>
      </c>
      <c r="F120">
        <v>30.01</v>
      </c>
      <c r="G120">
        <v>16.59</v>
      </c>
      <c r="H120">
        <v>21.37</v>
      </c>
      <c r="I120">
        <v>51.15</v>
      </c>
      <c r="J120">
        <v>53.9</v>
      </c>
      <c r="K120">
        <v>56.51</v>
      </c>
      <c r="L120">
        <v>20.83</v>
      </c>
      <c r="M120">
        <v>86.98</v>
      </c>
      <c r="N120">
        <f t="shared" si="62"/>
        <v>53.905000000000001</v>
      </c>
      <c r="O120">
        <v>66.150000000000006</v>
      </c>
      <c r="P120">
        <v>53.9</v>
      </c>
      <c r="Q120">
        <v>7.32</v>
      </c>
      <c r="T120">
        <v>29.81</v>
      </c>
      <c r="U120">
        <v>29.26</v>
      </c>
      <c r="V120">
        <v>19.260000000000002</v>
      </c>
      <c r="W120">
        <v>20.75</v>
      </c>
      <c r="X120">
        <v>30.06</v>
      </c>
      <c r="Y120">
        <v>16.100000000000001</v>
      </c>
      <c r="Z120">
        <v>20.97</v>
      </c>
      <c r="AA120">
        <v>50.42</v>
      </c>
      <c r="AB120">
        <v>53.14</v>
      </c>
      <c r="AC120">
        <v>55.37</v>
      </c>
      <c r="AD120">
        <v>19.260000000000002</v>
      </c>
      <c r="AE120">
        <v>87.03</v>
      </c>
      <c r="AF120">
        <f t="shared" si="63"/>
        <v>53.145000000000003</v>
      </c>
      <c r="AG120">
        <v>67.760000000000005</v>
      </c>
      <c r="AH120">
        <v>53.14</v>
      </c>
      <c r="AI120">
        <v>5.34</v>
      </c>
      <c r="AL120">
        <v>30.57</v>
      </c>
      <c r="AM120">
        <v>30.35</v>
      </c>
      <c r="AN120">
        <v>35.56</v>
      </c>
      <c r="AO120">
        <v>30.49</v>
      </c>
      <c r="AP120">
        <v>30.01</v>
      </c>
      <c r="AQ120">
        <v>31.47</v>
      </c>
      <c r="AR120">
        <v>30.72</v>
      </c>
      <c r="AS120">
        <v>52.58</v>
      </c>
      <c r="AT120">
        <v>55.04</v>
      </c>
      <c r="AU120">
        <v>57.27</v>
      </c>
      <c r="AV120">
        <v>35.56</v>
      </c>
      <c r="AW120">
        <v>74.510000000000005</v>
      </c>
      <c r="AX120">
        <f t="shared" si="64"/>
        <v>55.035000000000004</v>
      </c>
      <c r="AY120">
        <v>38.950000000000003</v>
      </c>
      <c r="AZ120">
        <v>55.04</v>
      </c>
      <c r="BA120">
        <v>7.97</v>
      </c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1">
        <f t="shared" si="59"/>
        <v>57.620000000000005</v>
      </c>
      <c r="BQ120" s="1">
        <f t="shared" si="60"/>
        <v>54.026666666666664</v>
      </c>
      <c r="BR120" s="1">
        <f t="shared" si="61"/>
        <v>6.876666666666666</v>
      </c>
    </row>
    <row r="121" spans="1:70" x14ac:dyDescent="0.25">
      <c r="A121" s="1"/>
      <c r="B121">
        <v>26.41</v>
      </c>
      <c r="C121">
        <v>27.91</v>
      </c>
      <c r="D121">
        <v>19.39</v>
      </c>
      <c r="E121">
        <v>21.01</v>
      </c>
      <c r="F121">
        <v>30.02</v>
      </c>
      <c r="G121">
        <v>19.5</v>
      </c>
      <c r="H121">
        <v>23.64</v>
      </c>
      <c r="I121">
        <v>51.63</v>
      </c>
      <c r="J121">
        <v>53.14</v>
      </c>
      <c r="K121">
        <v>56.41</v>
      </c>
      <c r="L121">
        <v>19.39</v>
      </c>
      <c r="M121">
        <v>86.88</v>
      </c>
      <c r="N121">
        <f t="shared" si="62"/>
        <v>53.134999999999998</v>
      </c>
      <c r="O121">
        <v>67.489999999999995</v>
      </c>
      <c r="P121">
        <v>53.14</v>
      </c>
      <c r="Q121">
        <v>6.43</v>
      </c>
      <c r="T121">
        <v>26.11</v>
      </c>
      <c r="U121">
        <v>28.1</v>
      </c>
      <c r="V121">
        <v>16.440000000000001</v>
      </c>
      <c r="W121">
        <v>18.940000000000001</v>
      </c>
      <c r="X121">
        <v>29.78</v>
      </c>
      <c r="Y121">
        <v>17.37</v>
      </c>
      <c r="Z121">
        <v>21.94</v>
      </c>
      <c r="AA121">
        <v>50.86</v>
      </c>
      <c r="AB121">
        <v>52.37</v>
      </c>
      <c r="AC121">
        <v>54.37</v>
      </c>
      <c r="AD121">
        <v>16.440000000000001</v>
      </c>
      <c r="AE121">
        <v>88.3</v>
      </c>
      <c r="AF121">
        <f t="shared" si="63"/>
        <v>52.37</v>
      </c>
      <c r="AG121">
        <v>71.86</v>
      </c>
      <c r="AH121">
        <v>52.37</v>
      </c>
      <c r="AI121">
        <v>5.68</v>
      </c>
      <c r="AL121">
        <v>26.81</v>
      </c>
      <c r="AM121">
        <v>26.35</v>
      </c>
      <c r="AN121">
        <v>30.87</v>
      </c>
      <c r="AO121">
        <v>24.27</v>
      </c>
      <c r="AP121">
        <v>24.52</v>
      </c>
      <c r="AQ121">
        <v>27.02</v>
      </c>
      <c r="AR121">
        <v>25.71</v>
      </c>
      <c r="AS121">
        <v>50.7</v>
      </c>
      <c r="AT121">
        <v>53.96</v>
      </c>
      <c r="AU121">
        <v>56.23</v>
      </c>
      <c r="AV121">
        <v>30.87</v>
      </c>
      <c r="AW121">
        <v>77.05</v>
      </c>
      <c r="AX121">
        <f t="shared" si="64"/>
        <v>53.96</v>
      </c>
      <c r="AY121">
        <v>46.17</v>
      </c>
      <c r="AZ121">
        <v>53.96</v>
      </c>
      <c r="BA121">
        <v>6.54</v>
      </c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1">
        <f t="shared" si="59"/>
        <v>61.839999999999996</v>
      </c>
      <c r="BQ121" s="1">
        <f t="shared" si="60"/>
        <v>53.156666666666666</v>
      </c>
      <c r="BR121" s="1">
        <f t="shared" si="61"/>
        <v>6.2166666666666659</v>
      </c>
    </row>
    <row r="122" spans="1:70" x14ac:dyDescent="0.25">
      <c r="A122" s="1"/>
      <c r="B122">
        <v>21.53</v>
      </c>
      <c r="C122">
        <v>22.15</v>
      </c>
      <c r="D122">
        <v>26.95</v>
      </c>
      <c r="E122">
        <v>23.2</v>
      </c>
      <c r="F122">
        <v>27.2</v>
      </c>
      <c r="G122">
        <v>32.18</v>
      </c>
      <c r="H122">
        <v>29.48</v>
      </c>
      <c r="I122">
        <v>52.99</v>
      </c>
      <c r="J122">
        <v>54.18</v>
      </c>
      <c r="K122">
        <v>59.12</v>
      </c>
      <c r="L122">
        <v>26.95</v>
      </c>
      <c r="M122">
        <v>81.400000000000006</v>
      </c>
      <c r="N122">
        <f t="shared" si="62"/>
        <v>54.175000000000004</v>
      </c>
      <c r="O122">
        <v>54.45</v>
      </c>
      <c r="P122">
        <v>54.18</v>
      </c>
      <c r="Q122">
        <v>7.28</v>
      </c>
      <c r="T122">
        <v>21.72</v>
      </c>
      <c r="U122">
        <v>21.94</v>
      </c>
      <c r="V122">
        <v>26.76</v>
      </c>
      <c r="W122">
        <v>23.25</v>
      </c>
      <c r="X122">
        <v>27.47</v>
      </c>
      <c r="Y122">
        <v>32.799999999999997</v>
      </c>
      <c r="Z122">
        <v>29.9</v>
      </c>
      <c r="AA122">
        <v>52.96</v>
      </c>
      <c r="AB122">
        <v>54</v>
      </c>
      <c r="AC122">
        <v>57.79</v>
      </c>
      <c r="AD122">
        <v>26.76</v>
      </c>
      <c r="AE122">
        <v>81.25</v>
      </c>
      <c r="AF122">
        <f t="shared" si="63"/>
        <v>54.005000000000003</v>
      </c>
      <c r="AG122">
        <v>54.49</v>
      </c>
      <c r="AH122">
        <v>54</v>
      </c>
      <c r="AI122">
        <v>7.1</v>
      </c>
      <c r="AL122">
        <v>20.74</v>
      </c>
      <c r="AM122">
        <v>20.61</v>
      </c>
      <c r="AN122">
        <v>37.630000000000003</v>
      </c>
      <c r="AO122">
        <v>25.67</v>
      </c>
      <c r="AP122">
        <v>25.24</v>
      </c>
      <c r="AQ122">
        <v>45.42</v>
      </c>
      <c r="AR122">
        <v>32.450000000000003</v>
      </c>
      <c r="AS122">
        <v>51.48</v>
      </c>
      <c r="AT122">
        <v>54.51</v>
      </c>
      <c r="AU122">
        <v>57.63</v>
      </c>
      <c r="AV122">
        <v>37.630000000000003</v>
      </c>
      <c r="AW122">
        <v>71.39</v>
      </c>
      <c r="AX122">
        <f t="shared" si="64"/>
        <v>54.510000000000005</v>
      </c>
      <c r="AY122">
        <v>33.76</v>
      </c>
      <c r="AZ122">
        <v>54.51</v>
      </c>
      <c r="BA122">
        <v>6.97</v>
      </c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1">
        <f t="shared" si="59"/>
        <v>47.566666666666663</v>
      </c>
      <c r="BQ122" s="1">
        <f t="shared" si="60"/>
        <v>54.23</v>
      </c>
      <c r="BR122" s="1">
        <f t="shared" si="61"/>
        <v>7.1166666666666663</v>
      </c>
    </row>
    <row r="123" spans="1:70" x14ac:dyDescent="0.25">
      <c r="A123" s="1"/>
      <c r="B123" s="2">
        <f>AVERAGE(B113:B122)</f>
        <v>22.470000000000002</v>
      </c>
      <c r="C123" s="2">
        <f t="shared" ref="C123:Q123" si="65">AVERAGE(C113:C122)</f>
        <v>23.425000000000001</v>
      </c>
      <c r="D123" s="2">
        <f t="shared" si="65"/>
        <v>29.302999999999997</v>
      </c>
      <c r="E123" s="2">
        <f t="shared" si="65"/>
        <v>23.256999999999998</v>
      </c>
      <c r="F123" s="2">
        <f t="shared" si="65"/>
        <v>24.640999999999998</v>
      </c>
      <c r="G123" s="2">
        <f t="shared" si="65"/>
        <v>29.270999999999997</v>
      </c>
      <c r="H123" s="2">
        <f t="shared" si="65"/>
        <v>24.868999999999996</v>
      </c>
      <c r="I123" s="2">
        <f t="shared" si="65"/>
        <v>51.854999999999997</v>
      </c>
      <c r="J123" s="2">
        <f t="shared" si="65"/>
        <v>54.417999999999992</v>
      </c>
      <c r="K123" s="2">
        <f t="shared" si="65"/>
        <v>57.4</v>
      </c>
      <c r="L123" s="2">
        <f t="shared" si="65"/>
        <v>29.302999999999997</v>
      </c>
      <c r="M123" s="2">
        <f t="shared" si="65"/>
        <v>79.530999999999992</v>
      </c>
      <c r="N123" s="2">
        <f t="shared" si="65"/>
        <v>54.416999999999994</v>
      </c>
      <c r="O123" s="2">
        <f t="shared" si="65"/>
        <v>50.273999999999994</v>
      </c>
      <c r="P123" s="2">
        <f t="shared" si="65"/>
        <v>54.417999999999992</v>
      </c>
      <c r="Q123" s="2">
        <f t="shared" si="65"/>
        <v>7.4099999999999993</v>
      </c>
      <c r="T123" s="2">
        <f>AVERAGE(T113:T122)</f>
        <v>22.575000000000003</v>
      </c>
      <c r="U123" s="2">
        <f t="shared" ref="U123:AI123" si="66">AVERAGE(U113:U122)</f>
        <v>25.986000000000001</v>
      </c>
      <c r="V123" s="2">
        <f t="shared" si="66"/>
        <v>25.582999999999998</v>
      </c>
      <c r="W123" s="2">
        <f t="shared" si="66"/>
        <v>21.719000000000001</v>
      </c>
      <c r="X123" s="2">
        <f t="shared" si="66"/>
        <v>25.100999999999999</v>
      </c>
      <c r="Y123" s="2">
        <f t="shared" si="66"/>
        <v>25.949000000000002</v>
      </c>
      <c r="Z123" s="2">
        <f t="shared" si="66"/>
        <v>24.036000000000001</v>
      </c>
      <c r="AA123" s="2">
        <f t="shared" si="66"/>
        <v>51.808000000000007</v>
      </c>
      <c r="AB123" s="2">
        <f t="shared" si="66"/>
        <v>53.893000000000008</v>
      </c>
      <c r="AC123" s="2">
        <f t="shared" si="66"/>
        <v>56.4</v>
      </c>
      <c r="AD123" s="2">
        <f t="shared" si="66"/>
        <v>25.582999999999998</v>
      </c>
      <c r="AE123" s="2">
        <f t="shared" si="66"/>
        <v>82.206999999999994</v>
      </c>
      <c r="AF123" s="2">
        <f t="shared" si="66"/>
        <v>53.895000000000003</v>
      </c>
      <c r="AG123" s="2">
        <f t="shared" si="66"/>
        <v>56.624000000000002</v>
      </c>
      <c r="AH123" s="2">
        <f t="shared" si="66"/>
        <v>53.893000000000008</v>
      </c>
      <c r="AI123" s="2">
        <f t="shared" si="66"/>
        <v>6.992</v>
      </c>
      <c r="AL123" s="2">
        <f>AVERAGE(AL113:AL122)</f>
        <v>22.550999999999998</v>
      </c>
      <c r="AM123" s="2">
        <f t="shared" ref="AM123:BA123" si="67">AVERAGE(AM113:AM122)</f>
        <v>22.628999999999998</v>
      </c>
      <c r="AN123" s="2">
        <f t="shared" si="67"/>
        <v>40.744999999999997</v>
      </c>
      <c r="AO123" s="2">
        <f t="shared" si="67"/>
        <v>26.835000000000001</v>
      </c>
      <c r="AP123" s="2">
        <f t="shared" si="67"/>
        <v>22.936</v>
      </c>
      <c r="AQ123" s="2">
        <f t="shared" si="67"/>
        <v>40.316000000000003</v>
      </c>
      <c r="AR123" s="2">
        <f t="shared" si="67"/>
        <v>28.251999999999999</v>
      </c>
      <c r="AS123" s="2">
        <f t="shared" si="67"/>
        <v>50.914999999999999</v>
      </c>
      <c r="AT123" s="2">
        <f t="shared" si="67"/>
        <v>55.095000000000006</v>
      </c>
      <c r="AU123" s="2">
        <f t="shared" si="67"/>
        <v>57.108999999999995</v>
      </c>
      <c r="AV123" s="2">
        <f t="shared" si="67"/>
        <v>40.744999999999997</v>
      </c>
      <c r="AW123" s="2">
        <f t="shared" si="67"/>
        <v>69.441999999999993</v>
      </c>
      <c r="AX123" s="2">
        <f t="shared" si="67"/>
        <v>55.093500000000006</v>
      </c>
      <c r="AY123" s="2">
        <f t="shared" si="67"/>
        <v>28.695999999999998</v>
      </c>
      <c r="AZ123" s="2">
        <f t="shared" si="67"/>
        <v>55.095000000000006</v>
      </c>
      <c r="BA123" s="2">
        <f t="shared" si="67"/>
        <v>7.7370000000000001</v>
      </c>
      <c r="BP123" s="2">
        <f t="shared" ref="BP123:BR123" si="68">AVERAGE(BP113:BP122)</f>
        <v>45.198</v>
      </c>
      <c r="BQ123" s="2">
        <f t="shared" si="68"/>
        <v>54.468666666666664</v>
      </c>
      <c r="BR123" s="2">
        <f t="shared" si="68"/>
        <v>7.379666666666667</v>
      </c>
    </row>
    <row r="126" spans="1:70" x14ac:dyDescent="0.25">
      <c r="A126" s="1" t="s">
        <v>31</v>
      </c>
      <c r="B126">
        <v>11.12</v>
      </c>
      <c r="C126">
        <v>10.93</v>
      </c>
      <c r="D126">
        <v>29.88</v>
      </c>
      <c r="E126">
        <v>15.28</v>
      </c>
      <c r="F126">
        <v>12.6</v>
      </c>
      <c r="G126">
        <v>35.43</v>
      </c>
      <c r="H126">
        <v>18.59</v>
      </c>
      <c r="I126">
        <v>44.94</v>
      </c>
      <c r="J126">
        <v>48.51</v>
      </c>
      <c r="K126">
        <v>47.66</v>
      </c>
      <c r="L126">
        <v>29.88</v>
      </c>
      <c r="M126">
        <v>67.14</v>
      </c>
      <c r="N126">
        <f>(L126+M126)/2</f>
        <v>48.51</v>
      </c>
      <c r="O126">
        <v>37.26</v>
      </c>
      <c r="P126">
        <v>48.51</v>
      </c>
      <c r="Q126">
        <v>-1.88</v>
      </c>
      <c r="S126" s="1" t="s">
        <v>44</v>
      </c>
      <c r="T126">
        <v>11.11</v>
      </c>
      <c r="U126">
        <v>10.88</v>
      </c>
      <c r="V126">
        <v>50.81</v>
      </c>
      <c r="W126">
        <v>13.18</v>
      </c>
      <c r="X126">
        <v>9.44</v>
      </c>
      <c r="Y126">
        <v>42.13</v>
      </c>
      <c r="Z126">
        <v>15.43</v>
      </c>
      <c r="AA126">
        <v>33.67</v>
      </c>
      <c r="AB126">
        <v>49.56</v>
      </c>
      <c r="AC126">
        <v>48.5</v>
      </c>
      <c r="AD126">
        <v>50.81</v>
      </c>
      <c r="AE126">
        <v>48.3</v>
      </c>
      <c r="AF126">
        <f>(AD126+AE126)/2</f>
        <v>49.555</v>
      </c>
      <c r="AG126">
        <v>2.52</v>
      </c>
      <c r="AH126">
        <v>49.56</v>
      </c>
      <c r="AI126">
        <v>-0.72</v>
      </c>
      <c r="AK126" s="1" t="s">
        <v>51</v>
      </c>
      <c r="AL126">
        <v>11.88</v>
      </c>
      <c r="AM126">
        <v>11.92</v>
      </c>
      <c r="AN126">
        <v>37.85</v>
      </c>
      <c r="AO126">
        <v>15.9</v>
      </c>
      <c r="AP126">
        <v>10.61</v>
      </c>
      <c r="AQ126">
        <v>34</v>
      </c>
      <c r="AR126">
        <v>16.170000000000002</v>
      </c>
      <c r="AS126">
        <v>43.17</v>
      </c>
      <c r="AT126">
        <v>50.43</v>
      </c>
      <c r="AU126">
        <v>50.4</v>
      </c>
      <c r="AV126">
        <v>37.85</v>
      </c>
      <c r="AW126">
        <v>63.01</v>
      </c>
      <c r="AX126">
        <f>(AV126+AW126)/2</f>
        <v>50.43</v>
      </c>
      <c r="AY126">
        <v>25.17</v>
      </c>
      <c r="AZ126">
        <v>50.43</v>
      </c>
      <c r="BA126">
        <v>0.62</v>
      </c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1:70" x14ac:dyDescent="0.25">
      <c r="A127" s="1"/>
      <c r="B127">
        <v>11.19</v>
      </c>
      <c r="C127">
        <v>11.85</v>
      </c>
      <c r="D127">
        <v>53.59</v>
      </c>
      <c r="E127">
        <v>16.87</v>
      </c>
      <c r="F127">
        <v>10.24</v>
      </c>
      <c r="G127">
        <v>47.19</v>
      </c>
      <c r="H127">
        <v>16.829999999999998</v>
      </c>
      <c r="I127">
        <v>34.700000000000003</v>
      </c>
      <c r="J127">
        <v>50.17</v>
      </c>
      <c r="K127">
        <v>47.58</v>
      </c>
      <c r="L127">
        <v>53.59</v>
      </c>
      <c r="M127">
        <v>46.74</v>
      </c>
      <c r="N127">
        <f t="shared" ref="N127:N135" si="69">(L127+M127)/2</f>
        <v>50.165000000000006</v>
      </c>
      <c r="O127">
        <v>6.86</v>
      </c>
      <c r="P127">
        <v>50.17</v>
      </c>
      <c r="Q127">
        <v>-0.35</v>
      </c>
      <c r="T127">
        <v>11.1</v>
      </c>
      <c r="U127">
        <v>10.69</v>
      </c>
      <c r="V127">
        <v>34.880000000000003</v>
      </c>
      <c r="W127">
        <v>15.17</v>
      </c>
      <c r="X127">
        <v>10.07</v>
      </c>
      <c r="Y127">
        <v>32.200000000000003</v>
      </c>
      <c r="Z127">
        <v>15.34</v>
      </c>
      <c r="AA127">
        <v>43.19</v>
      </c>
      <c r="AB127">
        <v>48.79</v>
      </c>
      <c r="AC127">
        <v>48.73</v>
      </c>
      <c r="AD127">
        <v>34.880000000000003</v>
      </c>
      <c r="AE127">
        <v>62.7</v>
      </c>
      <c r="AF127">
        <f t="shared" ref="AF127:AF135" si="70">(AD127+AE127)/2</f>
        <v>48.790000000000006</v>
      </c>
      <c r="AG127">
        <v>27.82</v>
      </c>
      <c r="AH127">
        <v>48.79</v>
      </c>
      <c r="AI127">
        <v>-1.79</v>
      </c>
      <c r="AL127">
        <v>11.57</v>
      </c>
      <c r="AM127">
        <v>11.64</v>
      </c>
      <c r="AN127">
        <v>56.52</v>
      </c>
      <c r="AO127">
        <v>19.09</v>
      </c>
      <c r="AP127">
        <v>12.39</v>
      </c>
      <c r="AQ127">
        <v>60.5</v>
      </c>
      <c r="AR127">
        <v>20.57</v>
      </c>
      <c r="AS127">
        <v>37.4</v>
      </c>
      <c r="AT127">
        <v>50.01</v>
      </c>
      <c r="AU127">
        <v>49.73</v>
      </c>
      <c r="AV127">
        <v>56.52</v>
      </c>
      <c r="AW127">
        <v>43.49</v>
      </c>
      <c r="AX127">
        <f t="shared" ref="AX127:AX135" si="71">(AV127+AW127)/2</f>
        <v>50.005000000000003</v>
      </c>
      <c r="AY127">
        <v>13.03</v>
      </c>
      <c r="AZ127">
        <v>50.01</v>
      </c>
      <c r="BA127">
        <v>-0.14000000000000001</v>
      </c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1:70" x14ac:dyDescent="0.25">
      <c r="A128" s="1"/>
      <c r="B128">
        <v>26.79</v>
      </c>
      <c r="C128">
        <v>27.49</v>
      </c>
      <c r="D128">
        <v>38.07</v>
      </c>
      <c r="E128">
        <v>21.83</v>
      </c>
      <c r="F128">
        <v>21.46</v>
      </c>
      <c r="G128">
        <v>32.43</v>
      </c>
      <c r="H128">
        <v>25.83</v>
      </c>
      <c r="I128">
        <v>40.97</v>
      </c>
      <c r="J128">
        <v>49.76</v>
      </c>
      <c r="K128">
        <v>50.86</v>
      </c>
      <c r="L128">
        <v>38.07</v>
      </c>
      <c r="M128">
        <v>61.44</v>
      </c>
      <c r="N128">
        <f t="shared" si="69"/>
        <v>49.754999999999995</v>
      </c>
      <c r="O128">
        <v>23.37</v>
      </c>
      <c r="P128">
        <v>49.76</v>
      </c>
      <c r="Q128">
        <v>0</v>
      </c>
      <c r="T128">
        <v>26.71</v>
      </c>
      <c r="U128">
        <v>27.16</v>
      </c>
      <c r="V128">
        <v>28.94</v>
      </c>
      <c r="W128">
        <v>21.27</v>
      </c>
      <c r="X128">
        <v>24.54</v>
      </c>
      <c r="Y128">
        <v>27.07</v>
      </c>
      <c r="Z128">
        <v>25.75</v>
      </c>
      <c r="AA128">
        <v>45.99</v>
      </c>
      <c r="AB128">
        <v>50.49</v>
      </c>
      <c r="AC128">
        <v>51.5</v>
      </c>
      <c r="AD128">
        <v>28.94</v>
      </c>
      <c r="AE128">
        <v>72.05</v>
      </c>
      <c r="AF128">
        <f t="shared" si="70"/>
        <v>50.494999999999997</v>
      </c>
      <c r="AG128">
        <v>43.11</v>
      </c>
      <c r="AH128">
        <v>50.49</v>
      </c>
      <c r="AI128">
        <v>1.3</v>
      </c>
      <c r="AL128">
        <v>26.74</v>
      </c>
      <c r="AM128">
        <v>26.22</v>
      </c>
      <c r="AN128">
        <v>55.42</v>
      </c>
      <c r="AO128">
        <v>33.47</v>
      </c>
      <c r="AP128">
        <v>25.9</v>
      </c>
      <c r="AQ128">
        <v>55.06</v>
      </c>
      <c r="AR128">
        <v>35.229999999999997</v>
      </c>
      <c r="AS128">
        <v>44.33</v>
      </c>
      <c r="AT128">
        <v>50.68</v>
      </c>
      <c r="AU128">
        <v>50.84</v>
      </c>
      <c r="AV128">
        <v>55.42</v>
      </c>
      <c r="AW128">
        <v>45.94</v>
      </c>
      <c r="AX128">
        <f t="shared" si="71"/>
        <v>50.68</v>
      </c>
      <c r="AY128">
        <v>9.48</v>
      </c>
      <c r="AZ128">
        <v>50.68</v>
      </c>
      <c r="BA128">
        <v>1.33</v>
      </c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1:70" x14ac:dyDescent="0.25">
      <c r="A129" s="1"/>
      <c r="B129">
        <v>11.09</v>
      </c>
      <c r="C129">
        <v>11.42</v>
      </c>
      <c r="D129">
        <v>55.19</v>
      </c>
      <c r="E129">
        <v>17.260000000000002</v>
      </c>
      <c r="F129">
        <v>10.39</v>
      </c>
      <c r="G129">
        <v>50.01</v>
      </c>
      <c r="H129">
        <v>17.21</v>
      </c>
      <c r="I129">
        <v>33.71</v>
      </c>
      <c r="J129">
        <v>49.74</v>
      </c>
      <c r="K129">
        <v>47.06</v>
      </c>
      <c r="L129">
        <v>55.19</v>
      </c>
      <c r="M129">
        <v>44.29</v>
      </c>
      <c r="N129">
        <f t="shared" si="69"/>
        <v>49.739999999999995</v>
      </c>
      <c r="O129">
        <v>10.91</v>
      </c>
      <c r="P129">
        <v>49.74</v>
      </c>
      <c r="Q129">
        <v>-0.25</v>
      </c>
      <c r="T129">
        <v>10.7</v>
      </c>
      <c r="U129">
        <v>11.03</v>
      </c>
      <c r="V129">
        <v>49.57</v>
      </c>
      <c r="W129">
        <v>16.75</v>
      </c>
      <c r="X129">
        <v>13.13</v>
      </c>
      <c r="Y129">
        <v>58.84</v>
      </c>
      <c r="Z129">
        <v>21.47</v>
      </c>
      <c r="AA129">
        <v>34.78</v>
      </c>
      <c r="AB129">
        <v>48.75</v>
      </c>
      <c r="AC129">
        <v>46.95</v>
      </c>
      <c r="AD129">
        <v>49.57</v>
      </c>
      <c r="AE129">
        <v>47.93</v>
      </c>
      <c r="AF129">
        <f t="shared" si="70"/>
        <v>48.75</v>
      </c>
      <c r="AG129">
        <v>1.64</v>
      </c>
      <c r="AH129">
        <v>48.75</v>
      </c>
      <c r="AI129">
        <v>-2.06</v>
      </c>
      <c r="AL129">
        <v>11.31</v>
      </c>
      <c r="AM129">
        <v>11.3</v>
      </c>
      <c r="AN129">
        <v>62.87</v>
      </c>
      <c r="AO129">
        <v>18.77</v>
      </c>
      <c r="AP129">
        <v>10.92</v>
      </c>
      <c r="AQ129">
        <v>61.16</v>
      </c>
      <c r="AR129">
        <v>18.54</v>
      </c>
      <c r="AS129">
        <v>34.1</v>
      </c>
      <c r="AT129">
        <v>48.96</v>
      </c>
      <c r="AU129">
        <v>48.36</v>
      </c>
      <c r="AV129">
        <v>62.87</v>
      </c>
      <c r="AW129">
        <v>35.04</v>
      </c>
      <c r="AX129">
        <f t="shared" si="71"/>
        <v>48.954999999999998</v>
      </c>
      <c r="AY129">
        <v>27.83</v>
      </c>
      <c r="AZ129">
        <v>48.96</v>
      </c>
      <c r="BA129">
        <v>-1.36</v>
      </c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1:70" x14ac:dyDescent="0.25">
      <c r="A130" s="1"/>
      <c r="B130">
        <v>27.41</v>
      </c>
      <c r="C130">
        <v>26.69</v>
      </c>
      <c r="D130">
        <v>54.96</v>
      </c>
      <c r="E130">
        <v>32.270000000000003</v>
      </c>
      <c r="F130">
        <v>26.34</v>
      </c>
      <c r="G130">
        <v>55.27</v>
      </c>
      <c r="H130">
        <v>35.68</v>
      </c>
      <c r="I130">
        <v>41.7</v>
      </c>
      <c r="J130">
        <v>50.91</v>
      </c>
      <c r="K130">
        <v>51.81</v>
      </c>
      <c r="L130">
        <v>54.96</v>
      </c>
      <c r="M130">
        <v>46.87</v>
      </c>
      <c r="N130">
        <f t="shared" si="69"/>
        <v>50.914999999999999</v>
      </c>
      <c r="O130">
        <v>8.08</v>
      </c>
      <c r="P130">
        <v>50.91</v>
      </c>
      <c r="Q130">
        <v>2.41</v>
      </c>
      <c r="T130">
        <v>26.34</v>
      </c>
      <c r="U130">
        <v>26.37</v>
      </c>
      <c r="V130">
        <v>43.37</v>
      </c>
      <c r="W130">
        <v>28.46</v>
      </c>
      <c r="X130">
        <v>25.16</v>
      </c>
      <c r="Y130">
        <v>41.98</v>
      </c>
      <c r="Z130">
        <v>31.47</v>
      </c>
      <c r="AA130">
        <v>43.73</v>
      </c>
      <c r="AB130">
        <v>50.5</v>
      </c>
      <c r="AC130">
        <v>50.54</v>
      </c>
      <c r="AD130">
        <v>43.37</v>
      </c>
      <c r="AE130">
        <v>57.63</v>
      </c>
      <c r="AF130">
        <f t="shared" si="70"/>
        <v>50.5</v>
      </c>
      <c r="AG130">
        <v>14.26</v>
      </c>
      <c r="AH130">
        <v>50.5</v>
      </c>
      <c r="AI130">
        <v>1.48</v>
      </c>
      <c r="AL130">
        <v>26.4</v>
      </c>
      <c r="AM130">
        <v>25.93</v>
      </c>
      <c r="AN130">
        <v>54.99</v>
      </c>
      <c r="AO130">
        <v>31.31</v>
      </c>
      <c r="AP130">
        <v>23.95</v>
      </c>
      <c r="AQ130">
        <v>51.83</v>
      </c>
      <c r="AR130">
        <v>32.770000000000003</v>
      </c>
      <c r="AS130">
        <v>41.54</v>
      </c>
      <c r="AT130">
        <v>49.79</v>
      </c>
      <c r="AU130">
        <v>49.92</v>
      </c>
      <c r="AV130">
        <v>54.99</v>
      </c>
      <c r="AW130">
        <v>44.59</v>
      </c>
      <c r="AX130">
        <f t="shared" si="71"/>
        <v>49.790000000000006</v>
      </c>
      <c r="AY130">
        <v>10.4</v>
      </c>
      <c r="AZ130">
        <v>49.79</v>
      </c>
      <c r="BA130">
        <v>0.04</v>
      </c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1:70" x14ac:dyDescent="0.25">
      <c r="A131" s="1"/>
      <c r="B131">
        <v>22.7</v>
      </c>
      <c r="C131">
        <v>22.16</v>
      </c>
      <c r="D131">
        <v>43.83</v>
      </c>
      <c r="E131">
        <v>24.54</v>
      </c>
      <c r="F131">
        <v>20.64</v>
      </c>
      <c r="G131">
        <v>41.19</v>
      </c>
      <c r="H131">
        <v>27.5</v>
      </c>
      <c r="I131">
        <v>41.46</v>
      </c>
      <c r="J131">
        <v>49.72</v>
      </c>
      <c r="K131">
        <v>50.47</v>
      </c>
      <c r="L131">
        <v>43.83</v>
      </c>
      <c r="M131">
        <v>55.61</v>
      </c>
      <c r="N131">
        <f t="shared" si="69"/>
        <v>49.72</v>
      </c>
      <c r="O131">
        <v>11.78</v>
      </c>
      <c r="P131">
        <v>49.72</v>
      </c>
      <c r="Q131">
        <v>-0.33</v>
      </c>
      <c r="T131">
        <v>22.15</v>
      </c>
      <c r="U131">
        <v>22.03</v>
      </c>
      <c r="V131">
        <v>41.53</v>
      </c>
      <c r="W131">
        <v>25.09</v>
      </c>
      <c r="X131">
        <v>23.04</v>
      </c>
      <c r="Y131">
        <v>44.52</v>
      </c>
      <c r="Z131">
        <v>30.37</v>
      </c>
      <c r="AA131">
        <v>43.14</v>
      </c>
      <c r="AB131">
        <v>49.11</v>
      </c>
      <c r="AC131">
        <v>48.35</v>
      </c>
      <c r="AD131">
        <v>41.53</v>
      </c>
      <c r="AE131">
        <v>56.68</v>
      </c>
      <c r="AF131">
        <f t="shared" si="70"/>
        <v>49.105000000000004</v>
      </c>
      <c r="AG131">
        <v>15.15</v>
      </c>
      <c r="AH131">
        <v>49.11</v>
      </c>
      <c r="AI131">
        <v>-1</v>
      </c>
      <c r="AL131">
        <v>22.89</v>
      </c>
      <c r="AM131">
        <v>22.51</v>
      </c>
      <c r="AN131">
        <v>51.4</v>
      </c>
      <c r="AO131">
        <v>26.92</v>
      </c>
      <c r="AP131">
        <v>20.56</v>
      </c>
      <c r="AQ131">
        <v>47.29</v>
      </c>
      <c r="AR131">
        <v>28.66</v>
      </c>
      <c r="AS131">
        <v>41.55</v>
      </c>
      <c r="AT131">
        <v>50.27</v>
      </c>
      <c r="AU131">
        <v>51.05</v>
      </c>
      <c r="AV131">
        <v>51.4</v>
      </c>
      <c r="AW131">
        <v>49.13</v>
      </c>
      <c r="AX131">
        <f t="shared" si="71"/>
        <v>50.265000000000001</v>
      </c>
      <c r="AY131">
        <v>2.27</v>
      </c>
      <c r="AZ131">
        <v>50.27</v>
      </c>
      <c r="BA131">
        <v>0.71</v>
      </c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1:70" x14ac:dyDescent="0.25">
      <c r="A132" s="1"/>
      <c r="B132">
        <v>11.65</v>
      </c>
      <c r="C132">
        <v>11.32</v>
      </c>
      <c r="D132">
        <v>50.75</v>
      </c>
      <c r="E132">
        <v>16.53</v>
      </c>
      <c r="F132">
        <v>9.8000000000000007</v>
      </c>
      <c r="G132">
        <v>45.29</v>
      </c>
      <c r="H132">
        <v>16.11</v>
      </c>
      <c r="I132">
        <v>36.42</v>
      </c>
      <c r="J132">
        <v>48.51</v>
      </c>
      <c r="K132">
        <v>49.06</v>
      </c>
      <c r="L132">
        <v>50.75</v>
      </c>
      <c r="M132">
        <v>46.26</v>
      </c>
      <c r="N132">
        <f t="shared" si="69"/>
        <v>48.504999999999995</v>
      </c>
      <c r="O132">
        <v>4.49</v>
      </c>
      <c r="P132">
        <v>48.51</v>
      </c>
      <c r="Q132">
        <v>-1.63</v>
      </c>
      <c r="T132">
        <v>10.7</v>
      </c>
      <c r="U132">
        <v>10.93</v>
      </c>
      <c r="V132">
        <v>56.65</v>
      </c>
      <c r="W132">
        <v>18.149999999999999</v>
      </c>
      <c r="X132">
        <v>12.47</v>
      </c>
      <c r="Y132">
        <v>64.11</v>
      </c>
      <c r="Z132">
        <v>20.89</v>
      </c>
      <c r="AA132">
        <v>33.6</v>
      </c>
      <c r="AB132">
        <v>48.45</v>
      </c>
      <c r="AC132">
        <v>46.96</v>
      </c>
      <c r="AD132">
        <v>56.65</v>
      </c>
      <c r="AE132">
        <v>40.25</v>
      </c>
      <c r="AF132">
        <f t="shared" si="70"/>
        <v>48.45</v>
      </c>
      <c r="AG132">
        <v>16.41</v>
      </c>
      <c r="AH132">
        <v>48.45</v>
      </c>
      <c r="AI132">
        <v>-2.2200000000000002</v>
      </c>
      <c r="AL132">
        <v>11.61</v>
      </c>
      <c r="AM132">
        <v>11.63</v>
      </c>
      <c r="AN132">
        <v>43.27</v>
      </c>
      <c r="AO132">
        <v>17.829999999999998</v>
      </c>
      <c r="AP132">
        <v>13.33</v>
      </c>
      <c r="AQ132">
        <v>50.34</v>
      </c>
      <c r="AR132">
        <v>21.07</v>
      </c>
      <c r="AS132">
        <v>41.47</v>
      </c>
      <c r="AT132">
        <v>49.77</v>
      </c>
      <c r="AU132">
        <v>49.42</v>
      </c>
      <c r="AV132">
        <v>43.27</v>
      </c>
      <c r="AW132">
        <v>56.28</v>
      </c>
      <c r="AX132">
        <f t="shared" si="71"/>
        <v>49.775000000000006</v>
      </c>
      <c r="AY132">
        <v>13</v>
      </c>
      <c r="AZ132">
        <v>49.77</v>
      </c>
      <c r="BA132">
        <v>-0.1</v>
      </c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1:70" x14ac:dyDescent="0.25">
      <c r="A133" s="1"/>
      <c r="B133">
        <v>27.39</v>
      </c>
      <c r="C133">
        <v>26.42</v>
      </c>
      <c r="D133">
        <v>59.6</v>
      </c>
      <c r="E133">
        <v>34.729999999999997</v>
      </c>
      <c r="F133">
        <v>27.47</v>
      </c>
      <c r="G133">
        <v>62.44</v>
      </c>
      <c r="H133">
        <v>38.15</v>
      </c>
      <c r="I133">
        <v>43.21</v>
      </c>
      <c r="J133">
        <v>51.02</v>
      </c>
      <c r="K133">
        <v>52</v>
      </c>
      <c r="L133">
        <v>59.6</v>
      </c>
      <c r="M133">
        <v>42.44</v>
      </c>
      <c r="N133">
        <f t="shared" si="69"/>
        <v>51.019999999999996</v>
      </c>
      <c r="O133">
        <v>17.170000000000002</v>
      </c>
      <c r="P133">
        <v>51.02</v>
      </c>
      <c r="Q133">
        <v>2.2200000000000002</v>
      </c>
      <c r="T133">
        <v>26.32</v>
      </c>
      <c r="U133">
        <v>26.26</v>
      </c>
      <c r="V133">
        <v>46.67</v>
      </c>
      <c r="W133">
        <v>29.47</v>
      </c>
      <c r="X133">
        <v>23.98</v>
      </c>
      <c r="Y133">
        <v>43.28</v>
      </c>
      <c r="Z133">
        <v>30.86</v>
      </c>
      <c r="AA133">
        <v>43.43</v>
      </c>
      <c r="AB133">
        <v>50.39</v>
      </c>
      <c r="AC133">
        <v>50.74</v>
      </c>
      <c r="AD133">
        <v>46.67</v>
      </c>
      <c r="AE133">
        <v>54.1</v>
      </c>
      <c r="AF133">
        <f t="shared" si="70"/>
        <v>50.385000000000005</v>
      </c>
      <c r="AG133">
        <v>7.43</v>
      </c>
      <c r="AH133">
        <v>50.39</v>
      </c>
      <c r="AI133">
        <v>1.22</v>
      </c>
      <c r="AL133">
        <v>27.04</v>
      </c>
      <c r="AM133">
        <v>25.6</v>
      </c>
      <c r="AN133">
        <v>51.61</v>
      </c>
      <c r="AO133">
        <v>32.840000000000003</v>
      </c>
      <c r="AP133">
        <v>28.16</v>
      </c>
      <c r="AQ133">
        <v>56.85</v>
      </c>
      <c r="AR133">
        <v>37.659999999999997</v>
      </c>
      <c r="AS133">
        <v>44.81</v>
      </c>
      <c r="AT133">
        <v>50.05</v>
      </c>
      <c r="AU133">
        <v>50.89</v>
      </c>
      <c r="AV133">
        <v>51.61</v>
      </c>
      <c r="AW133">
        <v>48.5</v>
      </c>
      <c r="AX133">
        <f t="shared" si="71"/>
        <v>50.055</v>
      </c>
      <c r="AY133">
        <v>3.12</v>
      </c>
      <c r="AZ133">
        <v>50.05</v>
      </c>
      <c r="BA133">
        <v>0.41</v>
      </c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1:70" x14ac:dyDescent="0.25">
      <c r="A134" s="1"/>
      <c r="B134">
        <v>21.97</v>
      </c>
      <c r="C134">
        <v>22.09</v>
      </c>
      <c r="D134">
        <v>71.180000000000007</v>
      </c>
      <c r="E134">
        <v>31.36</v>
      </c>
      <c r="F134">
        <v>23.06</v>
      </c>
      <c r="G134">
        <v>74.260000000000005</v>
      </c>
      <c r="H134">
        <v>35.19</v>
      </c>
      <c r="I134">
        <v>34.479999999999997</v>
      </c>
      <c r="J134">
        <v>49.86</v>
      </c>
      <c r="K134">
        <v>49.49</v>
      </c>
      <c r="L134">
        <v>71.180000000000007</v>
      </c>
      <c r="M134">
        <v>28.53</v>
      </c>
      <c r="N134">
        <f t="shared" si="69"/>
        <v>49.855000000000004</v>
      </c>
      <c r="O134">
        <v>42.64</v>
      </c>
      <c r="P134">
        <v>49.86</v>
      </c>
      <c r="Q134">
        <v>0.05</v>
      </c>
      <c r="T134">
        <v>21.49</v>
      </c>
      <c r="U134">
        <v>29.39</v>
      </c>
      <c r="V134">
        <v>39.479999999999997</v>
      </c>
      <c r="W134">
        <v>20.170000000000002</v>
      </c>
      <c r="X134">
        <v>20.87</v>
      </c>
      <c r="Y134">
        <v>37.520000000000003</v>
      </c>
      <c r="Z134">
        <v>26.82</v>
      </c>
      <c r="AA134">
        <v>40.82</v>
      </c>
      <c r="AB134">
        <v>49.71</v>
      </c>
      <c r="AC134">
        <v>48.36</v>
      </c>
      <c r="AD134">
        <v>39.479999999999997</v>
      </c>
      <c r="AE134">
        <v>59.95</v>
      </c>
      <c r="AF134">
        <f t="shared" si="70"/>
        <v>49.715000000000003</v>
      </c>
      <c r="AG134">
        <v>20.47</v>
      </c>
      <c r="AH134">
        <v>49.71</v>
      </c>
      <c r="AI134">
        <v>-0.57999999999999996</v>
      </c>
      <c r="AL134">
        <v>23.01</v>
      </c>
      <c r="AM134">
        <v>22.93</v>
      </c>
      <c r="AN134">
        <v>58.25</v>
      </c>
      <c r="AO134">
        <v>29.56</v>
      </c>
      <c r="AP134">
        <v>22.98</v>
      </c>
      <c r="AQ134">
        <v>59.02</v>
      </c>
      <c r="AR134">
        <v>33.08</v>
      </c>
      <c r="AS134">
        <v>40.86</v>
      </c>
      <c r="AT134">
        <v>50.79</v>
      </c>
      <c r="AU134">
        <v>51.15</v>
      </c>
      <c r="AV134">
        <v>58.25</v>
      </c>
      <c r="AW134">
        <v>43.34</v>
      </c>
      <c r="AX134">
        <f t="shared" si="71"/>
        <v>50.795000000000002</v>
      </c>
      <c r="AY134">
        <v>14.91</v>
      </c>
      <c r="AZ134">
        <v>50.79</v>
      </c>
      <c r="BA134">
        <v>1.52</v>
      </c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1:70" x14ac:dyDescent="0.25">
      <c r="B135">
        <v>16.48</v>
      </c>
      <c r="C135">
        <v>16.739999999999998</v>
      </c>
      <c r="D135">
        <v>68.06</v>
      </c>
      <c r="E135">
        <v>23.46</v>
      </c>
      <c r="F135">
        <v>15.03</v>
      </c>
      <c r="G135">
        <v>61.94</v>
      </c>
      <c r="H135">
        <v>24.19</v>
      </c>
      <c r="I135">
        <v>32.04</v>
      </c>
      <c r="J135">
        <v>49.68</v>
      </c>
      <c r="K135">
        <v>48.54</v>
      </c>
      <c r="L135">
        <v>68.06</v>
      </c>
      <c r="M135">
        <v>31.3</v>
      </c>
      <c r="N135">
        <f t="shared" si="69"/>
        <v>49.68</v>
      </c>
      <c r="O135">
        <v>36.76</v>
      </c>
      <c r="P135">
        <v>49.68</v>
      </c>
      <c r="Q135">
        <v>-0.42</v>
      </c>
      <c r="T135">
        <v>17.57</v>
      </c>
      <c r="U135">
        <v>26.05</v>
      </c>
      <c r="V135">
        <v>33.880000000000003</v>
      </c>
      <c r="W135">
        <v>17.36</v>
      </c>
      <c r="X135">
        <v>17.100000000000001</v>
      </c>
      <c r="Y135">
        <v>34.36</v>
      </c>
      <c r="Z135">
        <v>22.84</v>
      </c>
      <c r="AA135">
        <v>43.08</v>
      </c>
      <c r="AB135">
        <v>50.37</v>
      </c>
      <c r="AC135">
        <v>52.12</v>
      </c>
      <c r="AD135">
        <v>33.880000000000003</v>
      </c>
      <c r="AE135">
        <v>66.86</v>
      </c>
      <c r="AF135">
        <f t="shared" si="70"/>
        <v>50.370000000000005</v>
      </c>
      <c r="AG135">
        <v>32.979999999999997</v>
      </c>
      <c r="AH135">
        <v>50.37</v>
      </c>
      <c r="AI135">
        <v>0.93</v>
      </c>
      <c r="AL135">
        <v>17.68</v>
      </c>
      <c r="AM135">
        <v>17.16</v>
      </c>
      <c r="AN135">
        <v>55.88</v>
      </c>
      <c r="AO135">
        <v>23.23</v>
      </c>
      <c r="AP135">
        <v>16.420000000000002</v>
      </c>
      <c r="AQ135">
        <v>54.95</v>
      </c>
      <c r="AR135">
        <v>25.28</v>
      </c>
      <c r="AS135">
        <v>39.04</v>
      </c>
      <c r="AT135">
        <v>50.21</v>
      </c>
      <c r="AU135">
        <v>51.44</v>
      </c>
      <c r="AV135">
        <v>55.88</v>
      </c>
      <c r="AW135">
        <v>44.55</v>
      </c>
      <c r="AX135">
        <f t="shared" si="71"/>
        <v>50.215000000000003</v>
      </c>
      <c r="AY135">
        <v>11.33</v>
      </c>
      <c r="AZ135">
        <v>50.21</v>
      </c>
      <c r="BA135">
        <v>0.81</v>
      </c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1:70" x14ac:dyDescent="0.25">
      <c r="B136" s="2">
        <f>AVERAGE(B126:B135)</f>
        <v>18.779</v>
      </c>
      <c r="C136" s="2">
        <f t="shared" ref="C136:Q136" si="72">AVERAGE(C126:C135)</f>
        <v>18.710999999999999</v>
      </c>
      <c r="D136" s="2">
        <f t="shared" si="72"/>
        <v>52.511000000000003</v>
      </c>
      <c r="E136" s="2">
        <f t="shared" si="72"/>
        <v>23.412999999999997</v>
      </c>
      <c r="F136" s="2">
        <f t="shared" si="72"/>
        <v>17.702999999999999</v>
      </c>
      <c r="G136" s="2">
        <f t="shared" si="72"/>
        <v>50.545000000000002</v>
      </c>
      <c r="H136" s="2">
        <f t="shared" si="72"/>
        <v>25.527999999999999</v>
      </c>
      <c r="I136" s="2">
        <f t="shared" si="72"/>
        <v>38.363</v>
      </c>
      <c r="J136" s="2">
        <f t="shared" si="72"/>
        <v>49.787999999999997</v>
      </c>
      <c r="K136" s="2">
        <f t="shared" si="72"/>
        <v>49.453000000000003</v>
      </c>
      <c r="L136" s="2">
        <f t="shared" si="72"/>
        <v>52.511000000000003</v>
      </c>
      <c r="M136" s="2">
        <f t="shared" si="72"/>
        <v>47.061999999999998</v>
      </c>
      <c r="N136" s="2">
        <f t="shared" si="72"/>
        <v>49.786500000000004</v>
      </c>
      <c r="O136" s="2">
        <f t="shared" si="72"/>
        <v>19.931999999999999</v>
      </c>
      <c r="P136" s="2">
        <f t="shared" si="72"/>
        <v>49.787999999999997</v>
      </c>
      <c r="Q136" s="2">
        <f t="shared" si="72"/>
        <v>-1.799999999999996E-2</v>
      </c>
      <c r="T136" s="2">
        <f>AVERAGE(T126:T135)</f>
        <v>18.419000000000004</v>
      </c>
      <c r="U136" s="2">
        <f t="shared" ref="U136:AI136" si="73">AVERAGE(U126:U135)</f>
        <v>20.079000000000001</v>
      </c>
      <c r="V136" s="2">
        <f t="shared" si="73"/>
        <v>42.578000000000003</v>
      </c>
      <c r="W136" s="2">
        <f t="shared" si="73"/>
        <v>20.507000000000005</v>
      </c>
      <c r="X136" s="2">
        <f t="shared" si="73"/>
        <v>17.979999999999997</v>
      </c>
      <c r="Y136" s="2">
        <f t="shared" si="73"/>
        <v>42.600999999999999</v>
      </c>
      <c r="Z136" s="2">
        <f t="shared" si="73"/>
        <v>24.123999999999999</v>
      </c>
      <c r="AA136" s="2">
        <f t="shared" si="73"/>
        <v>40.542999999999999</v>
      </c>
      <c r="AB136" s="2">
        <f t="shared" si="73"/>
        <v>49.611999999999995</v>
      </c>
      <c r="AC136" s="2">
        <f t="shared" si="73"/>
        <v>49.274999999999999</v>
      </c>
      <c r="AD136" s="2">
        <f t="shared" si="73"/>
        <v>42.578000000000003</v>
      </c>
      <c r="AE136" s="2">
        <f t="shared" si="73"/>
        <v>56.645000000000003</v>
      </c>
      <c r="AF136" s="2">
        <f t="shared" si="73"/>
        <v>49.611499999999999</v>
      </c>
      <c r="AG136" s="2">
        <f t="shared" si="73"/>
        <v>18.178999999999998</v>
      </c>
      <c r="AH136" s="2">
        <f t="shared" si="73"/>
        <v>49.611999999999995</v>
      </c>
      <c r="AI136" s="2">
        <f t="shared" si="73"/>
        <v>-0.34399999999999997</v>
      </c>
      <c r="AL136" s="2">
        <f>AVERAGE(AL126:AL135)</f>
        <v>19.012999999999998</v>
      </c>
      <c r="AM136" s="2">
        <f t="shared" ref="AM136:BA136" si="74">AVERAGE(AM126:AM135)</f>
        <v>18.684000000000001</v>
      </c>
      <c r="AN136" s="2">
        <f t="shared" si="74"/>
        <v>52.806000000000004</v>
      </c>
      <c r="AO136" s="2">
        <f t="shared" si="74"/>
        <v>24.892000000000003</v>
      </c>
      <c r="AP136" s="2">
        <f t="shared" si="74"/>
        <v>18.521999999999998</v>
      </c>
      <c r="AQ136" s="2">
        <f t="shared" si="74"/>
        <v>53.100000000000009</v>
      </c>
      <c r="AR136" s="2">
        <f t="shared" si="74"/>
        <v>26.902999999999999</v>
      </c>
      <c r="AS136" s="2">
        <f t="shared" si="74"/>
        <v>40.826999999999998</v>
      </c>
      <c r="AT136" s="2">
        <f t="shared" si="74"/>
        <v>50.095999999999997</v>
      </c>
      <c r="AU136" s="2">
        <f t="shared" si="74"/>
        <v>50.32</v>
      </c>
      <c r="AV136" s="2">
        <f t="shared" si="74"/>
        <v>52.806000000000004</v>
      </c>
      <c r="AW136" s="2">
        <f t="shared" si="74"/>
        <v>47.387000000000008</v>
      </c>
      <c r="AX136" s="2">
        <f t="shared" si="74"/>
        <v>50.096500000000006</v>
      </c>
      <c r="AY136" s="2">
        <f t="shared" si="74"/>
        <v>13.054000000000002</v>
      </c>
      <c r="AZ136" s="2">
        <f t="shared" si="74"/>
        <v>50.095999999999997</v>
      </c>
      <c r="BA136" s="2">
        <f t="shared" si="74"/>
        <v>0.38400000000000001</v>
      </c>
    </row>
    <row r="139" spans="1:70" x14ac:dyDescent="0.25">
      <c r="A139" s="1" t="s">
        <v>32</v>
      </c>
      <c r="B139">
        <v>16.670000000000002</v>
      </c>
      <c r="C139">
        <v>17.53</v>
      </c>
      <c r="D139">
        <v>49.91</v>
      </c>
      <c r="E139">
        <v>25.37</v>
      </c>
      <c r="F139">
        <v>17.13</v>
      </c>
      <c r="G139">
        <v>47.67</v>
      </c>
      <c r="H139">
        <v>25.2</v>
      </c>
      <c r="I139">
        <v>52.15</v>
      </c>
      <c r="J139">
        <v>59.9</v>
      </c>
      <c r="K139">
        <v>63.28</v>
      </c>
      <c r="L139">
        <v>49.91</v>
      </c>
      <c r="M139">
        <v>69.89</v>
      </c>
      <c r="N139">
        <f>(L139+M139)/2</f>
        <v>59.9</v>
      </c>
      <c r="O139">
        <v>19.98</v>
      </c>
      <c r="P139">
        <v>59.9</v>
      </c>
      <c r="Q139">
        <v>13.05</v>
      </c>
      <c r="S139" s="1" t="s">
        <v>46</v>
      </c>
      <c r="T139">
        <v>17.09</v>
      </c>
      <c r="U139">
        <v>17.8</v>
      </c>
      <c r="V139">
        <v>47.82</v>
      </c>
      <c r="W139">
        <v>25.71</v>
      </c>
      <c r="X139">
        <v>17.53</v>
      </c>
      <c r="Y139">
        <v>46.62</v>
      </c>
      <c r="Z139">
        <v>25.48</v>
      </c>
      <c r="AA139">
        <v>52.72</v>
      </c>
      <c r="AB139">
        <v>59.5</v>
      </c>
      <c r="AC139">
        <v>64.34</v>
      </c>
      <c r="AD139">
        <v>47.82</v>
      </c>
      <c r="AE139">
        <v>71.17</v>
      </c>
      <c r="AF139">
        <f>(AD139+AE139)/2</f>
        <v>59.495000000000005</v>
      </c>
      <c r="AG139">
        <v>23.35</v>
      </c>
      <c r="AH139">
        <v>59.5</v>
      </c>
      <c r="AI139">
        <v>12.8</v>
      </c>
      <c r="AK139" s="1" t="s">
        <v>52</v>
      </c>
      <c r="AL139" s="1">
        <v>17.809999999999999</v>
      </c>
      <c r="AM139" s="1">
        <v>16.88</v>
      </c>
      <c r="AN139" s="1">
        <v>58.1</v>
      </c>
      <c r="AO139" s="1">
        <v>26.1</v>
      </c>
      <c r="AP139" s="1">
        <v>16.82</v>
      </c>
      <c r="AQ139" s="1">
        <v>58.35</v>
      </c>
      <c r="AR139" s="1">
        <v>26.11</v>
      </c>
      <c r="AS139" s="1">
        <v>49.77</v>
      </c>
      <c r="AT139" s="1">
        <v>60</v>
      </c>
      <c r="AU139" s="1">
        <v>63.91</v>
      </c>
      <c r="AV139" s="1">
        <v>58.1</v>
      </c>
      <c r="AW139" s="1">
        <v>61.9</v>
      </c>
      <c r="AX139">
        <f>(AV139+AW139)/2</f>
        <v>60</v>
      </c>
      <c r="AY139" s="1">
        <v>3.8</v>
      </c>
      <c r="AZ139" s="1">
        <v>60</v>
      </c>
      <c r="BA139" s="1">
        <v>12.79</v>
      </c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1">
        <f t="shared" ref="BP139:BP148" si="75">(O139+AG139+AY139)/3</f>
        <v>15.709999999999999</v>
      </c>
      <c r="BQ139" s="1">
        <f t="shared" ref="BQ139:BQ148" si="76">(P139+AH139+AZ139)/3</f>
        <v>59.800000000000004</v>
      </c>
      <c r="BR139" s="1">
        <f t="shared" ref="BR139:BR148" si="77">(Q139+AI139+BA139)/3</f>
        <v>12.88</v>
      </c>
    </row>
    <row r="140" spans="1:70" x14ac:dyDescent="0.25">
      <c r="B140">
        <v>18.600000000000001</v>
      </c>
      <c r="C140">
        <v>19</v>
      </c>
      <c r="D140">
        <v>49.57</v>
      </c>
      <c r="E140">
        <v>27.05</v>
      </c>
      <c r="F140">
        <v>18.79</v>
      </c>
      <c r="G140">
        <v>47.79</v>
      </c>
      <c r="H140">
        <v>26.97</v>
      </c>
      <c r="I140">
        <v>54.09</v>
      </c>
      <c r="J140">
        <v>61.28</v>
      </c>
      <c r="K140">
        <v>65.33</v>
      </c>
      <c r="L140">
        <v>49.57</v>
      </c>
      <c r="M140">
        <v>72.989999999999995</v>
      </c>
      <c r="N140">
        <f t="shared" ref="N140:N148" si="78">(L140+M140)/2</f>
        <v>61.28</v>
      </c>
      <c r="O140">
        <v>23.42</v>
      </c>
      <c r="P140">
        <v>61.28</v>
      </c>
      <c r="Q140">
        <v>15.28</v>
      </c>
      <c r="T140">
        <v>18.239999999999998</v>
      </c>
      <c r="U140">
        <v>18.899999999999999</v>
      </c>
      <c r="V140">
        <v>52.71</v>
      </c>
      <c r="W140">
        <v>27.43</v>
      </c>
      <c r="X140">
        <v>18.57</v>
      </c>
      <c r="Y140">
        <v>50.73</v>
      </c>
      <c r="Z140">
        <v>27.19</v>
      </c>
      <c r="AA140">
        <v>53.64</v>
      </c>
      <c r="AB140">
        <v>61.8</v>
      </c>
      <c r="AC140">
        <v>65.75</v>
      </c>
      <c r="AD140">
        <v>52.71</v>
      </c>
      <c r="AE140">
        <v>70.900000000000006</v>
      </c>
      <c r="AF140">
        <f t="shared" ref="AF140:AF148" si="79">(AD140+AE140)/2</f>
        <v>61.805000000000007</v>
      </c>
      <c r="AG140">
        <v>18.190000000000001</v>
      </c>
      <c r="AH140">
        <v>61.8</v>
      </c>
      <c r="AI140">
        <v>15.7</v>
      </c>
      <c r="AL140" s="1">
        <v>17.79</v>
      </c>
      <c r="AM140" s="1">
        <v>18.170000000000002</v>
      </c>
      <c r="AN140" s="1">
        <v>52.2</v>
      </c>
      <c r="AO140" s="1">
        <v>26.48</v>
      </c>
      <c r="AP140" s="1">
        <v>17.95</v>
      </c>
      <c r="AQ140" s="1">
        <v>49.97</v>
      </c>
      <c r="AR140" s="1">
        <v>26.41</v>
      </c>
      <c r="AS140" s="1">
        <v>52.92</v>
      </c>
      <c r="AT140" s="1">
        <v>61.18</v>
      </c>
      <c r="AU140" s="1">
        <v>64.05</v>
      </c>
      <c r="AV140" s="1">
        <v>52.2</v>
      </c>
      <c r="AW140" s="1">
        <v>70.16</v>
      </c>
      <c r="AX140">
        <f t="shared" ref="AX140:AX148" si="80">(AV140+AW140)/2</f>
        <v>61.18</v>
      </c>
      <c r="AY140" s="1">
        <v>17.96</v>
      </c>
      <c r="AZ140" s="1">
        <v>61.18</v>
      </c>
      <c r="BA140" s="1">
        <v>14.64</v>
      </c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1">
        <f t="shared" si="75"/>
        <v>19.856666666666666</v>
      </c>
      <c r="BQ140" s="1">
        <f t="shared" si="76"/>
        <v>61.419999999999995</v>
      </c>
      <c r="BR140" s="1">
        <f t="shared" si="77"/>
        <v>15.206666666666665</v>
      </c>
    </row>
    <row r="141" spans="1:70" x14ac:dyDescent="0.25">
      <c r="B141">
        <v>36.53</v>
      </c>
      <c r="C141">
        <v>34.69</v>
      </c>
      <c r="D141">
        <v>57.64</v>
      </c>
      <c r="E141">
        <v>42.2</v>
      </c>
      <c r="F141">
        <v>36.28</v>
      </c>
      <c r="G141">
        <v>57.35</v>
      </c>
      <c r="H141">
        <v>44.45</v>
      </c>
      <c r="I141">
        <v>56.69</v>
      </c>
      <c r="J141">
        <v>60.9</v>
      </c>
      <c r="K141">
        <v>63.92</v>
      </c>
      <c r="L141">
        <v>57.64</v>
      </c>
      <c r="M141">
        <v>64.17</v>
      </c>
      <c r="N141">
        <f>(L141+M141)/2</f>
        <v>60.905000000000001</v>
      </c>
      <c r="O141">
        <v>6.54</v>
      </c>
      <c r="P141">
        <v>60.9</v>
      </c>
      <c r="Q141">
        <v>17.86</v>
      </c>
      <c r="T141">
        <v>37.119999999999997</v>
      </c>
      <c r="U141">
        <v>35</v>
      </c>
      <c r="V141">
        <v>55.71</v>
      </c>
      <c r="W141">
        <v>41.15</v>
      </c>
      <c r="X141">
        <v>35.58</v>
      </c>
      <c r="Y141">
        <v>53.19</v>
      </c>
      <c r="Z141">
        <v>42.64</v>
      </c>
      <c r="AA141">
        <v>56.75</v>
      </c>
      <c r="AB141">
        <v>61.09</v>
      </c>
      <c r="AC141">
        <v>64.92</v>
      </c>
      <c r="AD141">
        <v>55.71</v>
      </c>
      <c r="AE141">
        <v>66.48</v>
      </c>
      <c r="AF141">
        <f t="shared" si="79"/>
        <v>61.094999999999999</v>
      </c>
      <c r="AG141">
        <v>10.77</v>
      </c>
      <c r="AH141">
        <v>61.09</v>
      </c>
      <c r="AI141">
        <v>18.07</v>
      </c>
      <c r="AL141">
        <v>34.17</v>
      </c>
      <c r="AM141">
        <v>32.4</v>
      </c>
      <c r="AN141">
        <v>59.32</v>
      </c>
      <c r="AO141">
        <v>40.98</v>
      </c>
      <c r="AP141">
        <v>33.9</v>
      </c>
      <c r="AQ141">
        <v>59.74</v>
      </c>
      <c r="AR141">
        <v>43.26</v>
      </c>
      <c r="AS141">
        <v>54.04</v>
      </c>
      <c r="AT141">
        <v>58.89</v>
      </c>
      <c r="AU141">
        <v>62.01</v>
      </c>
      <c r="AV141">
        <v>59.32</v>
      </c>
      <c r="AW141">
        <v>58.45</v>
      </c>
      <c r="AX141">
        <f t="shared" si="80"/>
        <v>58.885000000000005</v>
      </c>
      <c r="AY141">
        <v>0.87</v>
      </c>
      <c r="AZ141">
        <v>58.89</v>
      </c>
      <c r="BA141">
        <v>14.24</v>
      </c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1">
        <f t="shared" si="75"/>
        <v>6.06</v>
      </c>
      <c r="BQ141" s="1">
        <f t="shared" si="76"/>
        <v>60.293333333333329</v>
      </c>
      <c r="BR141" s="1">
        <f t="shared" si="77"/>
        <v>16.723333333333333</v>
      </c>
    </row>
    <row r="142" spans="1:70" x14ac:dyDescent="0.25">
      <c r="B142">
        <v>18.61</v>
      </c>
      <c r="C142">
        <v>17.059999999999999</v>
      </c>
      <c r="D142">
        <v>58.42</v>
      </c>
      <c r="E142">
        <v>25.95</v>
      </c>
      <c r="F142">
        <v>16.91</v>
      </c>
      <c r="G142">
        <v>56.16</v>
      </c>
      <c r="H142">
        <v>25.99</v>
      </c>
      <c r="I142">
        <v>50.65</v>
      </c>
      <c r="J142">
        <v>61.2</v>
      </c>
      <c r="K142">
        <v>65.19</v>
      </c>
      <c r="L142">
        <v>58.42</v>
      </c>
      <c r="M142">
        <v>63.97</v>
      </c>
      <c r="N142">
        <f t="shared" si="78"/>
        <v>61.195</v>
      </c>
      <c r="O142">
        <v>5.55</v>
      </c>
      <c r="P142">
        <v>61.2</v>
      </c>
      <c r="Q142">
        <v>14.08</v>
      </c>
      <c r="T142">
        <v>16.04</v>
      </c>
      <c r="U142">
        <v>16.38</v>
      </c>
      <c r="V142">
        <v>53.91</v>
      </c>
      <c r="W142">
        <v>24.57</v>
      </c>
      <c r="X142">
        <v>16.12</v>
      </c>
      <c r="Y142">
        <v>51.65</v>
      </c>
      <c r="Z142">
        <v>24.57</v>
      </c>
      <c r="AA142">
        <v>50.16</v>
      </c>
      <c r="AB142">
        <v>59.44</v>
      </c>
      <c r="AC142">
        <v>61.84</v>
      </c>
      <c r="AD142">
        <v>53.91</v>
      </c>
      <c r="AE142">
        <v>64.959999999999994</v>
      </c>
      <c r="AF142">
        <f t="shared" si="79"/>
        <v>59.434999999999995</v>
      </c>
      <c r="AG142">
        <v>11.05</v>
      </c>
      <c r="AH142">
        <v>59.44</v>
      </c>
      <c r="AI142">
        <v>11.96</v>
      </c>
      <c r="AL142" s="1">
        <v>18.190000000000001</v>
      </c>
      <c r="AM142" s="1">
        <v>17.3</v>
      </c>
      <c r="AN142" s="1">
        <v>56.14</v>
      </c>
      <c r="AO142" s="1">
        <v>26.21</v>
      </c>
      <c r="AP142" s="1">
        <v>17.29</v>
      </c>
      <c r="AQ142" s="1">
        <v>54.38</v>
      </c>
      <c r="AR142" s="1">
        <v>26.24</v>
      </c>
      <c r="AS142" s="1">
        <v>51.43</v>
      </c>
      <c r="AT142" s="1">
        <v>61.03</v>
      </c>
      <c r="AU142" s="1">
        <v>64.069999999999993</v>
      </c>
      <c r="AV142" s="1">
        <v>56.14</v>
      </c>
      <c r="AW142" s="1">
        <v>65.92</v>
      </c>
      <c r="AX142">
        <f t="shared" si="80"/>
        <v>61.03</v>
      </c>
      <c r="AY142" s="1">
        <v>9.7799999999999994</v>
      </c>
      <c r="AZ142" s="1">
        <v>61.03</v>
      </c>
      <c r="BA142" s="1">
        <v>13.98</v>
      </c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1">
        <f t="shared" si="75"/>
        <v>8.7933333333333348</v>
      </c>
      <c r="BQ142" s="1">
        <f t="shared" si="76"/>
        <v>60.556666666666672</v>
      </c>
      <c r="BR142" s="1">
        <f t="shared" si="77"/>
        <v>13.339999999999998</v>
      </c>
    </row>
    <row r="143" spans="1:70" x14ac:dyDescent="0.25">
      <c r="B143">
        <v>34.950000000000003</v>
      </c>
      <c r="C143">
        <v>32.53</v>
      </c>
      <c r="D143">
        <v>50.37</v>
      </c>
      <c r="E143">
        <v>35.270000000000003</v>
      </c>
      <c r="F143">
        <v>30.27</v>
      </c>
      <c r="G143">
        <v>43.02</v>
      </c>
      <c r="H143">
        <v>35.54</v>
      </c>
      <c r="I143">
        <v>53.07</v>
      </c>
      <c r="J143">
        <v>58.62</v>
      </c>
      <c r="K143">
        <v>62.21</v>
      </c>
      <c r="L143">
        <v>50.37</v>
      </c>
      <c r="M143">
        <v>66.87</v>
      </c>
      <c r="N143">
        <f t="shared" si="78"/>
        <v>58.620000000000005</v>
      </c>
      <c r="O143">
        <v>16.5</v>
      </c>
      <c r="P143">
        <v>58.62</v>
      </c>
      <c r="Q143">
        <v>13.55</v>
      </c>
      <c r="T143">
        <v>34.17</v>
      </c>
      <c r="U143">
        <v>33.47</v>
      </c>
      <c r="V143">
        <v>50.79</v>
      </c>
      <c r="W143">
        <v>36.85</v>
      </c>
      <c r="X143">
        <v>32.049999999999997</v>
      </c>
      <c r="Y143">
        <v>44.99</v>
      </c>
      <c r="Z143">
        <v>37.44</v>
      </c>
      <c r="AA143">
        <v>54.33</v>
      </c>
      <c r="AB143">
        <v>59.2</v>
      </c>
      <c r="AC143">
        <v>62.14</v>
      </c>
      <c r="AD143">
        <v>50.79</v>
      </c>
      <c r="AE143">
        <v>67.61</v>
      </c>
      <c r="AF143">
        <f t="shared" si="79"/>
        <v>59.2</v>
      </c>
      <c r="AG143">
        <v>16.82</v>
      </c>
      <c r="AH143">
        <v>59.2</v>
      </c>
      <c r="AI143">
        <v>14.68</v>
      </c>
      <c r="AL143" s="1">
        <v>33.619999999999997</v>
      </c>
      <c r="AM143" s="1">
        <v>32.369999999999997</v>
      </c>
      <c r="AN143" s="1">
        <v>49.72</v>
      </c>
      <c r="AO143" s="1">
        <v>35.96</v>
      </c>
      <c r="AP143" s="1">
        <v>31.42</v>
      </c>
      <c r="AQ143" s="1">
        <v>45.44</v>
      </c>
      <c r="AR143" s="1">
        <v>37.15</v>
      </c>
      <c r="AS143" s="1">
        <v>53.34</v>
      </c>
      <c r="AT143" s="1">
        <v>57.89</v>
      </c>
      <c r="AU143" s="1">
        <v>60.53</v>
      </c>
      <c r="AV143" s="1">
        <v>49.72</v>
      </c>
      <c r="AW143" s="1">
        <v>66.06</v>
      </c>
      <c r="AX143">
        <f t="shared" si="80"/>
        <v>57.89</v>
      </c>
      <c r="AY143" s="1">
        <v>16.350000000000001</v>
      </c>
      <c r="AZ143" s="1">
        <v>57.89</v>
      </c>
      <c r="BA143" s="1">
        <v>12.7</v>
      </c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1">
        <f t="shared" si="75"/>
        <v>16.556666666666668</v>
      </c>
      <c r="BQ143" s="1">
        <f t="shared" si="76"/>
        <v>58.569999999999993</v>
      </c>
      <c r="BR143" s="1">
        <f t="shared" si="77"/>
        <v>13.643333333333333</v>
      </c>
    </row>
    <row r="144" spans="1:70" x14ac:dyDescent="0.25">
      <c r="B144">
        <v>35.56</v>
      </c>
      <c r="C144">
        <v>32.9</v>
      </c>
      <c r="D144">
        <v>56.26</v>
      </c>
      <c r="E144">
        <v>39.78</v>
      </c>
      <c r="F144">
        <v>35.729999999999997</v>
      </c>
      <c r="G144">
        <v>60.79</v>
      </c>
      <c r="H144">
        <v>45.01</v>
      </c>
      <c r="I144">
        <v>57.51</v>
      </c>
      <c r="J144">
        <v>62.17</v>
      </c>
      <c r="K144">
        <v>67.25</v>
      </c>
      <c r="L144">
        <v>56.26</v>
      </c>
      <c r="M144">
        <v>68.09</v>
      </c>
      <c r="N144">
        <f t="shared" si="78"/>
        <v>62.174999999999997</v>
      </c>
      <c r="O144">
        <v>11.84</v>
      </c>
      <c r="P144">
        <v>62.17</v>
      </c>
      <c r="Q144">
        <v>20.48</v>
      </c>
      <c r="T144">
        <v>34.82</v>
      </c>
      <c r="U144">
        <v>32.18</v>
      </c>
      <c r="V144">
        <v>55.9</v>
      </c>
      <c r="W144">
        <v>39.299999999999997</v>
      </c>
      <c r="X144">
        <v>35.299999999999997</v>
      </c>
      <c r="Y144">
        <v>59.92</v>
      </c>
      <c r="Z144">
        <v>44.43</v>
      </c>
      <c r="AA144">
        <v>57.2</v>
      </c>
      <c r="AB144">
        <v>61.89</v>
      </c>
      <c r="AC144">
        <v>66.42</v>
      </c>
      <c r="AD144">
        <v>55.9</v>
      </c>
      <c r="AE144">
        <v>67.89</v>
      </c>
      <c r="AF144">
        <f t="shared" si="79"/>
        <v>61.894999999999996</v>
      </c>
      <c r="AG144">
        <v>11.99</v>
      </c>
      <c r="AH144">
        <v>61.89</v>
      </c>
      <c r="AI144">
        <v>19.61</v>
      </c>
      <c r="AL144" s="1">
        <v>31.55</v>
      </c>
      <c r="AM144" s="1">
        <v>30.03</v>
      </c>
      <c r="AN144" s="1">
        <v>53.96</v>
      </c>
      <c r="AO144" s="1">
        <v>37.08</v>
      </c>
      <c r="AP144" s="1">
        <v>32.65</v>
      </c>
      <c r="AQ144" s="1">
        <v>58.84</v>
      </c>
      <c r="AR144" s="1">
        <v>42</v>
      </c>
      <c r="AS144" s="1">
        <v>54.92</v>
      </c>
      <c r="AT144" s="1">
        <v>59.35</v>
      </c>
      <c r="AU144" s="1">
        <v>63.69</v>
      </c>
      <c r="AV144" s="1">
        <v>53.96</v>
      </c>
      <c r="AW144" s="1">
        <v>64.73</v>
      </c>
      <c r="AX144">
        <f t="shared" si="80"/>
        <v>59.344999999999999</v>
      </c>
      <c r="AY144" s="1">
        <v>10.77</v>
      </c>
      <c r="AZ144" s="1">
        <v>59.35</v>
      </c>
      <c r="BA144" s="1">
        <v>15.95</v>
      </c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1">
        <f t="shared" si="75"/>
        <v>11.533333333333331</v>
      </c>
      <c r="BQ144" s="1">
        <f t="shared" si="76"/>
        <v>61.136666666666663</v>
      </c>
      <c r="BR144" s="1">
        <f t="shared" si="77"/>
        <v>18.680000000000003</v>
      </c>
    </row>
    <row r="145" spans="1:70" x14ac:dyDescent="0.25">
      <c r="B145">
        <v>16.96</v>
      </c>
      <c r="C145">
        <v>17.100000000000001</v>
      </c>
      <c r="D145">
        <v>39.08</v>
      </c>
      <c r="E145">
        <v>23.37</v>
      </c>
      <c r="F145">
        <v>17</v>
      </c>
      <c r="G145">
        <v>37.58</v>
      </c>
      <c r="H145">
        <v>23.41</v>
      </c>
      <c r="I145">
        <v>52.94</v>
      </c>
      <c r="J145">
        <v>57.55</v>
      </c>
      <c r="K145">
        <v>61.77</v>
      </c>
      <c r="L145">
        <v>39.08</v>
      </c>
      <c r="M145">
        <v>76.02</v>
      </c>
      <c r="N145">
        <f t="shared" si="78"/>
        <v>57.55</v>
      </c>
      <c r="O145">
        <v>36.94</v>
      </c>
      <c r="P145">
        <v>57.55</v>
      </c>
      <c r="Q145">
        <v>10.54</v>
      </c>
      <c r="T145">
        <v>15.32</v>
      </c>
      <c r="U145">
        <v>16.940000000000001</v>
      </c>
      <c r="V145">
        <v>34.18</v>
      </c>
      <c r="W145">
        <v>22.22</v>
      </c>
      <c r="X145">
        <v>16.97</v>
      </c>
      <c r="Y145">
        <v>35.99</v>
      </c>
      <c r="Z145">
        <v>23.06</v>
      </c>
      <c r="AA145">
        <v>52.31</v>
      </c>
      <c r="AB145">
        <v>55.39</v>
      </c>
      <c r="AC145">
        <v>58.72</v>
      </c>
      <c r="AD145">
        <v>34.18</v>
      </c>
      <c r="AE145">
        <v>76.599999999999994</v>
      </c>
      <c r="AF145">
        <f t="shared" si="79"/>
        <v>55.39</v>
      </c>
      <c r="AG145">
        <v>42.43</v>
      </c>
      <c r="AH145">
        <v>55.39</v>
      </c>
      <c r="AI145">
        <v>8.4499999999999993</v>
      </c>
      <c r="AL145" s="1">
        <v>17.55</v>
      </c>
      <c r="AM145" s="1">
        <v>16.07</v>
      </c>
      <c r="AN145" s="1">
        <v>61.85</v>
      </c>
      <c r="AO145" s="1">
        <v>25.42</v>
      </c>
      <c r="AP145" s="1">
        <v>16.16</v>
      </c>
      <c r="AQ145" s="1">
        <v>61.04</v>
      </c>
      <c r="AR145" s="1">
        <v>25.56</v>
      </c>
      <c r="AS145" s="1">
        <v>48.32</v>
      </c>
      <c r="AT145" s="1">
        <v>60.11</v>
      </c>
      <c r="AU145" s="1">
        <v>63.24</v>
      </c>
      <c r="AV145" s="1">
        <v>61.85</v>
      </c>
      <c r="AW145" s="1">
        <v>58.37</v>
      </c>
      <c r="AX145">
        <f t="shared" si="80"/>
        <v>60.11</v>
      </c>
      <c r="AY145" s="1">
        <v>3.49</v>
      </c>
      <c r="AZ145" s="1">
        <v>60.11</v>
      </c>
      <c r="BA145" s="1">
        <v>12.41</v>
      </c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1">
        <f t="shared" si="75"/>
        <v>27.62</v>
      </c>
      <c r="BQ145" s="1">
        <f t="shared" si="76"/>
        <v>57.683333333333337</v>
      </c>
      <c r="BR145" s="1">
        <f t="shared" si="77"/>
        <v>10.466666666666667</v>
      </c>
    </row>
    <row r="146" spans="1:70" x14ac:dyDescent="0.25">
      <c r="B146">
        <v>34.06</v>
      </c>
      <c r="C146">
        <v>34.99</v>
      </c>
      <c r="D146">
        <v>31.65</v>
      </c>
      <c r="E146">
        <v>27.05</v>
      </c>
      <c r="F146">
        <v>30.75</v>
      </c>
      <c r="G146">
        <v>24.4</v>
      </c>
      <c r="H146">
        <v>27.21</v>
      </c>
      <c r="I146">
        <v>52.61</v>
      </c>
      <c r="J146">
        <v>56.93</v>
      </c>
      <c r="K146">
        <v>60.43</v>
      </c>
      <c r="L146">
        <v>31.65</v>
      </c>
      <c r="M146">
        <v>82.22</v>
      </c>
      <c r="N146">
        <f t="shared" si="78"/>
        <v>56.935000000000002</v>
      </c>
      <c r="O146">
        <v>50.57</v>
      </c>
      <c r="P146">
        <v>56.93</v>
      </c>
      <c r="Q146">
        <v>12.35</v>
      </c>
      <c r="T146">
        <v>33.4</v>
      </c>
      <c r="U146">
        <v>36.049999999999997</v>
      </c>
      <c r="V146">
        <v>28.04</v>
      </c>
      <c r="W146">
        <v>26.74</v>
      </c>
      <c r="X146">
        <v>31.06</v>
      </c>
      <c r="Y146">
        <v>22.99</v>
      </c>
      <c r="Z146">
        <v>26.42</v>
      </c>
      <c r="AA146">
        <v>52.55</v>
      </c>
      <c r="AB146">
        <v>55.61</v>
      </c>
      <c r="AC146">
        <v>60.27</v>
      </c>
      <c r="AD146">
        <v>28.04</v>
      </c>
      <c r="AE146">
        <v>83.17</v>
      </c>
      <c r="AF146">
        <f t="shared" si="79"/>
        <v>55.605000000000004</v>
      </c>
      <c r="AG146">
        <v>55.13</v>
      </c>
      <c r="AH146">
        <v>55.61</v>
      </c>
      <c r="AI146">
        <v>11.47</v>
      </c>
      <c r="AL146" s="1">
        <v>34.229999999999997</v>
      </c>
      <c r="AM146" s="1">
        <v>31.13</v>
      </c>
      <c r="AN146" s="1">
        <v>56.32</v>
      </c>
      <c r="AO146" s="1">
        <v>37.54</v>
      </c>
      <c r="AP146" s="1">
        <v>30.51</v>
      </c>
      <c r="AQ146" s="1">
        <v>52.02</v>
      </c>
      <c r="AR146" s="1">
        <v>38.46</v>
      </c>
      <c r="AS146" s="1">
        <v>52.26</v>
      </c>
      <c r="AT146" s="1">
        <v>57.9</v>
      </c>
      <c r="AU146" s="1">
        <v>60.69</v>
      </c>
      <c r="AV146" s="1">
        <v>56.32</v>
      </c>
      <c r="AW146" s="1">
        <v>59.48</v>
      </c>
      <c r="AX146">
        <f t="shared" si="80"/>
        <v>57.9</v>
      </c>
      <c r="AY146" s="1">
        <v>3.16</v>
      </c>
      <c r="AZ146" s="1">
        <v>57.9</v>
      </c>
      <c r="BA146" s="1">
        <v>12.29</v>
      </c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1">
        <f t="shared" si="75"/>
        <v>36.286666666666669</v>
      </c>
      <c r="BQ146" s="1">
        <f t="shared" si="76"/>
        <v>56.813333333333333</v>
      </c>
      <c r="BR146" s="1">
        <f t="shared" si="77"/>
        <v>12.036666666666667</v>
      </c>
    </row>
    <row r="147" spans="1:70" x14ac:dyDescent="0.25">
      <c r="B147">
        <v>31.11</v>
      </c>
      <c r="C147">
        <v>33.72</v>
      </c>
      <c r="D147">
        <v>27.95</v>
      </c>
      <c r="E147">
        <v>27.09</v>
      </c>
      <c r="F147">
        <v>34.31</v>
      </c>
      <c r="G147">
        <v>27.94</v>
      </c>
      <c r="H147">
        <v>30.8</v>
      </c>
      <c r="I147">
        <v>54.39</v>
      </c>
      <c r="J147">
        <v>56.25</v>
      </c>
      <c r="K147">
        <v>62.88</v>
      </c>
      <c r="L147">
        <v>27.95</v>
      </c>
      <c r="M147">
        <v>84.55</v>
      </c>
      <c r="N147">
        <f t="shared" si="78"/>
        <v>56.25</v>
      </c>
      <c r="O147">
        <v>56.6</v>
      </c>
      <c r="P147">
        <v>56.25</v>
      </c>
      <c r="Q147">
        <v>12.62</v>
      </c>
      <c r="T147">
        <v>31.32</v>
      </c>
      <c r="U147">
        <v>33.08</v>
      </c>
      <c r="V147">
        <v>27.23</v>
      </c>
      <c r="W147">
        <v>25.35</v>
      </c>
      <c r="X147">
        <v>32.61</v>
      </c>
      <c r="Y147">
        <v>25.12</v>
      </c>
      <c r="Z147">
        <v>28.38</v>
      </c>
      <c r="AA147">
        <v>53.51</v>
      </c>
      <c r="AB147">
        <v>56.3</v>
      </c>
      <c r="AC147">
        <v>62.94</v>
      </c>
      <c r="AD147">
        <v>27.23</v>
      </c>
      <c r="AE147">
        <v>85.36</v>
      </c>
      <c r="AF147">
        <f t="shared" si="79"/>
        <v>56.295000000000002</v>
      </c>
      <c r="AG147">
        <v>58.13</v>
      </c>
      <c r="AH147">
        <v>56.3</v>
      </c>
      <c r="AI147">
        <v>12.43</v>
      </c>
      <c r="AL147">
        <v>31.52</v>
      </c>
      <c r="AM147">
        <v>30.8</v>
      </c>
      <c r="AN147">
        <v>53.97</v>
      </c>
      <c r="AO147">
        <v>35.46</v>
      </c>
      <c r="AP147">
        <v>30.25</v>
      </c>
      <c r="AQ147">
        <v>53.37</v>
      </c>
      <c r="AR147">
        <v>38.61</v>
      </c>
      <c r="AS147">
        <v>53.66</v>
      </c>
      <c r="AT147">
        <v>59.49</v>
      </c>
      <c r="AU147">
        <v>63.45</v>
      </c>
      <c r="AV147">
        <v>53.97</v>
      </c>
      <c r="AW147">
        <v>65.010000000000005</v>
      </c>
      <c r="AX147">
        <f t="shared" si="80"/>
        <v>59.49</v>
      </c>
      <c r="AY147">
        <v>11.04</v>
      </c>
      <c r="AZ147">
        <v>59.49</v>
      </c>
      <c r="BA147">
        <v>15.69</v>
      </c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1">
        <f t="shared" si="75"/>
        <v>41.923333333333339</v>
      </c>
      <c r="BQ147" s="1">
        <f t="shared" si="76"/>
        <v>57.346666666666664</v>
      </c>
      <c r="BR147" s="1">
        <f t="shared" si="77"/>
        <v>13.579999999999998</v>
      </c>
    </row>
    <row r="148" spans="1:70" x14ac:dyDescent="0.25">
      <c r="B148">
        <v>25.03</v>
      </c>
      <c r="C148">
        <v>24.81</v>
      </c>
      <c r="D148">
        <v>34.65</v>
      </c>
      <c r="E148">
        <v>28.37</v>
      </c>
      <c r="F148">
        <v>32.659999999999997</v>
      </c>
      <c r="G148">
        <v>43.44</v>
      </c>
      <c r="H148">
        <v>37.29</v>
      </c>
      <c r="I148">
        <v>55.94</v>
      </c>
      <c r="J148">
        <v>57.72</v>
      </c>
      <c r="K148">
        <v>63.7</v>
      </c>
      <c r="L148">
        <v>34.65</v>
      </c>
      <c r="M148">
        <v>80.8</v>
      </c>
      <c r="N148">
        <f t="shared" si="78"/>
        <v>57.724999999999994</v>
      </c>
      <c r="O148">
        <v>46.15</v>
      </c>
      <c r="P148">
        <v>57.72</v>
      </c>
      <c r="Q148">
        <v>13.13</v>
      </c>
      <c r="T148">
        <v>24.8</v>
      </c>
      <c r="U148">
        <v>24.88</v>
      </c>
      <c r="V148">
        <v>37.42</v>
      </c>
      <c r="W148">
        <v>28.14</v>
      </c>
      <c r="X148">
        <v>32.78</v>
      </c>
      <c r="Y148">
        <v>44.23</v>
      </c>
      <c r="Z148">
        <v>37.659999999999997</v>
      </c>
      <c r="AA148">
        <v>55.62</v>
      </c>
      <c r="AB148">
        <v>58.88</v>
      </c>
      <c r="AC148">
        <v>63.68</v>
      </c>
      <c r="AD148">
        <v>37.42</v>
      </c>
      <c r="AE148">
        <v>80.33</v>
      </c>
      <c r="AF148">
        <f t="shared" si="79"/>
        <v>58.875</v>
      </c>
      <c r="AG148">
        <v>42.91</v>
      </c>
      <c r="AH148">
        <v>58.88</v>
      </c>
      <c r="AI148">
        <v>13.54</v>
      </c>
      <c r="AL148">
        <v>24.13</v>
      </c>
      <c r="AM148">
        <v>23.03</v>
      </c>
      <c r="AN148">
        <v>53.91</v>
      </c>
      <c r="AO148">
        <v>30.06</v>
      </c>
      <c r="AP148">
        <v>24.82</v>
      </c>
      <c r="AQ148">
        <v>58.08</v>
      </c>
      <c r="AR148">
        <v>34.770000000000003</v>
      </c>
      <c r="AS148">
        <v>51.96</v>
      </c>
      <c r="AT148">
        <v>59.16</v>
      </c>
      <c r="AU148">
        <v>63.85</v>
      </c>
      <c r="AV148">
        <v>53.91</v>
      </c>
      <c r="AW148">
        <v>64.42</v>
      </c>
      <c r="AX148">
        <f t="shared" si="80"/>
        <v>59.164999999999999</v>
      </c>
      <c r="AY148">
        <v>10.51</v>
      </c>
      <c r="AZ148">
        <v>59.16</v>
      </c>
      <c r="BA148">
        <v>13.57</v>
      </c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1">
        <f t="shared" si="75"/>
        <v>33.190000000000005</v>
      </c>
      <c r="BQ148" s="1">
        <f t="shared" si="76"/>
        <v>58.586666666666666</v>
      </c>
      <c r="BR148" s="1">
        <f t="shared" si="77"/>
        <v>13.413333333333334</v>
      </c>
    </row>
    <row r="149" spans="1:70" x14ac:dyDescent="0.25">
      <c r="B149" s="2">
        <f>AVERAGE(B139:B148)</f>
        <v>26.808000000000003</v>
      </c>
      <c r="C149" s="2">
        <f t="shared" ref="C149:Q149" si="81">AVERAGE(C139:C148)</f>
        <v>26.433</v>
      </c>
      <c r="D149" s="2">
        <f t="shared" si="81"/>
        <v>45.55</v>
      </c>
      <c r="E149" s="2">
        <f t="shared" si="81"/>
        <v>30.15</v>
      </c>
      <c r="F149" s="2">
        <f t="shared" si="81"/>
        <v>26.982999999999997</v>
      </c>
      <c r="G149" s="2">
        <f t="shared" si="81"/>
        <v>44.613999999999997</v>
      </c>
      <c r="H149" s="2">
        <f t="shared" si="81"/>
        <v>32.186999999999998</v>
      </c>
      <c r="I149" s="2">
        <f t="shared" si="81"/>
        <v>54.003999999999998</v>
      </c>
      <c r="J149" s="2">
        <f t="shared" si="81"/>
        <v>59.25200000000001</v>
      </c>
      <c r="K149" s="2">
        <f t="shared" si="81"/>
        <v>63.596000000000004</v>
      </c>
      <c r="L149" s="2">
        <f t="shared" si="81"/>
        <v>45.55</v>
      </c>
      <c r="M149" s="2">
        <f t="shared" si="81"/>
        <v>72.956999999999994</v>
      </c>
      <c r="N149" s="2">
        <f t="shared" si="81"/>
        <v>59.253499999999995</v>
      </c>
      <c r="O149" s="2">
        <f t="shared" si="81"/>
        <v>27.408999999999999</v>
      </c>
      <c r="P149" s="2">
        <f t="shared" si="81"/>
        <v>59.25200000000001</v>
      </c>
      <c r="Q149" s="2">
        <f t="shared" si="81"/>
        <v>14.294</v>
      </c>
      <c r="T149" s="2">
        <f>AVERAGE(T139:T148)</f>
        <v>26.231999999999999</v>
      </c>
      <c r="U149" s="2">
        <f t="shared" ref="U149:AI149" si="82">AVERAGE(U139:U148)</f>
        <v>26.467999999999996</v>
      </c>
      <c r="V149" s="2">
        <f t="shared" si="82"/>
        <v>44.371000000000002</v>
      </c>
      <c r="W149" s="2">
        <f t="shared" si="82"/>
        <v>29.745999999999999</v>
      </c>
      <c r="X149" s="2">
        <f t="shared" si="82"/>
        <v>26.857000000000006</v>
      </c>
      <c r="Y149" s="2">
        <f t="shared" si="82"/>
        <v>43.543000000000006</v>
      </c>
      <c r="Z149" s="2">
        <f t="shared" si="82"/>
        <v>31.726999999999997</v>
      </c>
      <c r="AA149" s="2">
        <f t="shared" si="82"/>
        <v>53.878999999999998</v>
      </c>
      <c r="AB149" s="2">
        <f t="shared" si="82"/>
        <v>58.909999999999989</v>
      </c>
      <c r="AC149" s="2">
        <f t="shared" si="82"/>
        <v>63.10199999999999</v>
      </c>
      <c r="AD149" s="2">
        <f t="shared" si="82"/>
        <v>44.371000000000002</v>
      </c>
      <c r="AE149" s="2">
        <f t="shared" si="82"/>
        <v>73.447000000000003</v>
      </c>
      <c r="AF149" s="2">
        <f t="shared" si="82"/>
        <v>58.909000000000006</v>
      </c>
      <c r="AG149" s="2">
        <f t="shared" si="82"/>
        <v>29.076999999999998</v>
      </c>
      <c r="AH149" s="2">
        <f t="shared" si="82"/>
        <v>58.909999999999989</v>
      </c>
      <c r="AI149" s="2">
        <f t="shared" si="82"/>
        <v>13.871</v>
      </c>
      <c r="AL149" s="2">
        <f>AVERAGE(AL139:AL148)</f>
        <v>26.056000000000001</v>
      </c>
      <c r="AM149" s="2">
        <f t="shared" ref="AM149:BA149" si="83">AVERAGE(AM139:AM148)</f>
        <v>24.817999999999998</v>
      </c>
      <c r="AN149" s="2">
        <f t="shared" si="83"/>
        <v>55.548999999999999</v>
      </c>
      <c r="AO149" s="2">
        <f t="shared" si="83"/>
        <v>32.129000000000005</v>
      </c>
      <c r="AP149" s="2">
        <f t="shared" si="83"/>
        <v>25.176999999999996</v>
      </c>
      <c r="AQ149" s="2">
        <f t="shared" si="83"/>
        <v>55.123000000000005</v>
      </c>
      <c r="AR149" s="2">
        <f t="shared" si="83"/>
        <v>33.856999999999999</v>
      </c>
      <c r="AS149" s="2">
        <f t="shared" si="83"/>
        <v>52.262</v>
      </c>
      <c r="AT149" s="2">
        <f t="shared" si="83"/>
        <v>59.5</v>
      </c>
      <c r="AU149" s="2">
        <f t="shared" si="83"/>
        <v>62.948999999999998</v>
      </c>
      <c r="AV149" s="2">
        <f t="shared" si="83"/>
        <v>55.548999999999999</v>
      </c>
      <c r="AW149" s="2">
        <f t="shared" si="83"/>
        <v>63.45</v>
      </c>
      <c r="AX149" s="2">
        <f t="shared" si="83"/>
        <v>59.499499999999998</v>
      </c>
      <c r="AY149" s="2">
        <f t="shared" si="83"/>
        <v>8.7729999999999997</v>
      </c>
      <c r="AZ149" s="2">
        <f t="shared" si="83"/>
        <v>59.5</v>
      </c>
      <c r="BA149" s="2">
        <f t="shared" si="83"/>
        <v>13.825999999999999</v>
      </c>
      <c r="BP149" s="2">
        <f t="shared" ref="BP149:BR149" si="84">AVERAGE(BP139:BP148)</f>
        <v>21.753000000000004</v>
      </c>
      <c r="BQ149" s="2">
        <f t="shared" si="84"/>
        <v>59.220666666666673</v>
      </c>
      <c r="BR149" s="2">
        <f t="shared" si="84"/>
        <v>13.997</v>
      </c>
    </row>
    <row r="152" spans="1:70" x14ac:dyDescent="0.25">
      <c r="A152" s="1" t="s">
        <v>33</v>
      </c>
      <c r="B152">
        <v>17.760000000000002</v>
      </c>
      <c r="C152">
        <v>18.38</v>
      </c>
      <c r="D152">
        <v>53.85</v>
      </c>
      <c r="E152">
        <v>27.02</v>
      </c>
      <c r="F152">
        <v>17.91</v>
      </c>
      <c r="G152">
        <v>51.3</v>
      </c>
      <c r="H152">
        <v>26.55</v>
      </c>
      <c r="I152">
        <v>52.83</v>
      </c>
      <c r="J152">
        <v>61.52</v>
      </c>
      <c r="K152">
        <v>65.64</v>
      </c>
      <c r="L152">
        <v>53.85</v>
      </c>
      <c r="M152">
        <v>69.19</v>
      </c>
      <c r="N152">
        <f>(L152+M152)/2</f>
        <v>61.519999999999996</v>
      </c>
      <c r="O152">
        <v>15.35</v>
      </c>
      <c r="P152">
        <v>61.52</v>
      </c>
      <c r="Q152">
        <v>15.04</v>
      </c>
      <c r="S152" s="1" t="s">
        <v>33</v>
      </c>
      <c r="T152">
        <v>17.850000000000001</v>
      </c>
      <c r="U152">
        <v>18.399999999999999</v>
      </c>
      <c r="V152">
        <v>54.53</v>
      </c>
      <c r="W152">
        <v>27.21</v>
      </c>
      <c r="X152">
        <v>17.96</v>
      </c>
      <c r="Y152">
        <v>52.54</v>
      </c>
      <c r="Z152">
        <v>26.77</v>
      </c>
      <c r="AA152">
        <v>52.71</v>
      </c>
      <c r="AB152">
        <v>61.51</v>
      </c>
      <c r="AC152">
        <v>66.08</v>
      </c>
      <c r="AD152">
        <v>54.53</v>
      </c>
      <c r="AE152">
        <v>68.489999999999995</v>
      </c>
      <c r="AF152">
        <f>(AD152+AE152)/2</f>
        <v>61.51</v>
      </c>
      <c r="AG152">
        <v>13.96</v>
      </c>
      <c r="AH152">
        <v>61.51</v>
      </c>
      <c r="AI152">
        <v>15.06</v>
      </c>
      <c r="AK152" s="1" t="s">
        <v>33</v>
      </c>
      <c r="AL152">
        <v>17.43</v>
      </c>
      <c r="AM152">
        <v>18.100000000000001</v>
      </c>
      <c r="AN152">
        <v>56.41</v>
      </c>
      <c r="AO152">
        <v>27.2</v>
      </c>
      <c r="AP152">
        <v>17.63</v>
      </c>
      <c r="AQ152">
        <v>55.39</v>
      </c>
      <c r="AR152">
        <v>26.75</v>
      </c>
      <c r="AS152">
        <v>51.81</v>
      </c>
      <c r="AT152">
        <v>61.17</v>
      </c>
      <c r="AU152">
        <v>65.05</v>
      </c>
      <c r="AV152">
        <v>56.41</v>
      </c>
      <c r="AW152">
        <v>65.92</v>
      </c>
      <c r="AX152">
        <f>(AV152+AW152)/2</f>
        <v>61.164999999999999</v>
      </c>
      <c r="AY152">
        <v>9.51</v>
      </c>
      <c r="AZ152">
        <v>61.17</v>
      </c>
      <c r="BA152">
        <v>14.59</v>
      </c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1">
        <f t="shared" ref="BP152:BP161" si="85">(O152+AG152+AY152)/3</f>
        <v>12.94</v>
      </c>
      <c r="BQ152" s="1">
        <f t="shared" ref="BQ152:BQ161" si="86">(P152+AH152+AZ152)/3</f>
        <v>61.4</v>
      </c>
      <c r="BR152" s="1">
        <f t="shared" ref="BR152:BR161" si="87">(Q152+AI152+BA152)/3</f>
        <v>14.896666666666667</v>
      </c>
    </row>
    <row r="153" spans="1:70" x14ac:dyDescent="0.25">
      <c r="B153">
        <v>18.3</v>
      </c>
      <c r="C153">
        <v>19.079999999999998</v>
      </c>
      <c r="D153">
        <v>60.93</v>
      </c>
      <c r="E153">
        <v>28.92</v>
      </c>
      <c r="F153">
        <v>18.63</v>
      </c>
      <c r="G153">
        <v>60.43</v>
      </c>
      <c r="H153">
        <v>28.48</v>
      </c>
      <c r="I153">
        <v>52.47</v>
      </c>
      <c r="J153">
        <v>63.04</v>
      </c>
      <c r="K153">
        <v>66.97</v>
      </c>
      <c r="L153">
        <v>60.93</v>
      </c>
      <c r="M153">
        <v>65.16</v>
      </c>
      <c r="N153">
        <f t="shared" ref="N153:N161" si="88">(L153+M153)/2</f>
        <v>63.045000000000002</v>
      </c>
      <c r="O153">
        <v>4.2300000000000004</v>
      </c>
      <c r="P153">
        <v>63.04</v>
      </c>
      <c r="Q153">
        <v>17.05</v>
      </c>
      <c r="T153">
        <v>17.510000000000002</v>
      </c>
      <c r="U153">
        <v>18.649999999999999</v>
      </c>
      <c r="V153">
        <v>59.87</v>
      </c>
      <c r="W153">
        <v>28.32</v>
      </c>
      <c r="X153">
        <v>18.29</v>
      </c>
      <c r="Y153">
        <v>60.02</v>
      </c>
      <c r="Z153">
        <v>28.04</v>
      </c>
      <c r="AA153">
        <v>51.84</v>
      </c>
      <c r="AB153">
        <v>62.2</v>
      </c>
      <c r="AC153">
        <v>65.790000000000006</v>
      </c>
      <c r="AD153">
        <v>59.87</v>
      </c>
      <c r="AE153">
        <v>64.53</v>
      </c>
      <c r="AF153">
        <f t="shared" ref="AF153:AF161" si="89">(AD153+AE153)/2</f>
        <v>62.2</v>
      </c>
      <c r="AG153">
        <v>4.6500000000000004</v>
      </c>
      <c r="AH153">
        <v>62.2</v>
      </c>
      <c r="AI153">
        <v>16</v>
      </c>
      <c r="AL153">
        <v>17.559999999999999</v>
      </c>
      <c r="AM153">
        <v>18.920000000000002</v>
      </c>
      <c r="AN153">
        <v>58.2</v>
      </c>
      <c r="AO153">
        <v>28.34</v>
      </c>
      <c r="AP153">
        <v>18.399999999999999</v>
      </c>
      <c r="AQ153">
        <v>58.64</v>
      </c>
      <c r="AR153">
        <v>28.01</v>
      </c>
      <c r="AS153">
        <v>52.19</v>
      </c>
      <c r="AT153">
        <v>61.89</v>
      </c>
      <c r="AU153">
        <v>65.22</v>
      </c>
      <c r="AV153">
        <v>58.2</v>
      </c>
      <c r="AW153">
        <v>65.58</v>
      </c>
      <c r="AX153">
        <f t="shared" ref="AX153:AX161" si="90">(AV153+AW153)/2</f>
        <v>61.89</v>
      </c>
      <c r="AY153">
        <v>7.38</v>
      </c>
      <c r="AZ153">
        <v>61.89</v>
      </c>
      <c r="BA153">
        <v>15.93</v>
      </c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1">
        <f t="shared" si="85"/>
        <v>5.4200000000000008</v>
      </c>
      <c r="BQ153" s="1">
        <f t="shared" si="86"/>
        <v>62.376666666666665</v>
      </c>
      <c r="BR153" s="1">
        <f t="shared" si="87"/>
        <v>16.326666666666664</v>
      </c>
    </row>
    <row r="154" spans="1:70" x14ac:dyDescent="0.25">
      <c r="B154">
        <v>36.54</v>
      </c>
      <c r="C154">
        <v>32.74</v>
      </c>
      <c r="D154">
        <v>62.77</v>
      </c>
      <c r="E154">
        <v>41.32</v>
      </c>
      <c r="F154">
        <v>33.04</v>
      </c>
      <c r="G154">
        <v>60.05</v>
      </c>
      <c r="H154">
        <v>42.63</v>
      </c>
      <c r="I154">
        <v>53.85</v>
      </c>
      <c r="J154">
        <v>60.09</v>
      </c>
      <c r="K154">
        <v>63.8</v>
      </c>
      <c r="L154">
        <v>62.77</v>
      </c>
      <c r="M154">
        <v>57.41</v>
      </c>
      <c r="N154">
        <f t="shared" si="88"/>
        <v>60.09</v>
      </c>
      <c r="O154">
        <v>5.37</v>
      </c>
      <c r="P154">
        <v>60.09</v>
      </c>
      <c r="Q154">
        <v>15.78</v>
      </c>
      <c r="T154">
        <v>37.729999999999997</v>
      </c>
      <c r="U154">
        <v>33.94</v>
      </c>
      <c r="V154">
        <v>62.89</v>
      </c>
      <c r="W154">
        <v>42.04</v>
      </c>
      <c r="X154">
        <v>33.76</v>
      </c>
      <c r="Y154">
        <v>59.53</v>
      </c>
      <c r="Z154">
        <v>43.09</v>
      </c>
      <c r="AA154">
        <v>54.85</v>
      </c>
      <c r="AB154">
        <v>61.14</v>
      </c>
      <c r="AC154">
        <v>65.11</v>
      </c>
      <c r="AD154">
        <v>62.89</v>
      </c>
      <c r="AE154">
        <v>59.38</v>
      </c>
      <c r="AF154">
        <f t="shared" si="89"/>
        <v>61.135000000000005</v>
      </c>
      <c r="AG154">
        <v>3.51</v>
      </c>
      <c r="AH154">
        <v>61.14</v>
      </c>
      <c r="AI154">
        <v>17.739999999999998</v>
      </c>
      <c r="AL154">
        <v>37.299999999999997</v>
      </c>
      <c r="AM154">
        <v>33.36</v>
      </c>
      <c r="AN154">
        <v>61.67</v>
      </c>
      <c r="AO154">
        <v>41.82</v>
      </c>
      <c r="AP154">
        <v>33.630000000000003</v>
      </c>
      <c r="AQ154">
        <v>59.48</v>
      </c>
      <c r="AR154">
        <v>42.96</v>
      </c>
      <c r="AS154">
        <v>54.64</v>
      </c>
      <c r="AT154">
        <v>60.26</v>
      </c>
      <c r="AU154">
        <v>64.47</v>
      </c>
      <c r="AV154">
        <v>61.67</v>
      </c>
      <c r="AW154">
        <v>58.84</v>
      </c>
      <c r="AX154">
        <f t="shared" si="90"/>
        <v>60.255000000000003</v>
      </c>
      <c r="AY154">
        <v>2.83</v>
      </c>
      <c r="AZ154">
        <v>60.26</v>
      </c>
      <c r="BA154">
        <v>16.34</v>
      </c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1">
        <f t="shared" si="85"/>
        <v>3.9033333333333329</v>
      </c>
      <c r="BQ154" s="1">
        <f t="shared" si="86"/>
        <v>60.49666666666667</v>
      </c>
      <c r="BR154" s="1">
        <f t="shared" si="87"/>
        <v>16.62</v>
      </c>
    </row>
    <row r="155" spans="1:70" x14ac:dyDescent="0.25">
      <c r="B155">
        <v>20.02</v>
      </c>
      <c r="C155">
        <v>18.829999999999998</v>
      </c>
      <c r="D155">
        <v>57.69</v>
      </c>
      <c r="E155">
        <v>28.24</v>
      </c>
      <c r="F155">
        <v>18.84</v>
      </c>
      <c r="G155">
        <v>56.14</v>
      </c>
      <c r="H155">
        <v>28.21</v>
      </c>
      <c r="I155">
        <v>53.3</v>
      </c>
      <c r="J155">
        <v>62.97</v>
      </c>
      <c r="K155">
        <v>66</v>
      </c>
      <c r="L155">
        <v>57.69</v>
      </c>
      <c r="M155">
        <v>68.239999999999995</v>
      </c>
      <c r="N155">
        <f t="shared" si="88"/>
        <v>62.964999999999996</v>
      </c>
      <c r="O155">
        <v>10.55</v>
      </c>
      <c r="P155">
        <v>62.97</v>
      </c>
      <c r="Q155">
        <v>16.77</v>
      </c>
      <c r="T155">
        <v>17.62</v>
      </c>
      <c r="U155">
        <v>17.940000000000001</v>
      </c>
      <c r="V155">
        <v>58.65</v>
      </c>
      <c r="W155">
        <v>27.37</v>
      </c>
      <c r="X155">
        <v>17.95</v>
      </c>
      <c r="Y155">
        <v>57.32</v>
      </c>
      <c r="Z155">
        <v>27.34</v>
      </c>
      <c r="AA155">
        <v>51.91</v>
      </c>
      <c r="AB155">
        <v>62.09</v>
      </c>
      <c r="AC155">
        <v>64.87</v>
      </c>
      <c r="AD155">
        <v>58.65</v>
      </c>
      <c r="AE155">
        <v>65.540000000000006</v>
      </c>
      <c r="AF155">
        <f t="shared" si="89"/>
        <v>62.094999999999999</v>
      </c>
      <c r="AG155">
        <v>6.89</v>
      </c>
      <c r="AH155">
        <v>62.09</v>
      </c>
      <c r="AI155">
        <v>15.36</v>
      </c>
      <c r="AL155">
        <v>17.34</v>
      </c>
      <c r="AM155">
        <v>16.84</v>
      </c>
      <c r="AN155">
        <v>64.3</v>
      </c>
      <c r="AO155">
        <v>26.44</v>
      </c>
      <c r="AP155">
        <v>16.760000000000002</v>
      </c>
      <c r="AQ155">
        <v>62.31</v>
      </c>
      <c r="AR155">
        <v>26.41</v>
      </c>
      <c r="AS155">
        <v>49.33</v>
      </c>
      <c r="AT155">
        <v>61.87</v>
      </c>
      <c r="AU155">
        <v>64.37</v>
      </c>
      <c r="AV155">
        <v>64.3</v>
      </c>
      <c r="AW155">
        <v>59.45</v>
      </c>
      <c r="AX155">
        <f t="shared" si="90"/>
        <v>61.875</v>
      </c>
      <c r="AY155">
        <v>4.8499999999999996</v>
      </c>
      <c r="AZ155">
        <v>61.87</v>
      </c>
      <c r="BA155">
        <v>14.63</v>
      </c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1">
        <f t="shared" si="85"/>
        <v>7.43</v>
      </c>
      <c r="BQ155" s="1">
        <f t="shared" si="86"/>
        <v>62.31</v>
      </c>
      <c r="BR155" s="1">
        <f t="shared" si="87"/>
        <v>15.586666666666666</v>
      </c>
    </row>
    <row r="156" spans="1:70" x14ac:dyDescent="0.25">
      <c r="B156">
        <v>36.65</v>
      </c>
      <c r="C156">
        <v>32.72</v>
      </c>
      <c r="D156">
        <v>63.56</v>
      </c>
      <c r="E156">
        <v>42.15</v>
      </c>
      <c r="F156">
        <v>34.1</v>
      </c>
      <c r="G156">
        <v>62.81</v>
      </c>
      <c r="H156">
        <v>44.2</v>
      </c>
      <c r="I156">
        <v>54.29</v>
      </c>
      <c r="J156">
        <v>60.22</v>
      </c>
      <c r="K156">
        <v>63.68</v>
      </c>
      <c r="L156">
        <v>63.56</v>
      </c>
      <c r="M156">
        <v>56.89</v>
      </c>
      <c r="N156">
        <f t="shared" si="88"/>
        <v>60.225000000000001</v>
      </c>
      <c r="O156">
        <v>6.67</v>
      </c>
      <c r="P156">
        <v>60.22</v>
      </c>
      <c r="Q156">
        <v>16</v>
      </c>
      <c r="T156">
        <v>35.57</v>
      </c>
      <c r="U156">
        <v>32.869999999999997</v>
      </c>
      <c r="V156">
        <v>59.71</v>
      </c>
      <c r="W156">
        <v>40.42</v>
      </c>
      <c r="X156">
        <v>33.299999999999997</v>
      </c>
      <c r="Y156">
        <v>56.31</v>
      </c>
      <c r="Z156">
        <v>41.85</v>
      </c>
      <c r="AA156">
        <v>54.44</v>
      </c>
      <c r="AB156">
        <v>60.17</v>
      </c>
      <c r="AC156">
        <v>63.06</v>
      </c>
      <c r="AD156">
        <v>59.71</v>
      </c>
      <c r="AE156">
        <v>60.63</v>
      </c>
      <c r="AF156">
        <f t="shared" si="89"/>
        <v>60.17</v>
      </c>
      <c r="AG156">
        <v>0.92</v>
      </c>
      <c r="AH156">
        <v>60.17</v>
      </c>
      <c r="AI156">
        <v>15.79</v>
      </c>
      <c r="AL156">
        <v>35.46</v>
      </c>
      <c r="AM156">
        <v>32.159999999999997</v>
      </c>
      <c r="AN156">
        <v>61.87</v>
      </c>
      <c r="AO156">
        <v>40.090000000000003</v>
      </c>
      <c r="AP156">
        <v>32.15</v>
      </c>
      <c r="AQ156">
        <v>58.28</v>
      </c>
      <c r="AR156">
        <v>41.44</v>
      </c>
      <c r="AS156">
        <v>53.05</v>
      </c>
      <c r="AT156">
        <v>59.55</v>
      </c>
      <c r="AU156">
        <v>62.53</v>
      </c>
      <c r="AV156">
        <v>61.87</v>
      </c>
      <c r="AW156">
        <v>57.23</v>
      </c>
      <c r="AX156">
        <f t="shared" si="90"/>
        <v>59.55</v>
      </c>
      <c r="AY156">
        <v>4.63</v>
      </c>
      <c r="AZ156">
        <v>59.55</v>
      </c>
      <c r="BA156">
        <v>14.76</v>
      </c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1">
        <f t="shared" si="85"/>
        <v>4.0733333333333333</v>
      </c>
      <c r="BQ156" s="1">
        <f t="shared" si="86"/>
        <v>59.98</v>
      </c>
      <c r="BR156" s="1">
        <f t="shared" si="87"/>
        <v>15.516666666666666</v>
      </c>
    </row>
    <row r="157" spans="1:70" x14ac:dyDescent="0.25">
      <c r="B157">
        <v>33.43</v>
      </c>
      <c r="C157">
        <v>31.54</v>
      </c>
      <c r="D157">
        <v>64.069999999999993</v>
      </c>
      <c r="E157">
        <v>38.07</v>
      </c>
      <c r="F157">
        <v>29.53</v>
      </c>
      <c r="G157">
        <v>61.87</v>
      </c>
      <c r="H157">
        <v>39.979999999999997</v>
      </c>
      <c r="I157">
        <v>53.07</v>
      </c>
      <c r="J157">
        <v>61.33</v>
      </c>
      <c r="K157">
        <v>65.2</v>
      </c>
      <c r="L157">
        <v>64.069999999999993</v>
      </c>
      <c r="M157">
        <v>58.6</v>
      </c>
      <c r="N157">
        <f t="shared" si="88"/>
        <v>61.334999999999994</v>
      </c>
      <c r="O157">
        <v>5.47</v>
      </c>
      <c r="P157">
        <v>61.33</v>
      </c>
      <c r="Q157">
        <v>18.45</v>
      </c>
      <c r="T157">
        <v>33.380000000000003</v>
      </c>
      <c r="U157">
        <v>30.09</v>
      </c>
      <c r="V157">
        <v>62.61</v>
      </c>
      <c r="W157">
        <v>38.32</v>
      </c>
      <c r="X157">
        <v>30.94</v>
      </c>
      <c r="Y157">
        <v>64.25</v>
      </c>
      <c r="Z157">
        <v>41.77</v>
      </c>
      <c r="AA157">
        <v>53.6</v>
      </c>
      <c r="AB157">
        <v>60.7</v>
      </c>
      <c r="AC157">
        <v>65.260000000000005</v>
      </c>
      <c r="AD157">
        <v>62.61</v>
      </c>
      <c r="AE157">
        <v>58.8</v>
      </c>
      <c r="AF157">
        <f t="shared" si="89"/>
        <v>60.704999999999998</v>
      </c>
      <c r="AG157">
        <v>3.81</v>
      </c>
      <c r="AH157">
        <v>60.7</v>
      </c>
      <c r="AI157">
        <v>17.260000000000002</v>
      </c>
      <c r="AL157">
        <v>32.69</v>
      </c>
      <c r="AM157">
        <v>29.53</v>
      </c>
      <c r="AN157">
        <v>65.2</v>
      </c>
      <c r="AO157">
        <v>38.159999999999997</v>
      </c>
      <c r="AP157">
        <v>30.14</v>
      </c>
      <c r="AQ157">
        <v>66.44</v>
      </c>
      <c r="AR157">
        <v>41.47</v>
      </c>
      <c r="AS157">
        <v>52.54</v>
      </c>
      <c r="AT157">
        <v>60.58</v>
      </c>
      <c r="AU157">
        <v>64.569999999999993</v>
      </c>
      <c r="AV157">
        <v>65.2</v>
      </c>
      <c r="AW157">
        <v>55.97</v>
      </c>
      <c r="AX157">
        <f t="shared" si="90"/>
        <v>60.585000000000001</v>
      </c>
      <c r="AY157">
        <v>9.23</v>
      </c>
      <c r="AZ157">
        <v>60.58</v>
      </c>
      <c r="BA157">
        <v>17.059999999999999</v>
      </c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1">
        <f t="shared" si="85"/>
        <v>6.169999999999999</v>
      </c>
      <c r="BQ157" s="1">
        <f t="shared" si="86"/>
        <v>60.870000000000005</v>
      </c>
      <c r="BR157" s="1">
        <f t="shared" si="87"/>
        <v>17.59</v>
      </c>
    </row>
    <row r="158" spans="1:70" x14ac:dyDescent="0.25">
      <c r="B158">
        <v>18.03</v>
      </c>
      <c r="C158">
        <v>18.18</v>
      </c>
      <c r="D158">
        <v>45.91</v>
      </c>
      <c r="E158">
        <v>26.03</v>
      </c>
      <c r="F158">
        <v>18.420000000000002</v>
      </c>
      <c r="G158">
        <v>45.85</v>
      </c>
      <c r="H158">
        <v>26.28</v>
      </c>
      <c r="I158">
        <v>53.53</v>
      </c>
      <c r="J158">
        <v>59.55</v>
      </c>
      <c r="K158">
        <v>62.98</v>
      </c>
      <c r="L158">
        <v>45.91</v>
      </c>
      <c r="M158">
        <v>73.2</v>
      </c>
      <c r="N158">
        <f t="shared" si="88"/>
        <v>59.555</v>
      </c>
      <c r="O158">
        <v>27.29</v>
      </c>
      <c r="P158">
        <v>59.55</v>
      </c>
      <c r="Q158">
        <v>13.17</v>
      </c>
      <c r="T158">
        <v>17.45</v>
      </c>
      <c r="U158">
        <v>18.829999999999998</v>
      </c>
      <c r="V158">
        <v>49.69</v>
      </c>
      <c r="W158">
        <v>27.17</v>
      </c>
      <c r="X158">
        <v>18.71</v>
      </c>
      <c r="Y158">
        <v>48.35</v>
      </c>
      <c r="Z158">
        <v>26.98</v>
      </c>
      <c r="AA158">
        <v>53.94</v>
      </c>
      <c r="AB158">
        <v>61.03</v>
      </c>
      <c r="AC158">
        <v>64.05</v>
      </c>
      <c r="AD158">
        <v>49.69</v>
      </c>
      <c r="AE158">
        <v>72.37</v>
      </c>
      <c r="AF158">
        <f t="shared" si="89"/>
        <v>61.03</v>
      </c>
      <c r="AG158">
        <v>22.68</v>
      </c>
      <c r="AH158">
        <v>61.03</v>
      </c>
      <c r="AI158">
        <v>14.89</v>
      </c>
      <c r="AL158">
        <v>17.100000000000001</v>
      </c>
      <c r="AM158">
        <v>17.989999999999998</v>
      </c>
      <c r="AN158">
        <v>51.97</v>
      </c>
      <c r="AO158">
        <v>26.29</v>
      </c>
      <c r="AP158">
        <v>17.5</v>
      </c>
      <c r="AQ158">
        <v>50.27</v>
      </c>
      <c r="AR158">
        <v>25.96</v>
      </c>
      <c r="AS158">
        <v>52.33</v>
      </c>
      <c r="AT158">
        <v>60.46</v>
      </c>
      <c r="AU158">
        <v>63.35</v>
      </c>
      <c r="AV158">
        <v>51.97</v>
      </c>
      <c r="AW158">
        <v>68.95</v>
      </c>
      <c r="AX158">
        <f t="shared" si="90"/>
        <v>60.46</v>
      </c>
      <c r="AY158">
        <v>16.98</v>
      </c>
      <c r="AZ158">
        <v>60.46</v>
      </c>
      <c r="BA158">
        <v>13.9</v>
      </c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1">
        <f t="shared" si="85"/>
        <v>22.316666666666666</v>
      </c>
      <c r="BQ158" s="1">
        <f t="shared" si="86"/>
        <v>60.346666666666664</v>
      </c>
      <c r="BR158" s="1">
        <f t="shared" si="87"/>
        <v>13.986666666666666</v>
      </c>
    </row>
    <row r="159" spans="1:70" x14ac:dyDescent="0.25">
      <c r="B159">
        <v>34.5</v>
      </c>
      <c r="C159">
        <v>33.83</v>
      </c>
      <c r="D159">
        <v>52.44</v>
      </c>
      <c r="E159">
        <v>39.94</v>
      </c>
      <c r="F159">
        <v>36.15</v>
      </c>
      <c r="G159">
        <v>54.04</v>
      </c>
      <c r="H159">
        <v>43.32</v>
      </c>
      <c r="I159">
        <v>55.42</v>
      </c>
      <c r="J159">
        <v>58.94</v>
      </c>
      <c r="K159">
        <v>62</v>
      </c>
      <c r="L159">
        <v>52.44</v>
      </c>
      <c r="M159">
        <v>65.430000000000007</v>
      </c>
      <c r="N159">
        <f t="shared" si="88"/>
        <v>58.935000000000002</v>
      </c>
      <c r="O159">
        <v>12.99</v>
      </c>
      <c r="P159">
        <v>58.94</v>
      </c>
      <c r="Q159">
        <v>15.19</v>
      </c>
      <c r="T159">
        <v>35.409999999999997</v>
      </c>
      <c r="U159">
        <v>34.47</v>
      </c>
      <c r="V159">
        <v>47.65</v>
      </c>
      <c r="W159">
        <v>37.369999999999997</v>
      </c>
      <c r="X159">
        <v>33.99</v>
      </c>
      <c r="Y159">
        <v>43.09</v>
      </c>
      <c r="Z159">
        <v>38</v>
      </c>
      <c r="AA159">
        <v>55.72</v>
      </c>
      <c r="AB159">
        <v>59.42</v>
      </c>
      <c r="AC159">
        <v>62.38</v>
      </c>
      <c r="AD159">
        <v>47.65</v>
      </c>
      <c r="AE159">
        <v>71.19</v>
      </c>
      <c r="AF159">
        <f t="shared" si="89"/>
        <v>59.42</v>
      </c>
      <c r="AG159">
        <v>23.54</v>
      </c>
      <c r="AH159">
        <v>59.42</v>
      </c>
      <c r="AI159">
        <v>15.38</v>
      </c>
      <c r="AL159">
        <v>35.51</v>
      </c>
      <c r="AM159">
        <v>33.630000000000003</v>
      </c>
      <c r="AN159">
        <v>54.84</v>
      </c>
      <c r="AO159">
        <v>39.65</v>
      </c>
      <c r="AP159">
        <v>34.020000000000003</v>
      </c>
      <c r="AQ159">
        <v>51.89</v>
      </c>
      <c r="AR159">
        <v>41.1</v>
      </c>
      <c r="AS159">
        <v>55.17</v>
      </c>
      <c r="AT159">
        <v>59.76</v>
      </c>
      <c r="AU159">
        <v>62.85</v>
      </c>
      <c r="AV159">
        <v>54.84</v>
      </c>
      <c r="AW159">
        <v>64.67</v>
      </c>
      <c r="AX159">
        <f t="shared" si="90"/>
        <v>59.755000000000003</v>
      </c>
      <c r="AY159">
        <v>9.84</v>
      </c>
      <c r="AZ159">
        <v>59.76</v>
      </c>
      <c r="BA159">
        <v>15.5</v>
      </c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1">
        <f t="shared" si="85"/>
        <v>15.456666666666669</v>
      </c>
      <c r="BQ159" s="1">
        <f t="shared" si="86"/>
        <v>59.373333333333335</v>
      </c>
      <c r="BR159" s="1">
        <f t="shared" si="87"/>
        <v>15.356666666666667</v>
      </c>
    </row>
    <row r="160" spans="1:70" x14ac:dyDescent="0.25">
      <c r="B160">
        <v>31.66</v>
      </c>
      <c r="C160">
        <v>31.75</v>
      </c>
      <c r="D160">
        <v>51.36</v>
      </c>
      <c r="E160">
        <v>34.67</v>
      </c>
      <c r="F160">
        <v>29.52</v>
      </c>
      <c r="G160">
        <v>48.52</v>
      </c>
      <c r="H160">
        <v>36.71</v>
      </c>
      <c r="I160">
        <v>53.66</v>
      </c>
      <c r="J160">
        <v>59.46</v>
      </c>
      <c r="K160">
        <v>64.06</v>
      </c>
      <c r="L160">
        <v>51.36</v>
      </c>
      <c r="M160">
        <v>67.569999999999993</v>
      </c>
      <c r="N160">
        <f t="shared" si="88"/>
        <v>59.464999999999996</v>
      </c>
      <c r="O160">
        <v>16.21</v>
      </c>
      <c r="P160">
        <v>59.46</v>
      </c>
      <c r="Q160">
        <v>15.75</v>
      </c>
      <c r="T160">
        <v>32</v>
      </c>
      <c r="U160">
        <v>31.09</v>
      </c>
      <c r="V160">
        <v>49.99</v>
      </c>
      <c r="W160">
        <v>36.14</v>
      </c>
      <c r="X160">
        <v>32.840000000000003</v>
      </c>
      <c r="Y160">
        <v>51.71</v>
      </c>
      <c r="Z160">
        <v>40.17</v>
      </c>
      <c r="AA160">
        <v>55.71</v>
      </c>
      <c r="AB160">
        <v>59.73</v>
      </c>
      <c r="AC160">
        <v>64.03</v>
      </c>
      <c r="AD160">
        <v>49.99</v>
      </c>
      <c r="AE160">
        <v>69.459999999999994</v>
      </c>
      <c r="AF160">
        <f t="shared" si="89"/>
        <v>59.724999999999994</v>
      </c>
      <c r="AG160">
        <v>19.46</v>
      </c>
      <c r="AH160">
        <v>59.73</v>
      </c>
      <c r="AI160">
        <v>16.04</v>
      </c>
      <c r="AL160">
        <v>31.72</v>
      </c>
      <c r="AM160">
        <v>30.82</v>
      </c>
      <c r="AN160">
        <v>56.5</v>
      </c>
      <c r="AO160">
        <v>37.32</v>
      </c>
      <c r="AP160">
        <v>31.82</v>
      </c>
      <c r="AQ160">
        <v>57.12</v>
      </c>
      <c r="AR160">
        <v>40.869999999999997</v>
      </c>
      <c r="AS160">
        <v>54.95</v>
      </c>
      <c r="AT160">
        <v>60.69</v>
      </c>
      <c r="AU160">
        <v>63.93</v>
      </c>
      <c r="AV160">
        <v>56.5</v>
      </c>
      <c r="AW160">
        <v>64.88</v>
      </c>
      <c r="AX160">
        <f t="shared" si="90"/>
        <v>60.69</v>
      </c>
      <c r="AY160">
        <v>8.3800000000000008</v>
      </c>
      <c r="AZ160">
        <v>60.69</v>
      </c>
      <c r="BA160">
        <v>17.14</v>
      </c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1">
        <f t="shared" si="85"/>
        <v>14.683333333333335</v>
      </c>
      <c r="BQ160" s="1">
        <f t="shared" si="86"/>
        <v>59.96</v>
      </c>
      <c r="BR160" s="1">
        <f t="shared" si="87"/>
        <v>16.309999999999999</v>
      </c>
    </row>
    <row r="161" spans="1:70" x14ac:dyDescent="0.25">
      <c r="B161">
        <v>25.24</v>
      </c>
      <c r="C161">
        <v>23.53</v>
      </c>
      <c r="D161">
        <v>54.94</v>
      </c>
      <c r="E161">
        <v>30.96</v>
      </c>
      <c r="F161">
        <v>24.73</v>
      </c>
      <c r="G161">
        <v>56.76</v>
      </c>
      <c r="H161">
        <v>34.450000000000003</v>
      </c>
      <c r="I161">
        <v>52.32</v>
      </c>
      <c r="J161">
        <v>59.92</v>
      </c>
      <c r="K161">
        <v>64.36</v>
      </c>
      <c r="L161">
        <v>54.94</v>
      </c>
      <c r="M161">
        <v>64.900000000000006</v>
      </c>
      <c r="N161">
        <f t="shared" si="88"/>
        <v>59.92</v>
      </c>
      <c r="O161">
        <v>9.9600000000000009</v>
      </c>
      <c r="P161">
        <v>59.92</v>
      </c>
      <c r="Q161">
        <v>14.29</v>
      </c>
      <c r="T161">
        <v>24.17</v>
      </c>
      <c r="U161">
        <v>23.11</v>
      </c>
      <c r="V161">
        <v>52.71</v>
      </c>
      <c r="W161">
        <v>29.86</v>
      </c>
      <c r="X161">
        <v>24.77</v>
      </c>
      <c r="Y161">
        <v>54.5</v>
      </c>
      <c r="Z161">
        <v>34.06</v>
      </c>
      <c r="AA161">
        <v>52.48</v>
      </c>
      <c r="AB161">
        <v>59.54</v>
      </c>
      <c r="AC161">
        <v>63.5</v>
      </c>
      <c r="AD161">
        <v>52.71</v>
      </c>
      <c r="AE161">
        <v>66.37</v>
      </c>
      <c r="AF161">
        <f t="shared" si="89"/>
        <v>59.540000000000006</v>
      </c>
      <c r="AG161">
        <v>13.66</v>
      </c>
      <c r="AH161">
        <v>59.54</v>
      </c>
      <c r="AI161">
        <v>13.36</v>
      </c>
      <c r="AL161">
        <v>23.87</v>
      </c>
      <c r="AM161">
        <v>23.13</v>
      </c>
      <c r="AN161">
        <v>57.53</v>
      </c>
      <c r="AO161">
        <v>29.92</v>
      </c>
      <c r="AP161">
        <v>22.91</v>
      </c>
      <c r="AQ161">
        <v>54.91</v>
      </c>
      <c r="AR161">
        <v>32.33</v>
      </c>
      <c r="AS161">
        <v>51.27</v>
      </c>
      <c r="AT161">
        <v>60.35</v>
      </c>
      <c r="AU161">
        <v>64.19</v>
      </c>
      <c r="AV161">
        <v>57.53</v>
      </c>
      <c r="AW161">
        <v>63.18</v>
      </c>
      <c r="AX161">
        <f t="shared" si="90"/>
        <v>60.355000000000004</v>
      </c>
      <c r="AY161">
        <v>5.65</v>
      </c>
      <c r="AZ161">
        <v>60.35</v>
      </c>
      <c r="BA161">
        <v>13.97</v>
      </c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1">
        <f t="shared" si="85"/>
        <v>9.7566666666666677</v>
      </c>
      <c r="BQ161" s="1">
        <f t="shared" si="86"/>
        <v>59.936666666666667</v>
      </c>
      <c r="BR161" s="1">
        <f t="shared" si="87"/>
        <v>13.873333333333333</v>
      </c>
    </row>
    <row r="162" spans="1:70" x14ac:dyDescent="0.25">
      <c r="B162" s="2">
        <f>AVERAGE(B152:B161)</f>
        <v>27.213000000000001</v>
      </c>
      <c r="C162" s="2">
        <f t="shared" ref="C162:Q162" si="91">AVERAGE(C152:C161)</f>
        <v>26.058000000000003</v>
      </c>
      <c r="D162" s="2">
        <f t="shared" si="91"/>
        <v>56.751999999999995</v>
      </c>
      <c r="E162" s="2">
        <f t="shared" si="91"/>
        <v>33.731999999999992</v>
      </c>
      <c r="F162" s="2">
        <f t="shared" si="91"/>
        <v>26.087000000000007</v>
      </c>
      <c r="G162" s="2">
        <f t="shared" si="91"/>
        <v>55.777000000000001</v>
      </c>
      <c r="H162" s="2">
        <f t="shared" si="91"/>
        <v>35.080999999999996</v>
      </c>
      <c r="I162" s="2">
        <f t="shared" si="91"/>
        <v>53.474000000000011</v>
      </c>
      <c r="J162" s="2">
        <f t="shared" si="91"/>
        <v>60.703999999999994</v>
      </c>
      <c r="K162" s="2">
        <f t="shared" si="91"/>
        <v>64.468999999999994</v>
      </c>
      <c r="L162" s="2">
        <f t="shared" si="91"/>
        <v>56.751999999999995</v>
      </c>
      <c r="M162" s="2">
        <f t="shared" si="91"/>
        <v>64.659000000000006</v>
      </c>
      <c r="N162" s="2">
        <f t="shared" si="91"/>
        <v>60.705499999999994</v>
      </c>
      <c r="O162" s="2">
        <f t="shared" si="91"/>
        <v>11.409000000000001</v>
      </c>
      <c r="P162" s="2">
        <f t="shared" si="91"/>
        <v>60.703999999999994</v>
      </c>
      <c r="Q162" s="2">
        <f t="shared" si="91"/>
        <v>15.748999999999999</v>
      </c>
      <c r="T162" s="2">
        <f>AVERAGE(T152:T161)</f>
        <v>26.869</v>
      </c>
      <c r="U162" s="2">
        <f t="shared" ref="U162:AI162" si="92">AVERAGE(U152:U161)</f>
        <v>25.939</v>
      </c>
      <c r="V162" s="2">
        <f t="shared" si="92"/>
        <v>55.830000000000005</v>
      </c>
      <c r="W162" s="2">
        <f t="shared" si="92"/>
        <v>33.422000000000004</v>
      </c>
      <c r="X162" s="2">
        <f t="shared" si="92"/>
        <v>26.250999999999998</v>
      </c>
      <c r="Y162" s="2">
        <f t="shared" si="92"/>
        <v>54.762000000000015</v>
      </c>
      <c r="Z162" s="2">
        <f t="shared" si="92"/>
        <v>34.807000000000002</v>
      </c>
      <c r="AA162" s="2">
        <f t="shared" si="92"/>
        <v>53.719999999999992</v>
      </c>
      <c r="AB162" s="2">
        <f t="shared" si="92"/>
        <v>60.753</v>
      </c>
      <c r="AC162" s="2">
        <f t="shared" si="92"/>
        <v>64.412999999999997</v>
      </c>
      <c r="AD162" s="2">
        <f t="shared" si="92"/>
        <v>55.830000000000005</v>
      </c>
      <c r="AE162" s="2">
        <f t="shared" si="92"/>
        <v>65.676000000000016</v>
      </c>
      <c r="AF162" s="2">
        <f t="shared" si="92"/>
        <v>60.753</v>
      </c>
      <c r="AG162" s="2">
        <f t="shared" si="92"/>
        <v>11.308000000000002</v>
      </c>
      <c r="AH162" s="2">
        <f t="shared" si="92"/>
        <v>60.753</v>
      </c>
      <c r="AI162" s="2">
        <f t="shared" si="92"/>
        <v>15.687999999999999</v>
      </c>
      <c r="AL162" s="2">
        <f>AVERAGE(AL152:AL161)</f>
        <v>26.597999999999995</v>
      </c>
      <c r="AM162" s="2">
        <f t="shared" ref="AM162:BA162" si="93">AVERAGE(AM152:AM161)</f>
        <v>25.448</v>
      </c>
      <c r="AN162" s="2">
        <f t="shared" si="93"/>
        <v>58.849000000000004</v>
      </c>
      <c r="AO162" s="2">
        <f t="shared" si="93"/>
        <v>33.522999999999996</v>
      </c>
      <c r="AP162" s="2">
        <f t="shared" si="93"/>
        <v>25.495999999999999</v>
      </c>
      <c r="AQ162" s="2">
        <f t="shared" si="93"/>
        <v>57.472999999999992</v>
      </c>
      <c r="AR162" s="2">
        <f t="shared" si="93"/>
        <v>34.730000000000004</v>
      </c>
      <c r="AS162" s="2">
        <f t="shared" si="93"/>
        <v>52.727999999999994</v>
      </c>
      <c r="AT162" s="2">
        <f t="shared" si="93"/>
        <v>60.658000000000001</v>
      </c>
      <c r="AU162" s="2">
        <f t="shared" si="93"/>
        <v>64.052999999999997</v>
      </c>
      <c r="AV162" s="2">
        <f t="shared" si="93"/>
        <v>58.849000000000004</v>
      </c>
      <c r="AW162" s="2">
        <f t="shared" si="93"/>
        <v>62.466999999999999</v>
      </c>
      <c r="AX162" s="2">
        <f t="shared" si="93"/>
        <v>60.657999999999994</v>
      </c>
      <c r="AY162" s="2">
        <f t="shared" si="93"/>
        <v>7.9279999999999999</v>
      </c>
      <c r="AZ162" s="2">
        <f t="shared" si="93"/>
        <v>60.658000000000001</v>
      </c>
      <c r="BA162" s="2">
        <f t="shared" si="93"/>
        <v>15.382000000000001</v>
      </c>
      <c r="BP162" s="2">
        <f t="shared" ref="BP162:BR162" si="94">AVERAGE(BP152:BP161)</f>
        <v>10.215</v>
      </c>
      <c r="BQ162" s="2">
        <f t="shared" si="94"/>
        <v>60.704999999999998</v>
      </c>
      <c r="BR162" s="2">
        <f t="shared" si="94"/>
        <v>15.606333333333334</v>
      </c>
    </row>
    <row r="167" spans="1:70" x14ac:dyDescent="0.25">
      <c r="A167" s="2" t="s">
        <v>39</v>
      </c>
      <c r="S167" s="2" t="s">
        <v>39</v>
      </c>
    </row>
    <row r="168" spans="1:70" x14ac:dyDescent="0.25">
      <c r="A168" s="2" t="s">
        <v>61</v>
      </c>
      <c r="S168" s="2" t="s">
        <v>61</v>
      </c>
    </row>
    <row r="169" spans="1:70" x14ac:dyDescent="0.25">
      <c r="B169" t="s">
        <v>0</v>
      </c>
      <c r="C169" t="s">
        <v>1</v>
      </c>
      <c r="D169" t="s">
        <v>2</v>
      </c>
      <c r="E169" t="s">
        <v>3</v>
      </c>
      <c r="F169" t="s">
        <v>4</v>
      </c>
      <c r="G169" t="s">
        <v>5</v>
      </c>
      <c r="H169" t="s">
        <v>6</v>
      </c>
      <c r="I169" t="s">
        <v>7</v>
      </c>
      <c r="J169" t="s">
        <v>8</v>
      </c>
      <c r="K169" t="s">
        <v>9</v>
      </c>
      <c r="L169" s="2" t="s">
        <v>10</v>
      </c>
      <c r="M169" s="2" t="s">
        <v>11</v>
      </c>
      <c r="N169" s="2" t="s">
        <v>12</v>
      </c>
      <c r="O169" s="2" t="s">
        <v>13</v>
      </c>
      <c r="P169" t="s">
        <v>14</v>
      </c>
      <c r="Q169" s="2" t="s">
        <v>15</v>
      </c>
      <c r="T169" t="s">
        <v>0</v>
      </c>
      <c r="U169" t="s">
        <v>1</v>
      </c>
      <c r="V169" t="s">
        <v>2</v>
      </c>
      <c r="W169" t="s">
        <v>3</v>
      </c>
      <c r="X169" t="s">
        <v>4</v>
      </c>
      <c r="Y169" t="s">
        <v>5</v>
      </c>
      <c r="Z169" t="s">
        <v>6</v>
      </c>
      <c r="AA169" t="s">
        <v>7</v>
      </c>
      <c r="AB169" t="s">
        <v>8</v>
      </c>
      <c r="AC169" t="s">
        <v>9</v>
      </c>
      <c r="AD169" s="2" t="s">
        <v>10</v>
      </c>
      <c r="AE169" s="2" t="s">
        <v>11</v>
      </c>
      <c r="AF169" s="2" t="s">
        <v>12</v>
      </c>
      <c r="AG169" s="2" t="s">
        <v>13</v>
      </c>
      <c r="AH169" t="s">
        <v>14</v>
      </c>
      <c r="AI169" s="2" t="s">
        <v>15</v>
      </c>
    </row>
    <row r="170" spans="1:70" x14ac:dyDescent="0.25">
      <c r="A170" s="1" t="s">
        <v>64</v>
      </c>
      <c r="I170">
        <v>51.55</v>
      </c>
      <c r="J170">
        <v>71.19</v>
      </c>
      <c r="K170">
        <v>78.63</v>
      </c>
      <c r="L170">
        <v>70.97</v>
      </c>
      <c r="M170">
        <v>71.400000000000006</v>
      </c>
      <c r="N170">
        <f>(L170+M170)/2</f>
        <v>71.185000000000002</v>
      </c>
      <c r="O170" s="2">
        <f>ABS(L170-M170)</f>
        <v>0.43000000000000682</v>
      </c>
      <c r="Q170">
        <v>20.62</v>
      </c>
      <c r="AA170">
        <v>52.78</v>
      </c>
      <c r="AB170">
        <v>71.27</v>
      </c>
      <c r="AC170">
        <v>78.17</v>
      </c>
      <c r="AD170">
        <v>68.06</v>
      </c>
      <c r="AE170">
        <v>74.47</v>
      </c>
      <c r="AF170">
        <f>(AD170+AE170)/2</f>
        <v>71.265000000000001</v>
      </c>
      <c r="AG170" s="2">
        <f>ABS(AD170-AE170)</f>
        <v>6.4099999999999966</v>
      </c>
      <c r="AI170">
        <v>20.329999999999998</v>
      </c>
    </row>
    <row r="171" spans="1:70" x14ac:dyDescent="0.25">
      <c r="I171">
        <v>52.01</v>
      </c>
      <c r="J171">
        <v>70.5</v>
      </c>
      <c r="K171">
        <v>77.23</v>
      </c>
      <c r="L171">
        <v>67.959999999999994</v>
      </c>
      <c r="M171">
        <v>73.040000000000006</v>
      </c>
      <c r="N171">
        <f t="shared" ref="N171:N172" si="95">(L171+M171)/2</f>
        <v>70.5</v>
      </c>
      <c r="O171" s="2">
        <f t="shared" ref="O171:O172" si="96">ABS(L171-M171)</f>
        <v>5.0800000000000125</v>
      </c>
      <c r="Q171">
        <v>19.649999999999999</v>
      </c>
      <c r="AA171">
        <v>52.94</v>
      </c>
      <c r="AB171">
        <v>70.42</v>
      </c>
      <c r="AC171">
        <v>78.02</v>
      </c>
      <c r="AD171">
        <v>66.55</v>
      </c>
      <c r="AE171">
        <v>74.290000000000006</v>
      </c>
      <c r="AF171">
        <f t="shared" ref="AF171:AF172" si="97">(AD171+AE171)/2</f>
        <v>70.42</v>
      </c>
      <c r="AG171" s="2">
        <f t="shared" ref="AG171:AG172" si="98">ABS(AD171-AE171)</f>
        <v>7.7400000000000091</v>
      </c>
      <c r="AI171">
        <v>20.48</v>
      </c>
    </row>
    <row r="172" spans="1:70" x14ac:dyDescent="0.25">
      <c r="I172">
        <v>52.86</v>
      </c>
      <c r="J172">
        <v>70.55</v>
      </c>
      <c r="K172">
        <v>77.53</v>
      </c>
      <c r="L172">
        <v>66.34</v>
      </c>
      <c r="M172">
        <v>74.760000000000005</v>
      </c>
      <c r="N172">
        <f t="shared" si="95"/>
        <v>70.550000000000011</v>
      </c>
      <c r="O172" s="2">
        <f t="shared" si="96"/>
        <v>8.4200000000000017</v>
      </c>
      <c r="Q172">
        <v>20.03</v>
      </c>
      <c r="AA172">
        <v>52.75</v>
      </c>
      <c r="AB172">
        <v>71.150000000000006</v>
      </c>
      <c r="AC172">
        <v>78.02</v>
      </c>
      <c r="AD172">
        <v>68.22</v>
      </c>
      <c r="AE172">
        <v>74.09</v>
      </c>
      <c r="AF172">
        <f t="shared" si="97"/>
        <v>71.155000000000001</v>
      </c>
      <c r="AG172" s="2">
        <f t="shared" si="98"/>
        <v>5.8700000000000045</v>
      </c>
      <c r="AI172">
        <v>20.41</v>
      </c>
    </row>
    <row r="173" spans="1:70" x14ac:dyDescent="0.25">
      <c r="I173" s="2">
        <f t="shared" ref="I173:K173" si="99">AVERAGE(I170:I172)</f>
        <v>52.140000000000008</v>
      </c>
      <c r="J173" s="2">
        <f t="shared" si="99"/>
        <v>70.74666666666667</v>
      </c>
      <c r="K173" s="2">
        <f t="shared" si="99"/>
        <v>77.796666666666667</v>
      </c>
      <c r="L173" s="2">
        <f t="shared" ref="L173:O173" si="100">AVERAGE(L170:L172)</f>
        <v>68.423333333333332</v>
      </c>
      <c r="M173" s="2">
        <f t="shared" si="100"/>
        <v>73.066666666666663</v>
      </c>
      <c r="N173" s="2">
        <f t="shared" si="100"/>
        <v>70.745000000000005</v>
      </c>
      <c r="O173" s="2">
        <f t="shared" si="100"/>
        <v>4.6433333333333406</v>
      </c>
      <c r="Q173" s="2">
        <f t="shared" ref="Q173" si="101">AVERAGE(Q170:Q172)</f>
        <v>20.099999999999998</v>
      </c>
      <c r="AA173" s="2">
        <f t="shared" ref="AA173:AG173" si="102">AVERAGE(AA170:AA172)</f>
        <v>52.823333333333331</v>
      </c>
      <c r="AB173" s="2">
        <f t="shared" si="102"/>
        <v>70.946666666666673</v>
      </c>
      <c r="AC173" s="2">
        <f t="shared" si="102"/>
        <v>78.069999999999993</v>
      </c>
      <c r="AD173" s="2">
        <f t="shared" si="102"/>
        <v>67.61</v>
      </c>
      <c r="AE173" s="2">
        <f t="shared" si="102"/>
        <v>74.283333333333331</v>
      </c>
      <c r="AF173" s="2">
        <f t="shared" si="102"/>
        <v>70.946666666666673</v>
      </c>
      <c r="AG173" s="2">
        <f t="shared" si="102"/>
        <v>6.6733333333333364</v>
      </c>
      <c r="AI173" s="2">
        <f t="shared" ref="AI173" si="103">AVERAGE(AI170:AI172)</f>
        <v>20.406666666666666</v>
      </c>
    </row>
    <row r="174" spans="1:70" x14ac:dyDescent="0.25">
      <c r="I174" s="2">
        <f t="shared" ref="I174:K174" si="104">_xlfn.STDEV.S(I170:I172)</f>
        <v>0.6646051459325315</v>
      </c>
      <c r="J174" s="2">
        <f t="shared" si="104"/>
        <v>0.38475100173142224</v>
      </c>
      <c r="K174" s="2">
        <f t="shared" si="104"/>
        <v>0.73711147958319512</v>
      </c>
      <c r="L174" s="2">
        <f t="shared" ref="L174:O174" si="105">_xlfn.STDEV.S(L170:L172)</f>
        <v>2.3495176810003637</v>
      </c>
      <c r="M174" s="2">
        <f t="shared" si="105"/>
        <v>1.6801587226608481</v>
      </c>
      <c r="N174" s="2">
        <f t="shared" si="105"/>
        <v>0.38187039686259888</v>
      </c>
      <c r="O174" s="2">
        <f t="shared" si="105"/>
        <v>4.0128584990419638</v>
      </c>
      <c r="Q174" s="2">
        <f t="shared" ref="Q174" si="106">_xlfn.STDEV.S(Q170:Q172)</f>
        <v>0.48877397639399855</v>
      </c>
      <c r="AA174" s="2">
        <f t="shared" ref="AA174:AG174" si="107">_xlfn.STDEV.S(AA170:AA172)</f>
        <v>0.10214368964029553</v>
      </c>
      <c r="AB174" s="2">
        <f t="shared" si="107"/>
        <v>0.46003623045726766</v>
      </c>
      <c r="AC174" s="2">
        <f t="shared" si="107"/>
        <v>8.6602540378447154E-2</v>
      </c>
      <c r="AD174" s="2">
        <f t="shared" si="107"/>
        <v>0.92146622292952407</v>
      </c>
      <c r="AE174" s="2">
        <f t="shared" si="107"/>
        <v>0.1900876990584412</v>
      </c>
      <c r="AF174" s="2">
        <f t="shared" si="107"/>
        <v>0.45941085460982833</v>
      </c>
      <c r="AG174" s="2">
        <f t="shared" si="107"/>
        <v>0.96241016896817078</v>
      </c>
      <c r="AI174" s="2">
        <f t="shared" ref="AI174" si="108">_xlfn.STDEV.S(AI170:AI172)</f>
        <v>7.5055534994652423E-2</v>
      </c>
    </row>
    <row r="175" spans="1:70" x14ac:dyDescent="0.25">
      <c r="L175" s="2"/>
      <c r="M175" s="2"/>
      <c r="N175" s="2"/>
      <c r="O175" s="2"/>
      <c r="Q175" s="2"/>
      <c r="AD175" s="2"/>
      <c r="AE175" s="2"/>
      <c r="AF175" s="2"/>
      <c r="AG175" s="2"/>
      <c r="AI175" s="2"/>
    </row>
    <row r="176" spans="1:70" x14ac:dyDescent="0.25">
      <c r="A176" t="s">
        <v>62</v>
      </c>
      <c r="B176">
        <v>18.726999999999997</v>
      </c>
      <c r="C176">
        <v>18.597999999999999</v>
      </c>
      <c r="D176">
        <v>51.5</v>
      </c>
      <c r="E176">
        <v>25.396000000000001</v>
      </c>
      <c r="F176">
        <v>18.512999999999998</v>
      </c>
      <c r="G176">
        <v>51.330000000000005</v>
      </c>
      <c r="H176">
        <v>26.558000000000003</v>
      </c>
      <c r="I176">
        <v>42.984999999999999</v>
      </c>
      <c r="J176">
        <v>50.231999999999992</v>
      </c>
      <c r="K176">
        <v>50.212000000000003</v>
      </c>
      <c r="L176">
        <v>51.5</v>
      </c>
      <c r="M176">
        <v>48.963000000000001</v>
      </c>
      <c r="N176">
        <v>50.231499999999997</v>
      </c>
      <c r="O176">
        <v>3.383</v>
      </c>
      <c r="P176">
        <v>50.231999999999992</v>
      </c>
      <c r="Q176">
        <v>0.38400000000000001</v>
      </c>
      <c r="S176" t="s">
        <v>62</v>
      </c>
      <c r="T176">
        <v>15.523333333333333</v>
      </c>
      <c r="U176">
        <v>15.448333333333336</v>
      </c>
      <c r="V176">
        <v>47.273333333333333</v>
      </c>
      <c r="W176">
        <v>21.943333333333332</v>
      </c>
      <c r="X176">
        <v>15.468333333333334</v>
      </c>
      <c r="Y176">
        <v>47.425000000000004</v>
      </c>
      <c r="Z176">
        <v>22.806666666666668</v>
      </c>
      <c r="AA176">
        <v>43.323333333333331</v>
      </c>
      <c r="AB176">
        <v>50.221666666666664</v>
      </c>
      <c r="AC176">
        <v>50.248333333333335</v>
      </c>
      <c r="AD176">
        <v>47.273333333333333</v>
      </c>
      <c r="AE176">
        <v>53.17166666666666</v>
      </c>
      <c r="AF176">
        <v>50.222499999999997</v>
      </c>
      <c r="AG176">
        <v>5.8966666666666674</v>
      </c>
      <c r="AH176">
        <v>50.221666666666664</v>
      </c>
      <c r="AI176">
        <v>0.36999999999999994</v>
      </c>
    </row>
    <row r="177" spans="1:52" x14ac:dyDescent="0.25">
      <c r="B177">
        <v>18.743000000000002</v>
      </c>
      <c r="C177">
        <v>18.428999999999998</v>
      </c>
      <c r="D177">
        <v>47.624000000000002</v>
      </c>
      <c r="E177">
        <v>24.612000000000002</v>
      </c>
      <c r="F177">
        <v>18.478000000000002</v>
      </c>
      <c r="G177">
        <v>47.822000000000003</v>
      </c>
      <c r="H177">
        <v>25.997000000000003</v>
      </c>
      <c r="I177">
        <v>43.942</v>
      </c>
      <c r="J177">
        <v>50.055</v>
      </c>
      <c r="K177">
        <v>50.055999999999997</v>
      </c>
      <c r="L177">
        <v>47.624000000000002</v>
      </c>
      <c r="M177">
        <v>52.486000000000004</v>
      </c>
      <c r="N177">
        <v>50.055</v>
      </c>
      <c r="O177">
        <v>5.2560000000000002</v>
      </c>
      <c r="P177">
        <v>50.055</v>
      </c>
      <c r="Q177">
        <v>6.3999999999999987E-2</v>
      </c>
      <c r="T177">
        <v>15.321666666666664</v>
      </c>
      <c r="U177">
        <v>15.265000000000001</v>
      </c>
      <c r="V177">
        <v>51.741666666666667</v>
      </c>
      <c r="W177">
        <v>22.261666666666667</v>
      </c>
      <c r="X177">
        <v>15.409999999999997</v>
      </c>
      <c r="Y177">
        <v>52.423333333333325</v>
      </c>
      <c r="Z177">
        <v>23.099999999999998</v>
      </c>
      <c r="AA177">
        <v>41.553333333333327</v>
      </c>
      <c r="AB177">
        <v>49.961666666666666</v>
      </c>
      <c r="AC177">
        <v>49.805</v>
      </c>
      <c r="AD177">
        <v>51.741666666666667</v>
      </c>
      <c r="AE177">
        <v>48.181666666666672</v>
      </c>
      <c r="AF177">
        <v>49.961666666666666</v>
      </c>
      <c r="AG177">
        <v>5.8616666666666655</v>
      </c>
      <c r="AH177">
        <v>49.961666666666666</v>
      </c>
      <c r="AI177">
        <v>-7.166666666666667E-2</v>
      </c>
    </row>
    <row r="178" spans="1:52" x14ac:dyDescent="0.25">
      <c r="B178">
        <v>18.835999999999999</v>
      </c>
      <c r="C178">
        <v>18.655999999999999</v>
      </c>
      <c r="D178">
        <v>53.686</v>
      </c>
      <c r="E178">
        <v>25.518000000000001</v>
      </c>
      <c r="F178">
        <v>18.463999999999999</v>
      </c>
      <c r="G178">
        <v>52.632000000000005</v>
      </c>
      <c r="H178">
        <v>26.561999999999994</v>
      </c>
      <c r="I178">
        <v>42.155999999999992</v>
      </c>
      <c r="J178">
        <v>50.540999999999997</v>
      </c>
      <c r="K178">
        <v>50.58</v>
      </c>
      <c r="L178">
        <v>53.686</v>
      </c>
      <c r="M178">
        <v>47.396999999999998</v>
      </c>
      <c r="N178">
        <v>50.541499999999999</v>
      </c>
      <c r="O178">
        <v>6.8549999999999995</v>
      </c>
      <c r="P178">
        <v>50.540999999999997</v>
      </c>
      <c r="Q178">
        <v>0.69199999999999995</v>
      </c>
      <c r="T178">
        <v>15.538333333333332</v>
      </c>
      <c r="U178">
        <v>15.376666666666667</v>
      </c>
      <c r="V178">
        <v>44.305000000000007</v>
      </c>
      <c r="W178">
        <v>21.500000000000004</v>
      </c>
      <c r="X178">
        <v>15.313333333333334</v>
      </c>
      <c r="Y178">
        <v>43.836666666666666</v>
      </c>
      <c r="Z178">
        <v>22.185000000000002</v>
      </c>
      <c r="AA178">
        <v>44.254999999999995</v>
      </c>
      <c r="AB178">
        <v>50.133333333333333</v>
      </c>
      <c r="AC178">
        <v>50.248333333333335</v>
      </c>
      <c r="AD178">
        <v>44.305000000000007</v>
      </c>
      <c r="AE178">
        <v>55.961666666666673</v>
      </c>
      <c r="AF178">
        <v>50.133333333333333</v>
      </c>
      <c r="AG178">
        <v>11.655000000000001</v>
      </c>
      <c r="AH178">
        <v>50.133333333333333</v>
      </c>
      <c r="AI178">
        <v>0.20166666666666666</v>
      </c>
    </row>
    <row r="179" spans="1:52" x14ac:dyDescent="0.25">
      <c r="B179" s="2">
        <f>AVERAGE(B176:B178)</f>
        <v>18.768666666666665</v>
      </c>
      <c r="C179" s="2">
        <f t="shared" ref="C179:Q179" si="109">AVERAGE(C176:C178)</f>
        <v>18.561</v>
      </c>
      <c r="D179" s="2">
        <f t="shared" si="109"/>
        <v>50.936666666666667</v>
      </c>
      <c r="E179" s="2">
        <f t="shared" si="109"/>
        <v>25.175333333333338</v>
      </c>
      <c r="F179" s="2">
        <f t="shared" si="109"/>
        <v>18.484999999999999</v>
      </c>
      <c r="G179" s="2">
        <f t="shared" si="109"/>
        <v>50.594666666666676</v>
      </c>
      <c r="H179" s="2">
        <f t="shared" si="109"/>
        <v>26.372333333333334</v>
      </c>
      <c r="I179" s="2">
        <f t="shared" si="109"/>
        <v>43.027666666666654</v>
      </c>
      <c r="J179" s="2">
        <f t="shared" si="109"/>
        <v>50.275999999999989</v>
      </c>
      <c r="K179" s="2">
        <f t="shared" si="109"/>
        <v>50.282666666666671</v>
      </c>
      <c r="L179" s="2">
        <f t="shared" si="109"/>
        <v>50.936666666666667</v>
      </c>
      <c r="M179" s="2">
        <f t="shared" si="109"/>
        <v>49.615333333333332</v>
      </c>
      <c r="N179" s="2">
        <f t="shared" si="109"/>
        <v>50.275999999999989</v>
      </c>
      <c r="O179" s="2">
        <f t="shared" si="109"/>
        <v>5.1646666666666663</v>
      </c>
      <c r="P179" s="2">
        <f t="shared" si="109"/>
        <v>50.275999999999989</v>
      </c>
      <c r="Q179" s="2">
        <f t="shared" si="109"/>
        <v>0.37999999999999995</v>
      </c>
      <c r="T179" s="2">
        <f>AVERAGE(T176:T178)</f>
        <v>15.46111111111111</v>
      </c>
      <c r="U179" s="2">
        <f t="shared" ref="U179:AI179" si="110">AVERAGE(U176:U178)</f>
        <v>15.363333333333335</v>
      </c>
      <c r="V179" s="2">
        <f t="shared" si="110"/>
        <v>47.773333333333333</v>
      </c>
      <c r="W179" s="2">
        <f t="shared" si="110"/>
        <v>21.901666666666667</v>
      </c>
      <c r="X179" s="2">
        <f t="shared" si="110"/>
        <v>15.39722222222222</v>
      </c>
      <c r="Y179" s="2">
        <f t="shared" si="110"/>
        <v>47.895000000000003</v>
      </c>
      <c r="Z179" s="2">
        <f t="shared" si="110"/>
        <v>22.697222222222223</v>
      </c>
      <c r="AA179" s="2">
        <f t="shared" si="110"/>
        <v>43.043888888888887</v>
      </c>
      <c r="AB179" s="2">
        <f t="shared" si="110"/>
        <v>50.105555555555554</v>
      </c>
      <c r="AC179" s="2">
        <f t="shared" si="110"/>
        <v>50.100555555555559</v>
      </c>
      <c r="AD179" s="2">
        <f t="shared" si="110"/>
        <v>47.773333333333333</v>
      </c>
      <c r="AE179" s="2">
        <f t="shared" si="110"/>
        <v>52.438333333333333</v>
      </c>
      <c r="AF179" s="2">
        <f t="shared" si="110"/>
        <v>50.105833333333329</v>
      </c>
      <c r="AG179" s="2">
        <f t="shared" si="110"/>
        <v>7.804444444444445</v>
      </c>
      <c r="AH179" s="2">
        <f t="shared" si="110"/>
        <v>50.105555555555554</v>
      </c>
      <c r="AI179" s="2">
        <f t="shared" si="110"/>
        <v>0.16666666666666666</v>
      </c>
      <c r="AK179" s="2">
        <f>(B179+T179)/2</f>
        <v>17.114888888888888</v>
      </c>
      <c r="AL179" s="2">
        <f t="shared" ref="AL179:AZ180" si="111">(C179+U179)/2</f>
        <v>16.962166666666668</v>
      </c>
      <c r="AM179" s="2">
        <f t="shared" si="111"/>
        <v>49.355000000000004</v>
      </c>
      <c r="AN179" s="2">
        <f t="shared" si="111"/>
        <v>23.538500000000003</v>
      </c>
      <c r="AO179" s="2">
        <f t="shared" si="111"/>
        <v>16.941111111111109</v>
      </c>
      <c r="AP179" s="2">
        <f t="shared" si="111"/>
        <v>49.244833333333339</v>
      </c>
      <c r="AQ179" s="2">
        <f t="shared" si="111"/>
        <v>24.534777777777776</v>
      </c>
      <c r="AR179" s="2">
        <f t="shared" si="111"/>
        <v>43.035777777777767</v>
      </c>
      <c r="AS179" s="2">
        <f t="shared" si="111"/>
        <v>50.190777777777768</v>
      </c>
      <c r="AT179" s="2">
        <f t="shared" si="111"/>
        <v>50.191611111111115</v>
      </c>
      <c r="AU179" s="2">
        <f t="shared" si="111"/>
        <v>49.355000000000004</v>
      </c>
      <c r="AV179" s="2">
        <f t="shared" si="111"/>
        <v>51.026833333333329</v>
      </c>
      <c r="AW179" s="2">
        <f t="shared" si="111"/>
        <v>50.190916666666659</v>
      </c>
      <c r="AX179" s="2">
        <f t="shared" si="111"/>
        <v>6.4845555555555556</v>
      </c>
      <c r="AY179" s="2">
        <f t="shared" si="111"/>
        <v>50.190777777777768</v>
      </c>
      <c r="AZ179" s="2">
        <f>(Q179+AI179)/2</f>
        <v>0.27333333333333332</v>
      </c>
    </row>
    <row r="180" spans="1:52" x14ac:dyDescent="0.25">
      <c r="B180" s="2">
        <f>_xlfn.STDEV.S(B176:B178)</f>
        <v>5.8858587592069474E-2</v>
      </c>
      <c r="C180" s="2">
        <f t="shared" ref="C180:Q180" si="112">_xlfn.STDEV.S(C176:C178)</f>
        <v>0.11793642355099652</v>
      </c>
      <c r="D180" s="2">
        <f t="shared" si="112"/>
        <v>3.0700112920530644</v>
      </c>
      <c r="E180" s="2">
        <f t="shared" si="112"/>
        <v>0.49165977396298416</v>
      </c>
      <c r="F180" s="2">
        <f t="shared" si="112"/>
        <v>2.5238858928247239E-2</v>
      </c>
      <c r="G180" s="2">
        <f t="shared" si="112"/>
        <v>2.4878829018531676</v>
      </c>
      <c r="H180" s="2">
        <f t="shared" si="112"/>
        <v>0.32505435442911934</v>
      </c>
      <c r="I180" s="2">
        <f t="shared" si="112"/>
        <v>0.89376413741732819</v>
      </c>
      <c r="J180" s="2">
        <f t="shared" si="112"/>
        <v>0.24596951030564654</v>
      </c>
      <c r="K180" s="2">
        <f t="shared" si="112"/>
        <v>0.26905265903412512</v>
      </c>
      <c r="L180" s="2">
        <f t="shared" si="112"/>
        <v>3.0700112920530644</v>
      </c>
      <c r="M180" s="2">
        <f t="shared" si="112"/>
        <v>2.6064601154311471</v>
      </c>
      <c r="N180" s="2">
        <f t="shared" si="112"/>
        <v>0.24628388091793582</v>
      </c>
      <c r="O180" s="2">
        <f t="shared" si="112"/>
        <v>1.7378010051019466</v>
      </c>
      <c r="P180" s="2">
        <f t="shared" si="112"/>
        <v>0.24596951030564654</v>
      </c>
      <c r="Q180" s="2">
        <f t="shared" si="112"/>
        <v>0.31401910769887875</v>
      </c>
      <c r="T180" s="2">
        <f>_xlfn.STDEV.S(T176:T178)</f>
        <v>0.12099510244144246</v>
      </c>
      <c r="U180" s="2">
        <f t="shared" ref="U180:AI180" si="113">_xlfn.STDEV.S(U176:U178)</f>
        <v>9.2391077010235564E-2</v>
      </c>
      <c r="V180" s="2">
        <f t="shared" si="113"/>
        <v>3.7434613364876306</v>
      </c>
      <c r="W180" s="2">
        <f t="shared" si="113"/>
        <v>0.38253903214065571</v>
      </c>
      <c r="X180" s="2">
        <f t="shared" si="113"/>
        <v>7.8286037731536792E-2</v>
      </c>
      <c r="Y180" s="2">
        <f t="shared" si="113"/>
        <v>4.3125846207478729</v>
      </c>
      <c r="Z180" s="2">
        <f t="shared" si="113"/>
        <v>0.46721495568401167</v>
      </c>
      <c r="AA180" s="2">
        <f t="shared" si="113"/>
        <v>1.3723401883616886</v>
      </c>
      <c r="AB180" s="2">
        <f t="shared" si="113"/>
        <v>0.13220704861581126</v>
      </c>
      <c r="AC180" s="2">
        <f t="shared" si="113"/>
        <v>0.25595861934073511</v>
      </c>
      <c r="AD180" s="2">
        <f t="shared" si="113"/>
        <v>3.7434613364876306</v>
      </c>
      <c r="AE180" s="2">
        <f t="shared" si="113"/>
        <v>3.94150140597886</v>
      </c>
      <c r="AF180" s="2">
        <f t="shared" si="113"/>
        <v>0.13257335495658293</v>
      </c>
      <c r="AG180" s="2">
        <f t="shared" si="113"/>
        <v>3.3347248484417462</v>
      </c>
      <c r="AH180" s="2">
        <f t="shared" si="113"/>
        <v>0.13220704861581126</v>
      </c>
      <c r="AI180" s="2">
        <f t="shared" si="113"/>
        <v>0.22290381582896041</v>
      </c>
      <c r="AK180" s="2">
        <f>(B180+T180)/2</f>
        <v>8.9926845016755963E-2</v>
      </c>
      <c r="AL180" s="2">
        <f t="shared" si="111"/>
        <v>0.10516375028061604</v>
      </c>
      <c r="AM180" s="2">
        <f t="shared" si="111"/>
        <v>3.4067363142703475</v>
      </c>
      <c r="AN180" s="2">
        <f t="shared" si="111"/>
        <v>0.43709940305181993</v>
      </c>
      <c r="AO180" s="2">
        <f t="shared" si="111"/>
        <v>5.1762448329892019E-2</v>
      </c>
      <c r="AP180" s="2">
        <f t="shared" si="111"/>
        <v>3.4002337613005205</v>
      </c>
      <c r="AQ180" s="2">
        <f t="shared" si="111"/>
        <v>0.39613465505656553</v>
      </c>
      <c r="AR180" s="2">
        <f t="shared" si="111"/>
        <v>1.1330521628895083</v>
      </c>
      <c r="AS180" s="2">
        <f t="shared" si="111"/>
        <v>0.1890882794607289</v>
      </c>
      <c r="AT180" s="2">
        <f t="shared" si="111"/>
        <v>0.26250563918743008</v>
      </c>
      <c r="AU180" s="2">
        <f t="shared" si="111"/>
        <v>3.4067363142703475</v>
      </c>
      <c r="AV180" s="2">
        <f t="shared" si="111"/>
        <v>3.2739807607050038</v>
      </c>
      <c r="AW180" s="2">
        <f t="shared" si="111"/>
        <v>0.18942861793725937</v>
      </c>
      <c r="AX180" s="2">
        <f t="shared" si="111"/>
        <v>2.5362629267718466</v>
      </c>
      <c r="AY180" s="2">
        <f t="shared" si="111"/>
        <v>0.1890882794607289</v>
      </c>
      <c r="AZ180" s="2">
        <f t="shared" si="111"/>
        <v>0.26846146176391961</v>
      </c>
    </row>
    <row r="182" spans="1:52" x14ac:dyDescent="0.25">
      <c r="A182" t="s">
        <v>63</v>
      </c>
      <c r="B182">
        <v>19.046000000000003</v>
      </c>
      <c r="C182">
        <v>18.84</v>
      </c>
      <c r="D182">
        <v>46.639000000000003</v>
      </c>
      <c r="E182">
        <v>25.061</v>
      </c>
      <c r="F182">
        <v>18.884999999999998</v>
      </c>
      <c r="G182">
        <v>46.575000000000003</v>
      </c>
      <c r="H182">
        <v>26.318999999999999</v>
      </c>
      <c r="I182">
        <v>45.097000000000001</v>
      </c>
      <c r="J182">
        <v>50.639000000000003</v>
      </c>
      <c r="K182">
        <v>50.927</v>
      </c>
      <c r="L182">
        <v>46.639000000000003</v>
      </c>
      <c r="M182">
        <v>54.642999999999994</v>
      </c>
      <c r="N182">
        <v>50.641000000000005</v>
      </c>
      <c r="O182">
        <v>8.1930000000000014</v>
      </c>
      <c r="P182">
        <v>50.639000000000003</v>
      </c>
      <c r="Q182">
        <v>0.95600000000000007</v>
      </c>
      <c r="S182" t="s">
        <v>63</v>
      </c>
      <c r="T182">
        <v>15.625</v>
      </c>
      <c r="U182">
        <v>15.654999999999999</v>
      </c>
      <c r="V182">
        <v>49.82</v>
      </c>
      <c r="W182">
        <v>22.518333333333331</v>
      </c>
      <c r="X182">
        <v>15.493333333333332</v>
      </c>
      <c r="Y182">
        <v>49.166666666666664</v>
      </c>
      <c r="Z182">
        <v>23.016666666666666</v>
      </c>
      <c r="AA182">
        <v>43.233333333333327</v>
      </c>
      <c r="AB182">
        <v>50.783333333333339</v>
      </c>
      <c r="AC182">
        <v>50.77</v>
      </c>
      <c r="AD182">
        <v>49.82</v>
      </c>
      <c r="AE182">
        <v>51.741666666666667</v>
      </c>
      <c r="AF182">
        <v>50.780833333333334</v>
      </c>
      <c r="AG182">
        <v>3.9866666666666668</v>
      </c>
      <c r="AH182">
        <v>50.783333333333339</v>
      </c>
      <c r="AI182">
        <v>1.0050000000000001</v>
      </c>
    </row>
    <row r="183" spans="1:52" x14ac:dyDescent="0.25">
      <c r="B183">
        <v>18.887999999999998</v>
      </c>
      <c r="C183">
        <v>18.654999999999998</v>
      </c>
      <c r="D183">
        <v>50.820999999999998</v>
      </c>
      <c r="E183">
        <v>25.368999999999996</v>
      </c>
      <c r="F183">
        <v>18.553999999999998</v>
      </c>
      <c r="G183">
        <v>50.464000000000006</v>
      </c>
      <c r="H183">
        <v>26.487000000000002</v>
      </c>
      <c r="I183">
        <v>43.400999999999996</v>
      </c>
      <c r="J183">
        <v>50.391000000000005</v>
      </c>
      <c r="K183">
        <v>50.44</v>
      </c>
      <c r="L183">
        <v>50.820999999999998</v>
      </c>
      <c r="M183">
        <v>49.958999999999996</v>
      </c>
      <c r="N183">
        <v>50.389999999999993</v>
      </c>
      <c r="O183">
        <v>4.976</v>
      </c>
      <c r="P183">
        <v>50.391000000000005</v>
      </c>
      <c r="Q183">
        <v>0.59099999999999997</v>
      </c>
      <c r="T183">
        <v>15.6</v>
      </c>
      <c r="U183">
        <v>15.468333333333334</v>
      </c>
      <c r="V183">
        <v>52.484999999999992</v>
      </c>
      <c r="W183">
        <v>22.638333333333332</v>
      </c>
      <c r="X183">
        <v>15.423333333333332</v>
      </c>
      <c r="Y183">
        <v>52.533333333333331</v>
      </c>
      <c r="Z183">
        <v>23.290000000000003</v>
      </c>
      <c r="AA183">
        <v>41.786666666666669</v>
      </c>
      <c r="AB183">
        <v>50.271666666666668</v>
      </c>
      <c r="AC183">
        <v>50.241666666666667</v>
      </c>
      <c r="AD183">
        <v>52.484999999999992</v>
      </c>
      <c r="AE183">
        <v>48.06</v>
      </c>
      <c r="AF183">
        <v>50.272500000000001</v>
      </c>
      <c r="AG183">
        <v>5.921666666666666</v>
      </c>
      <c r="AH183">
        <v>50.271666666666668</v>
      </c>
      <c r="AI183">
        <v>0.45333333333333337</v>
      </c>
    </row>
    <row r="184" spans="1:52" x14ac:dyDescent="0.25">
      <c r="B184">
        <v>18.946999999999999</v>
      </c>
      <c r="C184">
        <v>18.698</v>
      </c>
      <c r="D184">
        <v>49.58</v>
      </c>
      <c r="E184">
        <v>25.392999999999997</v>
      </c>
      <c r="F184">
        <v>18.855</v>
      </c>
      <c r="G184">
        <v>49.83</v>
      </c>
      <c r="H184">
        <v>26.725999999999999</v>
      </c>
      <c r="I184">
        <v>44.128999999999998</v>
      </c>
      <c r="J184">
        <v>50.537000000000006</v>
      </c>
      <c r="K184">
        <v>50.727999999999994</v>
      </c>
      <c r="L184">
        <v>49.58</v>
      </c>
      <c r="M184">
        <v>51.495000000000005</v>
      </c>
      <c r="N184">
        <v>50.537500000000009</v>
      </c>
      <c r="O184">
        <v>2.6760000000000002</v>
      </c>
      <c r="P184">
        <v>50.537000000000006</v>
      </c>
      <c r="Q184">
        <v>0.72899999999999998</v>
      </c>
      <c r="T184">
        <v>15.933333333333332</v>
      </c>
      <c r="U184">
        <v>15.683333333333332</v>
      </c>
      <c r="V184">
        <v>47.349999999999994</v>
      </c>
      <c r="W184">
        <v>22.281666666666666</v>
      </c>
      <c r="X184">
        <v>15.725</v>
      </c>
      <c r="Y184">
        <v>47.066666666666663</v>
      </c>
      <c r="Z184">
        <v>22.953333333333333</v>
      </c>
      <c r="AA184">
        <v>43.96</v>
      </c>
      <c r="AB184">
        <v>50.71</v>
      </c>
      <c r="AC184">
        <v>51.048333333333325</v>
      </c>
      <c r="AD184">
        <v>47.349999999999994</v>
      </c>
      <c r="AE184">
        <v>54.068333333333335</v>
      </c>
      <c r="AF184">
        <v>50.709166666666668</v>
      </c>
      <c r="AG184">
        <v>8.706666666666667</v>
      </c>
      <c r="AH184">
        <v>50.71</v>
      </c>
      <c r="AI184">
        <v>0.96833333333333327</v>
      </c>
    </row>
    <row r="185" spans="1:52" x14ac:dyDescent="0.25">
      <c r="B185" s="2">
        <f>AVERAGE(B182:B184)</f>
        <v>18.960333333333335</v>
      </c>
      <c r="C185" s="2">
        <f t="shared" ref="C185:Q185" si="114">AVERAGE(C182:C184)</f>
        <v>18.730999999999998</v>
      </c>
      <c r="D185" s="2">
        <f t="shared" si="114"/>
        <v>49.013333333333343</v>
      </c>
      <c r="E185" s="2">
        <f t="shared" si="114"/>
        <v>25.274333333333331</v>
      </c>
      <c r="F185" s="2">
        <f t="shared" si="114"/>
        <v>18.764666666666667</v>
      </c>
      <c r="G185" s="2">
        <f t="shared" si="114"/>
        <v>48.95633333333334</v>
      </c>
      <c r="H185" s="2">
        <f t="shared" si="114"/>
        <v>26.510666666666665</v>
      </c>
      <c r="I185" s="2">
        <f t="shared" si="114"/>
        <v>44.208999999999996</v>
      </c>
      <c r="J185" s="2">
        <f t="shared" si="114"/>
        <v>50.522333333333336</v>
      </c>
      <c r="K185" s="2">
        <f t="shared" si="114"/>
        <v>50.698333333333323</v>
      </c>
      <c r="L185" s="2">
        <f t="shared" si="114"/>
        <v>49.013333333333343</v>
      </c>
      <c r="M185" s="2">
        <f t="shared" si="114"/>
        <v>52.032333333333327</v>
      </c>
      <c r="N185" s="2">
        <f t="shared" si="114"/>
        <v>50.522833333333345</v>
      </c>
      <c r="O185" s="2">
        <f t="shared" si="114"/>
        <v>5.2816666666666672</v>
      </c>
      <c r="P185" s="2">
        <f t="shared" si="114"/>
        <v>50.522333333333336</v>
      </c>
      <c r="Q185" s="2">
        <f t="shared" si="114"/>
        <v>0.75866666666666671</v>
      </c>
      <c r="T185" s="2">
        <f>AVERAGE(T182:T184)</f>
        <v>15.719444444444443</v>
      </c>
      <c r="U185" s="2">
        <f t="shared" ref="U185:AI185" si="115">AVERAGE(U182:U184)</f>
        <v>15.602222222222222</v>
      </c>
      <c r="V185" s="2">
        <f t="shared" si="115"/>
        <v>49.884999999999991</v>
      </c>
      <c r="W185" s="2">
        <f t="shared" si="115"/>
        <v>22.479444444444443</v>
      </c>
      <c r="X185" s="2">
        <f t="shared" si="115"/>
        <v>15.547222222222222</v>
      </c>
      <c r="Y185" s="2">
        <f t="shared" si="115"/>
        <v>49.588888888888881</v>
      </c>
      <c r="Z185" s="2">
        <f t="shared" si="115"/>
        <v>23.08666666666667</v>
      </c>
      <c r="AA185" s="2">
        <f t="shared" si="115"/>
        <v>42.993333333333332</v>
      </c>
      <c r="AB185" s="2">
        <f t="shared" si="115"/>
        <v>50.588333333333338</v>
      </c>
      <c r="AC185" s="2">
        <f t="shared" si="115"/>
        <v>50.686666666666667</v>
      </c>
      <c r="AD185" s="2">
        <f t="shared" si="115"/>
        <v>49.884999999999991</v>
      </c>
      <c r="AE185" s="2">
        <f t="shared" si="115"/>
        <v>51.29</v>
      </c>
      <c r="AF185" s="2">
        <f t="shared" si="115"/>
        <v>50.587500000000006</v>
      </c>
      <c r="AG185" s="2">
        <f t="shared" si="115"/>
        <v>6.205000000000001</v>
      </c>
      <c r="AH185" s="2">
        <f t="shared" si="115"/>
        <v>50.588333333333338</v>
      </c>
      <c r="AI185" s="2">
        <f t="shared" si="115"/>
        <v>0.80888888888888888</v>
      </c>
      <c r="AK185" s="2">
        <f>(B185+T185)/2</f>
        <v>17.33988888888889</v>
      </c>
      <c r="AL185" s="2">
        <f t="shared" ref="AL185:AL186" si="116">(C185+U185)/2</f>
        <v>17.166611111111109</v>
      </c>
      <c r="AM185" s="2">
        <f t="shared" ref="AM185:AM186" si="117">(D185+V185)/2</f>
        <v>49.44916666666667</v>
      </c>
      <c r="AN185" s="2">
        <f t="shared" ref="AN185:AN186" si="118">(E185+W185)/2</f>
        <v>23.876888888888885</v>
      </c>
      <c r="AO185" s="2">
        <f t="shared" ref="AO185:AO186" si="119">(F185+X185)/2</f>
        <v>17.155944444444444</v>
      </c>
      <c r="AP185" s="2">
        <f t="shared" ref="AP185:AP186" si="120">(G185+Y185)/2</f>
        <v>49.272611111111111</v>
      </c>
      <c r="AQ185" s="2">
        <f t="shared" ref="AQ185:AQ186" si="121">(H185+Z185)/2</f>
        <v>24.798666666666669</v>
      </c>
      <c r="AR185" s="2">
        <f t="shared" ref="AR185:AR186" si="122">(I185+AA185)/2</f>
        <v>43.601166666666664</v>
      </c>
      <c r="AS185" s="2">
        <f t="shared" ref="AS185:AS186" si="123">(J185+AB185)/2</f>
        <v>50.555333333333337</v>
      </c>
      <c r="AT185" s="2">
        <f t="shared" ref="AT185:AT186" si="124">(K185+AC185)/2</f>
        <v>50.692499999999995</v>
      </c>
      <c r="AU185" s="2">
        <f t="shared" ref="AU185:AU186" si="125">(L185+AD185)/2</f>
        <v>49.44916666666667</v>
      </c>
      <c r="AV185" s="2">
        <f t="shared" ref="AV185:AV186" si="126">(M185+AE185)/2</f>
        <v>51.661166666666659</v>
      </c>
      <c r="AW185" s="2">
        <f t="shared" ref="AW185:AW186" si="127">(N185+AF185)/2</f>
        <v>50.555166666666679</v>
      </c>
      <c r="AX185" s="2">
        <f t="shared" ref="AX185:AX186" si="128">(O185+AG185)/2</f>
        <v>5.7433333333333341</v>
      </c>
      <c r="AY185" s="2">
        <f t="shared" ref="AY185:AY186" si="129">(P185+AH185)/2</f>
        <v>50.555333333333337</v>
      </c>
      <c r="AZ185" s="2">
        <f>(Q185+AI185)/2</f>
        <v>0.7837777777777778</v>
      </c>
    </row>
    <row r="186" spans="1:52" x14ac:dyDescent="0.25">
      <c r="B186" s="2">
        <f>_xlfn.STDEV.S(B182:B184)</f>
        <v>7.9839422175600264E-2</v>
      </c>
      <c r="C186" s="2">
        <f t="shared" ref="C186:Q186" si="130">_xlfn.STDEV.S(C182:C184)</f>
        <v>9.681425514871328E-2</v>
      </c>
      <c r="D186" s="2">
        <f t="shared" si="130"/>
        <v>2.1478161777334024</v>
      </c>
      <c r="E186" s="2">
        <f t="shared" si="130"/>
        <v>0.18514138741332972</v>
      </c>
      <c r="F186" s="2">
        <f t="shared" si="130"/>
        <v>0.18305827851625134</v>
      </c>
      <c r="G186" s="2">
        <f t="shared" si="130"/>
        <v>2.0865163151371076</v>
      </c>
      <c r="H186" s="2">
        <f t="shared" si="130"/>
        <v>0.20452954146854502</v>
      </c>
      <c r="I186" s="2">
        <f t="shared" si="130"/>
        <v>0.85082548151780479</v>
      </c>
      <c r="J186" s="2">
        <f t="shared" si="130"/>
        <v>0.12464884008017507</v>
      </c>
      <c r="K186" s="2">
        <f t="shared" si="130"/>
        <v>0.24485165577004714</v>
      </c>
      <c r="L186" s="2">
        <f t="shared" si="130"/>
        <v>2.1478161777334024</v>
      </c>
      <c r="M186" s="2">
        <f t="shared" si="130"/>
        <v>2.3877833514230979</v>
      </c>
      <c r="N186" s="2">
        <f t="shared" si="130"/>
        <v>0.12614112467127825</v>
      </c>
      <c r="O186" s="2">
        <f t="shared" si="130"/>
        <v>2.7711723752472244</v>
      </c>
      <c r="P186" s="2">
        <f t="shared" si="130"/>
        <v>0.12464884008017507</v>
      </c>
      <c r="Q186" s="2">
        <f t="shared" si="130"/>
        <v>0.18429957496785826</v>
      </c>
      <c r="T186" s="2">
        <f>_xlfn.STDEV.S(T182:T184)</f>
        <v>0.18565449790563196</v>
      </c>
      <c r="U186" s="2">
        <f t="shared" ref="U186:AI186" si="131">_xlfn.STDEV.S(U182:U184)</f>
        <v>0.11681339978945122</v>
      </c>
      <c r="V186" s="2">
        <f t="shared" si="131"/>
        <v>2.5681170144679926</v>
      </c>
      <c r="W186" s="2">
        <f t="shared" si="131"/>
        <v>0.18148563865230985</v>
      </c>
      <c r="X186" s="2">
        <f t="shared" si="131"/>
        <v>0.15788826335007888</v>
      </c>
      <c r="Y186" s="2">
        <f t="shared" si="131"/>
        <v>2.7576828706025678</v>
      </c>
      <c r="Z186" s="2">
        <f t="shared" si="131"/>
        <v>0.17891649200426368</v>
      </c>
      <c r="AA186" s="2">
        <f t="shared" si="131"/>
        <v>1.1063654208463138</v>
      </c>
      <c r="AB186" s="2">
        <f t="shared" si="131"/>
        <v>0.2766817264977548</v>
      </c>
      <c r="AC186" s="2">
        <f t="shared" si="131"/>
        <v>0.4097390768661297</v>
      </c>
      <c r="AD186" s="2">
        <f t="shared" si="131"/>
        <v>2.5681170144679926</v>
      </c>
      <c r="AE186" s="2">
        <f t="shared" si="131"/>
        <v>3.0295246235085207</v>
      </c>
      <c r="AF186" s="2">
        <f t="shared" si="131"/>
        <v>0.27514137780017345</v>
      </c>
      <c r="AG186" s="2">
        <f t="shared" si="131"/>
        <v>2.3727217142626151</v>
      </c>
      <c r="AH186" s="2">
        <f t="shared" si="131"/>
        <v>0.2766817264977548</v>
      </c>
      <c r="AI186" s="2">
        <f t="shared" si="131"/>
        <v>0.30846543716586122</v>
      </c>
      <c r="AK186" s="2">
        <f>(B186+T186)/2</f>
        <v>0.13274696004061612</v>
      </c>
      <c r="AL186" s="2">
        <f t="shared" si="116"/>
        <v>0.10681382746908225</v>
      </c>
      <c r="AM186" s="2">
        <f t="shared" si="117"/>
        <v>2.3579665961006975</v>
      </c>
      <c r="AN186" s="2">
        <f t="shared" si="118"/>
        <v>0.18331351303281979</v>
      </c>
      <c r="AO186" s="2">
        <f t="shared" si="119"/>
        <v>0.17047327093316511</v>
      </c>
      <c r="AP186" s="2">
        <f t="shared" si="120"/>
        <v>2.4220995928698379</v>
      </c>
      <c r="AQ186" s="2">
        <f t="shared" si="121"/>
        <v>0.19172301673640435</v>
      </c>
      <c r="AR186" s="2">
        <f t="shared" si="122"/>
        <v>0.97859545118205937</v>
      </c>
      <c r="AS186" s="2">
        <f t="shared" si="123"/>
        <v>0.20066528328896494</v>
      </c>
      <c r="AT186" s="2">
        <f t="shared" si="124"/>
        <v>0.32729536631808842</v>
      </c>
      <c r="AU186" s="2">
        <f t="shared" si="125"/>
        <v>2.3579665961006975</v>
      </c>
      <c r="AV186" s="2">
        <f t="shared" si="126"/>
        <v>2.7086539874658095</v>
      </c>
      <c r="AW186" s="2">
        <f t="shared" si="127"/>
        <v>0.20064125123572585</v>
      </c>
      <c r="AX186" s="2">
        <f t="shared" si="128"/>
        <v>2.5719470447549195</v>
      </c>
      <c r="AY186" s="2">
        <f t="shared" si="129"/>
        <v>0.20066528328896494</v>
      </c>
      <c r="AZ186" s="2">
        <f t="shared" ref="AZ186" si="132">(Q186+AI186)/2</f>
        <v>0.24638250606685974</v>
      </c>
    </row>
    <row r="188" spans="1:52" x14ac:dyDescent="0.25">
      <c r="A188" s="1" t="s">
        <v>65</v>
      </c>
      <c r="B188">
        <v>18.577999999999996</v>
      </c>
      <c r="C188">
        <v>19.311</v>
      </c>
      <c r="D188">
        <v>38.609000000000002</v>
      </c>
      <c r="E188">
        <v>23.074000000000005</v>
      </c>
      <c r="F188">
        <v>19.663</v>
      </c>
      <c r="G188">
        <v>41.309000000000005</v>
      </c>
      <c r="H188">
        <v>25.523999999999997</v>
      </c>
      <c r="I188">
        <v>44.162000000000006</v>
      </c>
      <c r="J188">
        <v>50.114999999999995</v>
      </c>
      <c r="K188">
        <v>50.177</v>
      </c>
      <c r="L188">
        <v>38.609000000000002</v>
      </c>
      <c r="M188">
        <v>61.621000000000002</v>
      </c>
      <c r="N188">
        <v>50.114999999999995</v>
      </c>
      <c r="O188">
        <v>23.011999999999993</v>
      </c>
      <c r="P188">
        <v>50.114999999999995</v>
      </c>
      <c r="Q188">
        <v>0.21700000000000008</v>
      </c>
      <c r="S188" s="1" t="s">
        <v>65</v>
      </c>
      <c r="T188">
        <v>15.524999999999999</v>
      </c>
      <c r="U188">
        <v>19.318333333333332</v>
      </c>
      <c r="V188">
        <v>40.636666666666663</v>
      </c>
      <c r="W188">
        <v>17.54</v>
      </c>
      <c r="X188">
        <v>14.851666666666668</v>
      </c>
      <c r="Y188">
        <v>40.041666666666664</v>
      </c>
      <c r="Z188">
        <v>20.181666666666668</v>
      </c>
      <c r="AA188">
        <v>42.461666666666666</v>
      </c>
      <c r="AB188">
        <v>50.578333333333326</v>
      </c>
      <c r="AC188">
        <v>50.51</v>
      </c>
      <c r="AD188">
        <v>40.636666666666663</v>
      </c>
      <c r="AE188">
        <v>60.523333333333333</v>
      </c>
      <c r="AF188">
        <v>50.579999999999991</v>
      </c>
      <c r="AG188">
        <v>20.828333333333337</v>
      </c>
      <c r="AH188">
        <v>50.578333333333326</v>
      </c>
      <c r="AI188">
        <v>0.6283333333333333</v>
      </c>
    </row>
    <row r="189" spans="1:52" x14ac:dyDescent="0.25">
      <c r="B189">
        <v>18.96</v>
      </c>
      <c r="C189">
        <v>24.163999999999998</v>
      </c>
      <c r="D189">
        <v>55.641999999999996</v>
      </c>
      <c r="E189">
        <v>23.616999999999997</v>
      </c>
      <c r="F189">
        <v>18.292999999999999</v>
      </c>
      <c r="G189">
        <v>55.031999999999996</v>
      </c>
      <c r="H189">
        <v>27.094999999999999</v>
      </c>
      <c r="I189">
        <v>36.853999999999999</v>
      </c>
      <c r="J189">
        <v>50.158000000000001</v>
      </c>
      <c r="K189">
        <v>50.541000000000004</v>
      </c>
      <c r="L189">
        <v>55.641999999999996</v>
      </c>
      <c r="M189">
        <v>44.674999999999997</v>
      </c>
      <c r="N189">
        <v>50.158499999999997</v>
      </c>
      <c r="O189">
        <v>11.306000000000001</v>
      </c>
      <c r="P189">
        <v>50.158000000000001</v>
      </c>
      <c r="Q189">
        <v>0.25800000000000001</v>
      </c>
      <c r="T189">
        <v>15.461666666666666</v>
      </c>
      <c r="U189">
        <v>20.743333333333332</v>
      </c>
      <c r="V189">
        <v>45.348333333333329</v>
      </c>
      <c r="W189">
        <v>20.23</v>
      </c>
      <c r="X189">
        <v>16.169999999999998</v>
      </c>
      <c r="Y189">
        <v>47.071666666666658</v>
      </c>
      <c r="Z189">
        <v>23.691666666666674</v>
      </c>
      <c r="AA189">
        <v>41.783333333333331</v>
      </c>
      <c r="AB189">
        <v>50.113333333333337</v>
      </c>
      <c r="AC189">
        <v>50.171666666666674</v>
      </c>
      <c r="AD189">
        <v>45.348333333333329</v>
      </c>
      <c r="AE189">
        <v>54.881666666666668</v>
      </c>
      <c r="AF189">
        <v>50.114999999999988</v>
      </c>
      <c r="AG189">
        <v>10.511666666666667</v>
      </c>
      <c r="AH189">
        <v>50.113333333333337</v>
      </c>
      <c r="AI189">
        <v>3.500000000000001E-2</v>
      </c>
    </row>
    <row r="190" spans="1:52" x14ac:dyDescent="0.25">
      <c r="B190">
        <v>18.673999999999999</v>
      </c>
      <c r="C190">
        <v>18.788999999999998</v>
      </c>
      <c r="D190">
        <v>49.463000000000008</v>
      </c>
      <c r="E190">
        <v>21.718</v>
      </c>
      <c r="F190">
        <v>18.189</v>
      </c>
      <c r="G190">
        <v>48.625999999999998</v>
      </c>
      <c r="H190">
        <v>26.081</v>
      </c>
      <c r="I190">
        <v>38.847999999999999</v>
      </c>
      <c r="J190">
        <v>50.013000000000005</v>
      </c>
      <c r="K190">
        <v>50.186000000000007</v>
      </c>
      <c r="L190">
        <v>49.463000000000008</v>
      </c>
      <c r="M190">
        <v>50.566999999999993</v>
      </c>
      <c r="N190">
        <v>50.015000000000001</v>
      </c>
      <c r="O190">
        <v>8.84</v>
      </c>
      <c r="P190">
        <v>50.013000000000005</v>
      </c>
      <c r="Q190">
        <v>6.6000000000000017E-2</v>
      </c>
      <c r="T190">
        <v>15.505000000000001</v>
      </c>
      <c r="U190">
        <v>20.290000000000003</v>
      </c>
      <c r="V190">
        <v>49.318333333333335</v>
      </c>
      <c r="W190">
        <v>20.03833333333333</v>
      </c>
      <c r="X190">
        <v>15.008333333333333</v>
      </c>
      <c r="Y190">
        <v>48.264999999999993</v>
      </c>
      <c r="Z190">
        <v>22.543333333333333</v>
      </c>
      <c r="AA190">
        <v>39.576666666666661</v>
      </c>
      <c r="AB190">
        <v>49.971666666666664</v>
      </c>
      <c r="AC190">
        <v>50.125</v>
      </c>
      <c r="AD190">
        <v>49.318333333333335</v>
      </c>
      <c r="AE190">
        <v>50.62166666666667</v>
      </c>
      <c r="AF190">
        <v>49.97</v>
      </c>
      <c r="AG190">
        <v>9.9599999999999991</v>
      </c>
      <c r="AH190">
        <v>49.971666666666664</v>
      </c>
      <c r="AI190">
        <v>-2.9999999999999988E-2</v>
      </c>
    </row>
    <row r="191" spans="1:52" x14ac:dyDescent="0.25">
      <c r="B191" s="2">
        <f>AVERAGE(B188:B190)</f>
        <v>18.737333333333332</v>
      </c>
      <c r="C191" s="2">
        <f t="shared" ref="C191:Q191" si="133">AVERAGE(C188:C190)</f>
        <v>20.754666666666665</v>
      </c>
      <c r="D191" s="2">
        <f t="shared" si="133"/>
        <v>47.904666666666664</v>
      </c>
      <c r="E191" s="2">
        <f t="shared" si="133"/>
        <v>22.803000000000001</v>
      </c>
      <c r="F191" s="2">
        <f t="shared" si="133"/>
        <v>18.715</v>
      </c>
      <c r="G191" s="2">
        <f t="shared" si="133"/>
        <v>48.32233333333334</v>
      </c>
      <c r="H191" s="2">
        <f t="shared" si="133"/>
        <v>26.233333333333334</v>
      </c>
      <c r="I191" s="2">
        <f t="shared" si="133"/>
        <v>39.954666666666668</v>
      </c>
      <c r="J191" s="2">
        <f t="shared" si="133"/>
        <v>50.095333333333336</v>
      </c>
      <c r="K191" s="2">
        <f t="shared" si="133"/>
        <v>50.301333333333332</v>
      </c>
      <c r="L191" s="2">
        <f t="shared" si="133"/>
        <v>47.904666666666664</v>
      </c>
      <c r="M191" s="2">
        <f t="shared" si="133"/>
        <v>52.287666666666667</v>
      </c>
      <c r="N191" s="2">
        <f t="shared" si="133"/>
        <v>50.096166666666669</v>
      </c>
      <c r="O191" s="2">
        <f t="shared" si="133"/>
        <v>14.386000000000001</v>
      </c>
      <c r="P191" s="2">
        <f t="shared" si="133"/>
        <v>50.095333333333336</v>
      </c>
      <c r="Q191" s="2">
        <f t="shared" si="133"/>
        <v>0.18033333333333337</v>
      </c>
      <c r="T191" s="2">
        <f>AVERAGE(T188:T190)</f>
        <v>15.497222222222222</v>
      </c>
      <c r="U191" s="2">
        <f t="shared" ref="U191:AI191" si="134">AVERAGE(U188:U190)</f>
        <v>20.117222222222225</v>
      </c>
      <c r="V191" s="2">
        <f t="shared" si="134"/>
        <v>45.101111111111102</v>
      </c>
      <c r="W191" s="2">
        <f t="shared" si="134"/>
        <v>19.269444444444442</v>
      </c>
      <c r="X191" s="2">
        <f t="shared" si="134"/>
        <v>15.343333333333334</v>
      </c>
      <c r="Y191" s="2">
        <f t="shared" si="134"/>
        <v>45.126111111111101</v>
      </c>
      <c r="Z191" s="2">
        <f t="shared" si="134"/>
        <v>22.138888888888889</v>
      </c>
      <c r="AA191" s="2">
        <f t="shared" si="134"/>
        <v>41.273888888888884</v>
      </c>
      <c r="AB191" s="2">
        <f t="shared" si="134"/>
        <v>50.221111111111107</v>
      </c>
      <c r="AC191" s="2">
        <f t="shared" si="134"/>
        <v>50.268888888888888</v>
      </c>
      <c r="AD191" s="2">
        <f t="shared" si="134"/>
        <v>45.101111111111102</v>
      </c>
      <c r="AE191" s="2">
        <f t="shared" si="134"/>
        <v>55.342222222222226</v>
      </c>
      <c r="AF191" s="2">
        <f t="shared" si="134"/>
        <v>50.221666666666657</v>
      </c>
      <c r="AG191" s="2">
        <f t="shared" si="134"/>
        <v>13.766666666666667</v>
      </c>
      <c r="AH191" s="2">
        <f t="shared" si="134"/>
        <v>50.221111111111107</v>
      </c>
      <c r="AI191" s="2">
        <f t="shared" si="134"/>
        <v>0.21111111111111111</v>
      </c>
      <c r="AK191" s="2">
        <f>(B191+T191)/2</f>
        <v>17.117277777777776</v>
      </c>
      <c r="AL191" s="2">
        <f t="shared" ref="AL191:AL192" si="135">(C191+U191)/2</f>
        <v>20.435944444444445</v>
      </c>
      <c r="AM191" s="2">
        <f t="shared" ref="AM191:AM192" si="136">(D191+V191)/2</f>
        <v>46.502888888888883</v>
      </c>
      <c r="AN191" s="2">
        <f t="shared" ref="AN191:AN192" si="137">(E191+W191)/2</f>
        <v>21.036222222222221</v>
      </c>
      <c r="AO191" s="2">
        <f t="shared" ref="AO191:AO192" si="138">(F191+X191)/2</f>
        <v>17.029166666666669</v>
      </c>
      <c r="AP191" s="2">
        <f t="shared" ref="AP191:AP192" si="139">(G191+Y191)/2</f>
        <v>46.724222222222224</v>
      </c>
      <c r="AQ191" s="2">
        <f t="shared" ref="AQ191:AQ192" si="140">(H191+Z191)/2</f>
        <v>24.18611111111111</v>
      </c>
      <c r="AR191" s="2">
        <f t="shared" ref="AR191:AR192" si="141">(I191+AA191)/2</f>
        <v>40.614277777777772</v>
      </c>
      <c r="AS191" s="2">
        <f t="shared" ref="AS191:AS192" si="142">(J191+AB191)/2</f>
        <v>50.158222222222221</v>
      </c>
      <c r="AT191" s="2">
        <f t="shared" ref="AT191:AT192" si="143">(K191+AC191)/2</f>
        <v>50.285111111111107</v>
      </c>
      <c r="AU191" s="2">
        <f t="shared" ref="AU191:AU192" si="144">(L191+AD191)/2</f>
        <v>46.502888888888883</v>
      </c>
      <c r="AV191" s="2">
        <f t="shared" ref="AV191:AV192" si="145">(M191+AE191)/2</f>
        <v>53.81494444444445</v>
      </c>
      <c r="AW191" s="2">
        <f t="shared" ref="AW191:AW192" si="146">(N191+AF191)/2</f>
        <v>50.158916666666663</v>
      </c>
      <c r="AX191" s="2">
        <f t="shared" ref="AX191:AX192" si="147">(O191+AG191)/2</f>
        <v>14.076333333333334</v>
      </c>
      <c r="AY191" s="2">
        <f t="shared" ref="AY191:AY192" si="148">(P191+AH191)/2</f>
        <v>50.158222222222221</v>
      </c>
      <c r="AZ191" s="2">
        <f>(Q191+AI191)/2</f>
        <v>0.19572222222222224</v>
      </c>
    </row>
    <row r="192" spans="1:52" x14ac:dyDescent="0.25">
      <c r="B192" s="2">
        <f>_xlfn.STDEV.S(B188:B190)</f>
        <v>0.19871923241934641</v>
      </c>
      <c r="C192" s="2">
        <f t="shared" ref="C192:Q192" si="149">_xlfn.STDEV.S(C188:C190)</f>
        <v>2.964082713645718</v>
      </c>
      <c r="D192" s="2">
        <f t="shared" si="149"/>
        <v>8.6227648891369988</v>
      </c>
      <c r="E192" s="2">
        <f t="shared" si="149"/>
        <v>0.97807515048691385</v>
      </c>
      <c r="F192" s="2">
        <f t="shared" si="149"/>
        <v>0.82263722259572025</v>
      </c>
      <c r="G192" s="2">
        <f t="shared" si="149"/>
        <v>6.8665378709602836</v>
      </c>
      <c r="H192" s="2">
        <f t="shared" si="149"/>
        <v>0.79650130780390715</v>
      </c>
      <c r="I192" s="2">
        <f t="shared" si="149"/>
        <v>3.7775983552163619</v>
      </c>
      <c r="J192" s="2">
        <f t="shared" si="149"/>
        <v>7.4473709007493921E-2</v>
      </c>
      <c r="K192" s="2">
        <f t="shared" si="149"/>
        <v>0.20760619772379993</v>
      </c>
      <c r="L192" s="2">
        <f t="shared" si="149"/>
        <v>8.6227648891369988</v>
      </c>
      <c r="M192" s="2">
        <f t="shared" si="149"/>
        <v>8.6030372156194268</v>
      </c>
      <c r="N192" s="2">
        <f t="shared" si="149"/>
        <v>7.3580454832332845E-2</v>
      </c>
      <c r="O192" s="2">
        <f t="shared" si="149"/>
        <v>7.5714064743612735</v>
      </c>
      <c r="P192" s="2">
        <f t="shared" si="149"/>
        <v>7.4473709007493921E-2</v>
      </c>
      <c r="Q192" s="2">
        <f t="shared" si="149"/>
        <v>0.10111544557254014</v>
      </c>
      <c r="T192" s="2">
        <f>_xlfn.STDEV.S(T188:T190)</f>
        <v>3.237511618740755E-2</v>
      </c>
      <c r="U192" s="2">
        <f t="shared" ref="U192:AI192" si="150">_xlfn.STDEV.S(U188:U190)</f>
        <v>0.7280421487595149</v>
      </c>
      <c r="V192" s="2">
        <f t="shared" si="150"/>
        <v>4.3461101168916754</v>
      </c>
      <c r="W192" s="2">
        <f t="shared" si="150"/>
        <v>1.5008056478413827</v>
      </c>
      <c r="X192" s="2">
        <f t="shared" si="150"/>
        <v>0.72018708989014946</v>
      </c>
      <c r="Y192" s="2">
        <f t="shared" si="150"/>
        <v>4.4435000385498551</v>
      </c>
      <c r="Z192" s="2">
        <f t="shared" si="150"/>
        <v>1.7896107066849731</v>
      </c>
      <c r="AA192" s="2">
        <f t="shared" si="150"/>
        <v>1.5084616274474765</v>
      </c>
      <c r="AB192" s="2">
        <f t="shared" si="150"/>
        <v>0.31736910395964163</v>
      </c>
      <c r="AC192" s="2">
        <f t="shared" si="150"/>
        <v>0.21010799692150983</v>
      </c>
      <c r="AD192" s="2">
        <f t="shared" si="150"/>
        <v>4.3461101168916754</v>
      </c>
      <c r="AE192" s="2">
        <f t="shared" si="150"/>
        <v>4.9668736906890683</v>
      </c>
      <c r="AF192" s="2">
        <f t="shared" si="150"/>
        <v>0.31868218232799234</v>
      </c>
      <c r="AG192" s="2">
        <f t="shared" si="150"/>
        <v>6.1218000711482832</v>
      </c>
      <c r="AH192" s="2">
        <f t="shared" si="150"/>
        <v>0.31736910395964163</v>
      </c>
      <c r="AI192" s="2">
        <f t="shared" si="150"/>
        <v>0.36278373314832763</v>
      </c>
      <c r="AK192" s="2">
        <f>(B192+T192)/2</f>
        <v>0.11554717430337698</v>
      </c>
      <c r="AL192" s="2">
        <f t="shared" si="135"/>
        <v>1.8460624312026164</v>
      </c>
      <c r="AM192" s="2">
        <f t="shared" si="136"/>
        <v>6.4844375030143375</v>
      </c>
      <c r="AN192" s="2">
        <f t="shared" si="137"/>
        <v>1.2394403991641483</v>
      </c>
      <c r="AO192" s="2">
        <f t="shared" si="138"/>
        <v>0.7714121562429348</v>
      </c>
      <c r="AP192" s="2">
        <f t="shared" si="139"/>
        <v>5.6550189547550698</v>
      </c>
      <c r="AQ192" s="2">
        <f t="shared" si="140"/>
        <v>1.2930560072444401</v>
      </c>
      <c r="AR192" s="2">
        <f t="shared" si="141"/>
        <v>2.6430299913319191</v>
      </c>
      <c r="AS192" s="2">
        <f t="shared" si="142"/>
        <v>0.19592140648356776</v>
      </c>
      <c r="AT192" s="2">
        <f t="shared" si="143"/>
        <v>0.20885709732265489</v>
      </c>
      <c r="AU192" s="2">
        <f t="shared" si="144"/>
        <v>6.4844375030143375</v>
      </c>
      <c r="AV192" s="2">
        <f t="shared" si="145"/>
        <v>6.7849554531542475</v>
      </c>
      <c r="AW192" s="2">
        <f t="shared" si="146"/>
        <v>0.19613131858016258</v>
      </c>
      <c r="AX192" s="2">
        <f t="shared" si="147"/>
        <v>6.8466032727547788</v>
      </c>
      <c r="AY192" s="2">
        <f t="shared" si="148"/>
        <v>0.19592140648356776</v>
      </c>
      <c r="AZ192" s="2">
        <f t="shared" ref="AZ192" si="151">(Q192+AI192)/2</f>
        <v>0.23194958936043389</v>
      </c>
    </row>
    <row r="194" spans="1:52" x14ac:dyDescent="0.25">
      <c r="A194" s="1" t="s">
        <v>17</v>
      </c>
      <c r="B194">
        <v>18.749000000000002</v>
      </c>
      <c r="C194">
        <v>18.631000000000004</v>
      </c>
      <c r="D194">
        <v>28.289000000000005</v>
      </c>
      <c r="E194">
        <v>20.335000000000001</v>
      </c>
      <c r="F194">
        <v>19.137</v>
      </c>
      <c r="G194">
        <v>28.994</v>
      </c>
      <c r="H194">
        <v>22.564</v>
      </c>
      <c r="I194">
        <v>47.883000000000003</v>
      </c>
      <c r="J194">
        <v>50.066999999999993</v>
      </c>
      <c r="K194">
        <v>49.896000000000001</v>
      </c>
      <c r="L194">
        <v>28.289000000000005</v>
      </c>
      <c r="M194">
        <v>71.844999999999999</v>
      </c>
      <c r="N194">
        <v>50.066999999999993</v>
      </c>
      <c r="O194">
        <v>43.555999999999997</v>
      </c>
      <c r="P194">
        <v>50.066999999999993</v>
      </c>
      <c r="Q194">
        <v>0.24900000000000003</v>
      </c>
      <c r="S194" s="1" t="s">
        <v>17</v>
      </c>
      <c r="T194">
        <v>15.463333333333333</v>
      </c>
      <c r="U194">
        <v>15.323333333333332</v>
      </c>
      <c r="V194">
        <v>40.883333333333333</v>
      </c>
      <c r="W194">
        <v>20.195</v>
      </c>
      <c r="X194">
        <v>14.838333333333333</v>
      </c>
      <c r="Y194">
        <v>40.116666666666667</v>
      </c>
      <c r="Z194">
        <v>21.061666666666667</v>
      </c>
      <c r="AA194">
        <v>44.07833333333334</v>
      </c>
      <c r="AB194">
        <v>49.896666666666668</v>
      </c>
      <c r="AC194">
        <v>49.718333333333334</v>
      </c>
      <c r="AD194">
        <v>40.883333333333333</v>
      </c>
      <c r="AE194">
        <v>58.910000000000004</v>
      </c>
      <c r="AF194">
        <v>49.896666666666668</v>
      </c>
      <c r="AG194">
        <v>18.026666666666667</v>
      </c>
      <c r="AH194">
        <v>49.896666666666668</v>
      </c>
      <c r="AI194">
        <v>3.6666666666666674E-2</v>
      </c>
    </row>
    <row r="195" spans="1:52" x14ac:dyDescent="0.25">
      <c r="B195">
        <v>18.59</v>
      </c>
      <c r="C195">
        <v>18.407999999999998</v>
      </c>
      <c r="D195">
        <v>46.714999999999996</v>
      </c>
      <c r="E195">
        <v>22.802</v>
      </c>
      <c r="F195">
        <v>17.664999999999999</v>
      </c>
      <c r="G195">
        <v>45.540000000000006</v>
      </c>
      <c r="H195">
        <v>24.907</v>
      </c>
      <c r="I195">
        <v>41.77300000000001</v>
      </c>
      <c r="J195">
        <v>49.795999999999999</v>
      </c>
      <c r="K195">
        <v>49.611000000000004</v>
      </c>
      <c r="L195">
        <v>46.714999999999996</v>
      </c>
      <c r="M195">
        <v>52.875</v>
      </c>
      <c r="N195">
        <v>49.795000000000002</v>
      </c>
      <c r="O195">
        <v>10.488000000000001</v>
      </c>
      <c r="P195">
        <v>49.795999999999999</v>
      </c>
      <c r="Q195">
        <v>-0.29500000000000004</v>
      </c>
      <c r="T195">
        <v>15.648333333333333</v>
      </c>
      <c r="U195">
        <v>16.683333333333334</v>
      </c>
      <c r="V195">
        <v>42.298333333333332</v>
      </c>
      <c r="W195">
        <v>20.128333333333334</v>
      </c>
      <c r="X195">
        <v>15.518333333333331</v>
      </c>
      <c r="Y195">
        <v>42.098333333333329</v>
      </c>
      <c r="Z195">
        <v>22.243333333333336</v>
      </c>
      <c r="AA195">
        <v>43.493333333333332</v>
      </c>
      <c r="AB195">
        <v>50.276666666666671</v>
      </c>
      <c r="AC195">
        <v>50.233333333333341</v>
      </c>
      <c r="AD195">
        <v>42.298333333333332</v>
      </c>
      <c r="AE195">
        <v>58.254999999999995</v>
      </c>
      <c r="AF195">
        <v>50.276666666666671</v>
      </c>
      <c r="AG195">
        <v>15.956666666666665</v>
      </c>
      <c r="AH195">
        <v>50.276666666666671</v>
      </c>
      <c r="AI195">
        <v>0.51500000000000001</v>
      </c>
    </row>
    <row r="196" spans="1:52" x14ac:dyDescent="0.25">
      <c r="B196">
        <v>18.675000000000001</v>
      </c>
      <c r="C196">
        <v>18.45</v>
      </c>
      <c r="D196">
        <v>36.053000000000004</v>
      </c>
      <c r="E196">
        <v>22.373000000000001</v>
      </c>
      <c r="F196">
        <v>19.327999999999996</v>
      </c>
      <c r="G196">
        <v>37.388999999999996</v>
      </c>
      <c r="H196">
        <v>25.155000000000001</v>
      </c>
      <c r="I196">
        <v>46.601999999999997</v>
      </c>
      <c r="J196">
        <v>50.226999999999997</v>
      </c>
      <c r="K196">
        <v>50.082000000000008</v>
      </c>
      <c r="L196">
        <v>36.053000000000004</v>
      </c>
      <c r="M196">
        <v>64.40100000000001</v>
      </c>
      <c r="N196">
        <v>50.227000000000004</v>
      </c>
      <c r="O196">
        <v>28.345999999999997</v>
      </c>
      <c r="P196">
        <v>50.226999999999997</v>
      </c>
      <c r="Q196">
        <v>0.31099999999999989</v>
      </c>
      <c r="T196">
        <v>15.441666666666668</v>
      </c>
      <c r="U196">
        <v>15.473333333333334</v>
      </c>
      <c r="V196">
        <v>45.236666666666672</v>
      </c>
      <c r="W196">
        <v>21.628333333333334</v>
      </c>
      <c r="X196">
        <v>16.185000000000002</v>
      </c>
      <c r="Y196">
        <v>48.008333333333333</v>
      </c>
      <c r="Z196">
        <v>23.618333333333329</v>
      </c>
      <c r="AA196">
        <v>43.368333333333332</v>
      </c>
      <c r="AB196">
        <v>49.986666666666672</v>
      </c>
      <c r="AC196">
        <v>49.949999999999996</v>
      </c>
      <c r="AD196">
        <v>45.236666666666672</v>
      </c>
      <c r="AE196">
        <v>54.733333333333327</v>
      </c>
      <c r="AF196">
        <v>49.984999999999992</v>
      </c>
      <c r="AG196">
        <v>10.323333333333332</v>
      </c>
      <c r="AH196">
        <v>49.986666666666672</v>
      </c>
      <c r="AI196">
        <v>6.8333333333333315E-2</v>
      </c>
    </row>
    <row r="197" spans="1:52" x14ac:dyDescent="0.25">
      <c r="B197" s="2">
        <f>AVERAGE(B194:B196)</f>
        <v>18.671333333333333</v>
      </c>
      <c r="C197" s="2">
        <f t="shared" ref="C197:Q197" si="152">AVERAGE(C194:C196)</f>
        <v>18.496333333333336</v>
      </c>
      <c r="D197" s="2">
        <f t="shared" si="152"/>
        <v>37.019000000000005</v>
      </c>
      <c r="E197" s="2">
        <f t="shared" si="152"/>
        <v>21.83666666666667</v>
      </c>
      <c r="F197" s="2">
        <f t="shared" si="152"/>
        <v>18.709999999999997</v>
      </c>
      <c r="G197" s="2">
        <f t="shared" si="152"/>
        <v>37.30766666666667</v>
      </c>
      <c r="H197" s="2">
        <f t="shared" si="152"/>
        <v>24.208666666666669</v>
      </c>
      <c r="I197" s="2">
        <f t="shared" si="152"/>
        <v>45.419333333333334</v>
      </c>
      <c r="J197" s="2">
        <f t="shared" si="152"/>
        <v>50.03</v>
      </c>
      <c r="K197" s="2">
        <f t="shared" si="152"/>
        <v>49.863</v>
      </c>
      <c r="L197" s="2">
        <f t="shared" si="152"/>
        <v>37.019000000000005</v>
      </c>
      <c r="M197" s="2">
        <f t="shared" si="152"/>
        <v>63.040333333333336</v>
      </c>
      <c r="N197" s="2">
        <f t="shared" si="152"/>
        <v>50.029666666666664</v>
      </c>
      <c r="O197" s="2">
        <f t="shared" si="152"/>
        <v>27.463333333333328</v>
      </c>
      <c r="P197" s="2">
        <f t="shared" si="152"/>
        <v>50.03</v>
      </c>
      <c r="Q197" s="2">
        <f t="shared" si="152"/>
        <v>8.8333333333333305E-2</v>
      </c>
      <c r="T197" s="2">
        <f>AVERAGE(T194:T196)</f>
        <v>15.517777777777779</v>
      </c>
      <c r="U197" s="2">
        <f t="shared" ref="U197:AI197" si="153">AVERAGE(U194:U196)</f>
        <v>15.826666666666668</v>
      </c>
      <c r="V197" s="2">
        <f t="shared" si="153"/>
        <v>42.806111111111115</v>
      </c>
      <c r="W197" s="2">
        <f t="shared" si="153"/>
        <v>20.650555555555556</v>
      </c>
      <c r="X197" s="2">
        <f t="shared" si="153"/>
        <v>15.513888888888888</v>
      </c>
      <c r="Y197" s="2">
        <f t="shared" si="153"/>
        <v>43.407777777777774</v>
      </c>
      <c r="Z197" s="2">
        <f t="shared" si="153"/>
        <v>22.307777777777776</v>
      </c>
      <c r="AA197" s="2">
        <f t="shared" si="153"/>
        <v>43.646666666666668</v>
      </c>
      <c r="AB197" s="2">
        <f t="shared" si="153"/>
        <v>50.053333333333342</v>
      </c>
      <c r="AC197" s="2">
        <f t="shared" si="153"/>
        <v>49.967222222222226</v>
      </c>
      <c r="AD197" s="2">
        <f t="shared" si="153"/>
        <v>42.806111111111115</v>
      </c>
      <c r="AE197" s="2">
        <f t="shared" si="153"/>
        <v>57.29944444444444</v>
      </c>
      <c r="AF197" s="2">
        <f t="shared" si="153"/>
        <v>50.052777777777777</v>
      </c>
      <c r="AG197" s="2">
        <f t="shared" si="153"/>
        <v>14.768888888888888</v>
      </c>
      <c r="AH197" s="2">
        <f t="shared" si="153"/>
        <v>50.053333333333342</v>
      </c>
      <c r="AI197" s="2">
        <f t="shared" si="153"/>
        <v>0.20666666666666667</v>
      </c>
      <c r="AK197" s="2">
        <f>(B197+T197)/2</f>
        <v>17.094555555555555</v>
      </c>
      <c r="AL197" s="2">
        <f t="shared" ref="AL197:AL198" si="154">(C197+U197)/2</f>
        <v>17.161500000000004</v>
      </c>
      <c r="AM197" s="2">
        <f t="shared" ref="AM197:AM198" si="155">(D197+V197)/2</f>
        <v>39.912555555555556</v>
      </c>
      <c r="AN197" s="2">
        <f t="shared" ref="AN197:AN198" si="156">(E197+W197)/2</f>
        <v>21.243611111111115</v>
      </c>
      <c r="AO197" s="2">
        <f t="shared" ref="AO197:AO198" si="157">(F197+X197)/2</f>
        <v>17.111944444444443</v>
      </c>
      <c r="AP197" s="2">
        <f t="shared" ref="AP197:AP198" si="158">(G197+Y197)/2</f>
        <v>40.357722222222222</v>
      </c>
      <c r="AQ197" s="2">
        <f t="shared" ref="AQ197:AQ198" si="159">(H197+Z197)/2</f>
        <v>23.258222222222223</v>
      </c>
      <c r="AR197" s="2">
        <f t="shared" ref="AR197:AR198" si="160">(I197+AA197)/2</f>
        <v>44.533000000000001</v>
      </c>
      <c r="AS197" s="2">
        <f t="shared" ref="AS197:AS198" si="161">(J197+AB197)/2</f>
        <v>50.041666666666671</v>
      </c>
      <c r="AT197" s="2">
        <f t="shared" ref="AT197:AT198" si="162">(K197+AC197)/2</f>
        <v>49.915111111111116</v>
      </c>
      <c r="AU197" s="2">
        <f t="shared" ref="AU197:AU198" si="163">(L197+AD197)/2</f>
        <v>39.912555555555556</v>
      </c>
      <c r="AV197" s="2">
        <f t="shared" ref="AV197:AV198" si="164">(M197+AE197)/2</f>
        <v>60.169888888888892</v>
      </c>
      <c r="AW197" s="2">
        <f t="shared" ref="AW197:AW198" si="165">(N197+AF197)/2</f>
        <v>50.041222222222217</v>
      </c>
      <c r="AX197" s="2">
        <f t="shared" ref="AX197:AX198" si="166">(O197+AG197)/2</f>
        <v>21.11611111111111</v>
      </c>
      <c r="AY197" s="2">
        <f t="shared" ref="AY197:AY198" si="167">(P197+AH197)/2</f>
        <v>50.041666666666671</v>
      </c>
      <c r="AZ197" s="2">
        <f>(Q197+AI197)/2</f>
        <v>0.14749999999999999</v>
      </c>
    </row>
    <row r="198" spans="1:52" x14ac:dyDescent="0.25">
      <c r="B198" s="2">
        <f>_xlfn.STDEV.S(B194:B196)</f>
        <v>7.956339191697101E-2</v>
      </c>
      <c r="C198" s="2">
        <f t="shared" ref="C198:Q198" si="168">_xlfn.STDEV.S(C194:C196)</f>
        <v>0.1185003516169217</v>
      </c>
      <c r="D198" s="2">
        <f t="shared" si="168"/>
        <v>9.2509046044156999</v>
      </c>
      <c r="E198" s="2">
        <f t="shared" si="168"/>
        <v>1.3180524774580611</v>
      </c>
      <c r="F198" s="2">
        <f t="shared" si="168"/>
        <v>0.91002142831913502</v>
      </c>
      <c r="G198" s="2">
        <f t="shared" si="168"/>
        <v>8.273299845486866</v>
      </c>
      <c r="H198" s="2">
        <f t="shared" si="168"/>
        <v>1.4297105767718634</v>
      </c>
      <c r="I198" s="2">
        <f t="shared" si="168"/>
        <v>3.2221189198000277</v>
      </c>
      <c r="J198" s="2">
        <f t="shared" si="168"/>
        <v>0.21786922683114118</v>
      </c>
      <c r="K198" s="2">
        <f t="shared" si="168"/>
        <v>0.23722773868163199</v>
      </c>
      <c r="L198" s="2">
        <f t="shared" si="168"/>
        <v>9.2509046044156999</v>
      </c>
      <c r="M198" s="2">
        <f t="shared" si="168"/>
        <v>9.5579174161180998</v>
      </c>
      <c r="N198" s="2">
        <f t="shared" si="168"/>
        <v>0.21840634911406179</v>
      </c>
      <c r="O198" s="2">
        <f t="shared" si="168"/>
        <v>16.551660984122819</v>
      </c>
      <c r="P198" s="2">
        <f t="shared" si="168"/>
        <v>0.21786922683114118</v>
      </c>
      <c r="Q198" s="2">
        <f t="shared" si="168"/>
        <v>0.3334206552289965</v>
      </c>
      <c r="T198" s="2">
        <f>_xlfn.STDEV.S(T194:T196)</f>
        <v>0.11358224300446722</v>
      </c>
      <c r="U198" s="2">
        <f t="shared" ref="U198:AI198" si="169">_xlfn.STDEV.S(U194:U196)</f>
        <v>0.74567642669815815</v>
      </c>
      <c r="V198" s="2">
        <f t="shared" si="169"/>
        <v>2.220643258490993</v>
      </c>
      <c r="W198" s="2">
        <f t="shared" si="169"/>
        <v>0.84743622069637092</v>
      </c>
      <c r="X198" s="2">
        <f t="shared" si="169"/>
        <v>0.67334433434357666</v>
      </c>
      <c r="Y198" s="2">
        <f t="shared" si="169"/>
        <v>4.1055552924372192</v>
      </c>
      <c r="Z198" s="2">
        <f t="shared" si="169"/>
        <v>1.2795510642119441</v>
      </c>
      <c r="AA198" s="2">
        <f t="shared" si="169"/>
        <v>0.37902286650456429</v>
      </c>
      <c r="AB198" s="2">
        <f t="shared" si="169"/>
        <v>0.19857828011475395</v>
      </c>
      <c r="AC198" s="2">
        <f t="shared" si="169"/>
        <v>0.2579315872546552</v>
      </c>
      <c r="AD198" s="2">
        <f t="shared" si="169"/>
        <v>2.220643258490993</v>
      </c>
      <c r="AE198" s="2">
        <f t="shared" si="169"/>
        <v>2.2463194176087122</v>
      </c>
      <c r="AF198" s="2">
        <f t="shared" si="169"/>
        <v>0.19886017794010838</v>
      </c>
      <c r="AG198" s="2">
        <f t="shared" si="169"/>
        <v>3.9866587699661653</v>
      </c>
      <c r="AH198" s="2">
        <f t="shared" si="169"/>
        <v>0.19857828011475395</v>
      </c>
      <c r="AI198" s="2">
        <f t="shared" si="169"/>
        <v>0.26749350978627079</v>
      </c>
      <c r="AK198" s="2">
        <f>(B198+T198)/2</f>
        <v>9.6572817460719107E-2</v>
      </c>
      <c r="AL198" s="2">
        <f t="shared" si="154"/>
        <v>0.43208838915753994</v>
      </c>
      <c r="AM198" s="2">
        <f t="shared" si="155"/>
        <v>5.7357739314533465</v>
      </c>
      <c r="AN198" s="2">
        <f t="shared" si="156"/>
        <v>1.082744349077216</v>
      </c>
      <c r="AO198" s="2">
        <f t="shared" si="157"/>
        <v>0.79168288133135589</v>
      </c>
      <c r="AP198" s="2">
        <f t="shared" si="158"/>
        <v>6.1894275689620422</v>
      </c>
      <c r="AQ198" s="2">
        <f t="shared" si="159"/>
        <v>1.3546308204919038</v>
      </c>
      <c r="AR198" s="2">
        <f t="shared" si="160"/>
        <v>1.8005708931522961</v>
      </c>
      <c r="AS198" s="2">
        <f t="shared" si="161"/>
        <v>0.20822375347294758</v>
      </c>
      <c r="AT198" s="2">
        <f t="shared" si="162"/>
        <v>0.2475796629681436</v>
      </c>
      <c r="AU198" s="2">
        <f t="shared" si="163"/>
        <v>5.7357739314533465</v>
      </c>
      <c r="AV198" s="2">
        <f t="shared" si="164"/>
        <v>5.9021184168634058</v>
      </c>
      <c r="AW198" s="2">
        <f t="shared" si="165"/>
        <v>0.20863326352708508</v>
      </c>
      <c r="AX198" s="2">
        <f t="shared" si="166"/>
        <v>10.269159877044492</v>
      </c>
      <c r="AY198" s="2">
        <f t="shared" si="167"/>
        <v>0.20822375347294758</v>
      </c>
      <c r="AZ198" s="2">
        <f t="shared" ref="AZ198" si="170">(Q198+AI198)/2</f>
        <v>0.30045708250763364</v>
      </c>
    </row>
    <row r="200" spans="1:52" x14ac:dyDescent="0.25">
      <c r="A200" s="1" t="s">
        <v>18</v>
      </c>
      <c r="B200">
        <v>18.701000000000001</v>
      </c>
      <c r="C200">
        <v>18.431000000000001</v>
      </c>
      <c r="D200">
        <v>49.745999999999995</v>
      </c>
      <c r="E200">
        <v>25.135999999999999</v>
      </c>
      <c r="F200">
        <v>18.429000000000002</v>
      </c>
      <c r="G200">
        <v>49.500999999999998</v>
      </c>
      <c r="H200">
        <v>26.324999999999999</v>
      </c>
      <c r="I200">
        <v>43.583999999999996</v>
      </c>
      <c r="J200">
        <v>50.176000000000002</v>
      </c>
      <c r="K200">
        <v>50.198</v>
      </c>
      <c r="L200">
        <v>49.745999999999995</v>
      </c>
      <c r="M200">
        <v>50.605000000000004</v>
      </c>
      <c r="N200">
        <v>50.175500000000007</v>
      </c>
      <c r="O200">
        <v>4.7410000000000005</v>
      </c>
      <c r="P200">
        <v>50.176000000000002</v>
      </c>
      <c r="Q200">
        <v>0.14899999999999999</v>
      </c>
      <c r="S200" s="1" t="s">
        <v>18</v>
      </c>
      <c r="T200">
        <v>15.931666666666667</v>
      </c>
      <c r="U200">
        <v>15.736666666666666</v>
      </c>
      <c r="V200">
        <v>44.021666666666668</v>
      </c>
      <c r="W200">
        <v>22.186666666666667</v>
      </c>
      <c r="X200">
        <v>15.965000000000002</v>
      </c>
      <c r="Y200">
        <v>44.756666666666661</v>
      </c>
      <c r="Z200">
        <v>23.173333333333332</v>
      </c>
      <c r="AA200">
        <v>45.140000000000008</v>
      </c>
      <c r="AB200">
        <v>50.693333333333328</v>
      </c>
      <c r="AC200">
        <v>50.923333333333325</v>
      </c>
      <c r="AD200">
        <v>44.021666666666668</v>
      </c>
      <c r="AE200">
        <v>57.363333333333337</v>
      </c>
      <c r="AF200">
        <v>50.692499999999995</v>
      </c>
      <c r="AG200">
        <v>14.583333333333334</v>
      </c>
      <c r="AH200">
        <v>50.693333333333328</v>
      </c>
      <c r="AI200">
        <v>1.0083333333333335</v>
      </c>
    </row>
    <row r="201" spans="1:52" x14ac:dyDescent="0.25">
      <c r="B201">
        <v>19.260000000000002</v>
      </c>
      <c r="C201">
        <v>18.905999999999999</v>
      </c>
      <c r="D201">
        <v>46.936999999999998</v>
      </c>
      <c r="E201">
        <v>24.908999999999999</v>
      </c>
      <c r="F201">
        <v>18.716999999999995</v>
      </c>
      <c r="G201">
        <v>46.328000000000003</v>
      </c>
      <c r="H201">
        <v>26.107999999999997</v>
      </c>
      <c r="I201">
        <v>44.916000000000011</v>
      </c>
      <c r="J201">
        <v>50.757999999999996</v>
      </c>
      <c r="K201">
        <v>51.134999999999998</v>
      </c>
      <c r="L201">
        <v>46.936999999999998</v>
      </c>
      <c r="M201">
        <v>54.57800000000001</v>
      </c>
      <c r="N201">
        <v>50.7575</v>
      </c>
      <c r="O201">
        <v>7.641</v>
      </c>
      <c r="P201">
        <v>50.757999999999996</v>
      </c>
      <c r="Q201">
        <v>1.1230000000000002</v>
      </c>
      <c r="T201">
        <v>15.725</v>
      </c>
      <c r="U201">
        <v>15.441666666666668</v>
      </c>
      <c r="V201">
        <v>46.196666666666665</v>
      </c>
      <c r="W201">
        <v>21.458333333333332</v>
      </c>
      <c r="X201">
        <v>15.006666666666662</v>
      </c>
      <c r="Y201">
        <v>44.323333333333331</v>
      </c>
      <c r="Z201">
        <v>21.798333333333332</v>
      </c>
      <c r="AA201">
        <v>43.74666666666667</v>
      </c>
      <c r="AB201">
        <v>50.580000000000005</v>
      </c>
      <c r="AC201">
        <v>50.853333333333332</v>
      </c>
      <c r="AD201">
        <v>46.196666666666665</v>
      </c>
      <c r="AE201">
        <v>54.961666666666673</v>
      </c>
      <c r="AF201">
        <v>50.579166666666659</v>
      </c>
      <c r="AG201">
        <v>10.504999999999999</v>
      </c>
      <c r="AH201">
        <v>50.580000000000005</v>
      </c>
      <c r="AI201">
        <v>0.58666666666666667</v>
      </c>
    </row>
    <row r="202" spans="1:52" x14ac:dyDescent="0.25">
      <c r="B202">
        <v>18.947000000000003</v>
      </c>
      <c r="C202">
        <v>18.700000000000003</v>
      </c>
      <c r="D202">
        <v>47.769999999999996</v>
      </c>
      <c r="E202">
        <v>24.945999999999998</v>
      </c>
      <c r="F202">
        <v>18.655000000000001</v>
      </c>
      <c r="G202">
        <v>47.868999999999993</v>
      </c>
      <c r="H202">
        <v>26.268999999999998</v>
      </c>
      <c r="I202">
        <v>44.321000000000005</v>
      </c>
      <c r="J202">
        <v>50.349000000000004</v>
      </c>
      <c r="K202">
        <v>50.561</v>
      </c>
      <c r="L202">
        <v>47.769999999999996</v>
      </c>
      <c r="M202">
        <v>52.928999999999995</v>
      </c>
      <c r="N202">
        <v>50.349499999999999</v>
      </c>
      <c r="O202">
        <v>5.8480000000000008</v>
      </c>
      <c r="P202">
        <v>50.349000000000004</v>
      </c>
      <c r="Q202">
        <v>0.58000000000000007</v>
      </c>
      <c r="T202">
        <v>15.685</v>
      </c>
      <c r="U202">
        <v>15.493333333333334</v>
      </c>
      <c r="V202">
        <v>48.824999999999996</v>
      </c>
      <c r="W202">
        <v>22.340000000000003</v>
      </c>
      <c r="X202">
        <v>15.569999999999999</v>
      </c>
      <c r="Y202">
        <v>49.401666666666671</v>
      </c>
      <c r="Z202">
        <v>23.12</v>
      </c>
      <c r="AA202">
        <v>43.143333333333338</v>
      </c>
      <c r="AB202">
        <v>50.254999999999995</v>
      </c>
      <c r="AC202">
        <v>50.455000000000005</v>
      </c>
      <c r="AD202">
        <v>48.824999999999996</v>
      </c>
      <c r="AE202">
        <v>51.686666666666667</v>
      </c>
      <c r="AF202">
        <v>50.255833333333328</v>
      </c>
      <c r="AG202">
        <v>6.1850000000000014</v>
      </c>
      <c r="AH202">
        <v>50.254999999999995</v>
      </c>
      <c r="AI202">
        <v>0.42666666666666658</v>
      </c>
    </row>
    <row r="203" spans="1:52" x14ac:dyDescent="0.25">
      <c r="B203" s="2">
        <f>AVERAGE(B200:B202)</f>
        <v>18.969333333333335</v>
      </c>
      <c r="C203" s="2">
        <f t="shared" ref="C203:Q203" si="171">AVERAGE(C200:C202)</f>
        <v>18.679000000000002</v>
      </c>
      <c r="D203" s="2">
        <f t="shared" si="171"/>
        <v>48.150999999999989</v>
      </c>
      <c r="E203" s="2">
        <f t="shared" si="171"/>
        <v>24.997</v>
      </c>
      <c r="F203" s="2">
        <f t="shared" si="171"/>
        <v>18.600333333333335</v>
      </c>
      <c r="G203" s="2">
        <f t="shared" si="171"/>
        <v>47.899333333333338</v>
      </c>
      <c r="H203" s="2">
        <f t="shared" si="171"/>
        <v>26.233999999999998</v>
      </c>
      <c r="I203" s="2">
        <f t="shared" si="171"/>
        <v>44.273666666666664</v>
      </c>
      <c r="J203" s="2">
        <f t="shared" si="171"/>
        <v>50.427666666666674</v>
      </c>
      <c r="K203" s="2">
        <f t="shared" si="171"/>
        <v>50.631333333333338</v>
      </c>
      <c r="L203" s="2">
        <f t="shared" si="171"/>
        <v>48.150999999999989</v>
      </c>
      <c r="M203" s="2">
        <f t="shared" si="171"/>
        <v>52.704000000000008</v>
      </c>
      <c r="N203" s="2">
        <f t="shared" si="171"/>
        <v>50.427500000000002</v>
      </c>
      <c r="O203" s="2">
        <f t="shared" si="171"/>
        <v>6.076666666666668</v>
      </c>
      <c r="P203" s="2">
        <f t="shared" si="171"/>
        <v>50.427666666666674</v>
      </c>
      <c r="Q203" s="2">
        <f t="shared" si="171"/>
        <v>0.6173333333333334</v>
      </c>
      <c r="T203" s="2">
        <f>AVERAGE(T200:T202)</f>
        <v>15.780555555555557</v>
      </c>
      <c r="U203" s="2">
        <f t="shared" ref="U203:AI203" si="172">AVERAGE(U200:U202)</f>
        <v>15.557222222222222</v>
      </c>
      <c r="V203" s="2">
        <f t="shared" si="172"/>
        <v>46.347777777777772</v>
      </c>
      <c r="W203" s="2">
        <f t="shared" si="172"/>
        <v>21.995000000000001</v>
      </c>
      <c r="X203" s="2">
        <f t="shared" si="172"/>
        <v>15.513888888888888</v>
      </c>
      <c r="Y203" s="2">
        <f t="shared" si="172"/>
        <v>46.160555555555554</v>
      </c>
      <c r="Z203" s="2">
        <f t="shared" si="172"/>
        <v>22.697222222222223</v>
      </c>
      <c r="AA203" s="2">
        <f t="shared" si="172"/>
        <v>44.010000000000012</v>
      </c>
      <c r="AB203" s="2">
        <f t="shared" si="172"/>
        <v>50.509444444444448</v>
      </c>
      <c r="AC203" s="2">
        <f t="shared" si="172"/>
        <v>50.743888888888883</v>
      </c>
      <c r="AD203" s="2">
        <f t="shared" si="172"/>
        <v>46.347777777777772</v>
      </c>
      <c r="AE203" s="2">
        <f t="shared" si="172"/>
        <v>54.670555555555559</v>
      </c>
      <c r="AF203" s="2">
        <f t="shared" si="172"/>
        <v>50.509166666666658</v>
      </c>
      <c r="AG203" s="2">
        <f t="shared" si="172"/>
        <v>10.424444444444445</v>
      </c>
      <c r="AH203" s="2">
        <f t="shared" si="172"/>
        <v>50.509444444444448</v>
      </c>
      <c r="AI203" s="2">
        <f t="shared" si="172"/>
        <v>0.67388888888888898</v>
      </c>
      <c r="AK203" s="2">
        <f>(B203+T203)/2</f>
        <v>17.374944444444445</v>
      </c>
      <c r="AL203" s="2">
        <f t="shared" ref="AL203:AL204" si="173">(C203+U203)/2</f>
        <v>17.118111111111112</v>
      </c>
      <c r="AM203" s="2">
        <f t="shared" ref="AM203:AM204" si="174">(D203+V203)/2</f>
        <v>47.24938888888888</v>
      </c>
      <c r="AN203" s="2">
        <f t="shared" ref="AN203:AN204" si="175">(E203+W203)/2</f>
        <v>23.496000000000002</v>
      </c>
      <c r="AO203" s="2">
        <f t="shared" ref="AO203:AO204" si="176">(F203+X203)/2</f>
        <v>17.057111111111112</v>
      </c>
      <c r="AP203" s="2">
        <f t="shared" ref="AP203:AP204" si="177">(G203+Y203)/2</f>
        <v>47.029944444444446</v>
      </c>
      <c r="AQ203" s="2">
        <f t="shared" ref="AQ203:AQ204" si="178">(H203+Z203)/2</f>
        <v>24.465611111111109</v>
      </c>
      <c r="AR203" s="2">
        <f t="shared" ref="AR203:AR204" si="179">(I203+AA203)/2</f>
        <v>44.141833333333338</v>
      </c>
      <c r="AS203" s="2">
        <f t="shared" ref="AS203:AS204" si="180">(J203+AB203)/2</f>
        <v>50.468555555555561</v>
      </c>
      <c r="AT203" s="2">
        <f t="shared" ref="AT203:AT204" si="181">(K203+AC203)/2</f>
        <v>50.68761111111111</v>
      </c>
      <c r="AU203" s="2">
        <f t="shared" ref="AU203:AU204" si="182">(L203+AD203)/2</f>
        <v>47.24938888888888</v>
      </c>
      <c r="AV203" s="2">
        <f t="shared" ref="AV203:AV204" si="183">(M203+AE203)/2</f>
        <v>53.68727777777778</v>
      </c>
      <c r="AW203" s="2">
        <f t="shared" ref="AW203:AW204" si="184">(N203+AF203)/2</f>
        <v>50.468333333333334</v>
      </c>
      <c r="AX203" s="2">
        <f t="shared" ref="AX203:AX204" si="185">(O203+AG203)/2</f>
        <v>8.2505555555555574</v>
      </c>
      <c r="AY203" s="2">
        <f t="shared" ref="AY203:AY204" si="186">(P203+AH203)/2</f>
        <v>50.468555555555561</v>
      </c>
      <c r="AZ203" s="2">
        <f>(Q203+AI203)/2</f>
        <v>0.64561111111111114</v>
      </c>
    </row>
    <row r="204" spans="1:52" x14ac:dyDescent="0.25">
      <c r="B204" s="2">
        <f>_xlfn.STDEV.S(B200:B202)</f>
        <v>0.28016840173962088</v>
      </c>
      <c r="C204" s="2">
        <f t="shared" ref="C204:Q204" si="187">_xlfn.STDEV.S(C200:C202)</f>
        <v>0.23819529802244116</v>
      </c>
      <c r="D204" s="2">
        <f t="shared" si="187"/>
        <v>1.4427373288301639</v>
      </c>
      <c r="E204" s="2">
        <f t="shared" si="187"/>
        <v>0.12179080425056767</v>
      </c>
      <c r="F204" s="2">
        <f t="shared" si="187"/>
        <v>0.15158276067327869</v>
      </c>
      <c r="G204" s="2">
        <f t="shared" si="187"/>
        <v>1.5867174711754217</v>
      </c>
      <c r="H204" s="2">
        <f t="shared" si="187"/>
        <v>0.11265433857601871</v>
      </c>
      <c r="I204" s="2">
        <f t="shared" si="187"/>
        <v>0.66726031901600702</v>
      </c>
      <c r="J204" s="2">
        <f t="shared" si="187"/>
        <v>0.29886842143881825</v>
      </c>
      <c r="K204" s="2">
        <f t="shared" si="187"/>
        <v>0.47244294188116742</v>
      </c>
      <c r="L204" s="2">
        <f t="shared" si="187"/>
        <v>1.4427373288301639</v>
      </c>
      <c r="M204" s="2">
        <f t="shared" si="187"/>
        <v>1.9960338173487966</v>
      </c>
      <c r="N204" s="2">
        <f t="shared" si="187"/>
        <v>0.29873734282810793</v>
      </c>
      <c r="O204" s="2">
        <f t="shared" si="187"/>
        <v>1.4634603969131907</v>
      </c>
      <c r="P204" s="2">
        <f t="shared" si="187"/>
        <v>0.29886842143881825</v>
      </c>
      <c r="Q204" s="2">
        <f t="shared" si="187"/>
        <v>0.48807205752156446</v>
      </c>
      <c r="T204" s="2">
        <f>_xlfn.STDEV.S(T200:T202)</f>
        <v>0.13238552007650192</v>
      </c>
      <c r="U204" s="2">
        <f t="shared" ref="U204:AI204" si="188">_xlfn.STDEV.S(U200:U202)</f>
        <v>0.15753600411522539</v>
      </c>
      <c r="V204" s="2">
        <f t="shared" si="188"/>
        <v>2.4052294492841404</v>
      </c>
      <c r="W204" s="2">
        <f t="shared" si="188"/>
        <v>0.47104788621870819</v>
      </c>
      <c r="X204" s="2">
        <f t="shared" si="188"/>
        <v>0.48162437338349051</v>
      </c>
      <c r="Y204" s="2">
        <f t="shared" si="188"/>
        <v>2.8152345142759239</v>
      </c>
      <c r="Z204" s="2">
        <f t="shared" si="188"/>
        <v>0.77891722091441662</v>
      </c>
      <c r="AA204" s="2">
        <f t="shared" si="188"/>
        <v>1.0240496949747027</v>
      </c>
      <c r="AB204" s="2">
        <f t="shared" si="188"/>
        <v>0.22752492740926905</v>
      </c>
      <c r="AC204" s="2">
        <f t="shared" si="188"/>
        <v>0.25262144127644698</v>
      </c>
      <c r="AD204" s="2">
        <f t="shared" si="188"/>
        <v>2.4052294492841404</v>
      </c>
      <c r="AE204" s="2">
        <f t="shared" si="188"/>
        <v>2.8495079172324438</v>
      </c>
      <c r="AF204" s="2">
        <f t="shared" si="188"/>
        <v>0.22659312532476442</v>
      </c>
      <c r="AG204" s="2">
        <f t="shared" si="188"/>
        <v>4.1997461343029547</v>
      </c>
      <c r="AH204" s="2">
        <f t="shared" si="188"/>
        <v>0.22752492740926905</v>
      </c>
      <c r="AI204" s="2">
        <f t="shared" si="188"/>
        <v>0.3004826364614348</v>
      </c>
      <c r="AK204" s="2">
        <f>(B204+T204)/2</f>
        <v>0.20627696090806141</v>
      </c>
      <c r="AL204" s="2">
        <f t="shared" si="173"/>
        <v>0.19786565106883328</v>
      </c>
      <c r="AM204" s="2">
        <f t="shared" si="174"/>
        <v>1.923983389057152</v>
      </c>
      <c r="AN204" s="2">
        <f t="shared" si="175"/>
        <v>0.29641934523463792</v>
      </c>
      <c r="AO204" s="2">
        <f t="shared" si="176"/>
        <v>0.3166035670283846</v>
      </c>
      <c r="AP204" s="2">
        <f t="shared" si="177"/>
        <v>2.2009759927256729</v>
      </c>
      <c r="AQ204" s="2">
        <f t="shared" si="178"/>
        <v>0.44578577974521766</v>
      </c>
      <c r="AR204" s="2">
        <f t="shared" si="179"/>
        <v>0.84565500699535479</v>
      </c>
      <c r="AS204" s="2">
        <f t="shared" si="180"/>
        <v>0.26319667442404365</v>
      </c>
      <c r="AT204" s="2">
        <f t="shared" si="181"/>
        <v>0.36253219157880723</v>
      </c>
      <c r="AU204" s="2">
        <f t="shared" si="182"/>
        <v>1.923983389057152</v>
      </c>
      <c r="AV204" s="2">
        <f t="shared" si="183"/>
        <v>2.4227708672906201</v>
      </c>
      <c r="AW204" s="2">
        <f t="shared" si="184"/>
        <v>0.26266523407643616</v>
      </c>
      <c r="AX204" s="2">
        <f t="shared" si="185"/>
        <v>2.8316032656080727</v>
      </c>
      <c r="AY204" s="2">
        <f t="shared" si="186"/>
        <v>0.26319667442404365</v>
      </c>
      <c r="AZ204" s="2">
        <f t="shared" ref="AZ204" si="189">(Q204+AI204)/2</f>
        <v>0.39427734699149963</v>
      </c>
    </row>
    <row r="206" spans="1:52" x14ac:dyDescent="0.25">
      <c r="A206" s="1" t="s">
        <v>21</v>
      </c>
      <c r="B206">
        <v>26.322000000000003</v>
      </c>
      <c r="C206">
        <v>27.933999999999997</v>
      </c>
      <c r="D206">
        <v>40.19</v>
      </c>
      <c r="E206">
        <v>29.419999999999998</v>
      </c>
      <c r="F206">
        <v>29.324999999999999</v>
      </c>
      <c r="G206">
        <v>41.277000000000001</v>
      </c>
      <c r="H206">
        <v>31.637</v>
      </c>
      <c r="I206">
        <v>54.097999999999999</v>
      </c>
      <c r="J206">
        <v>57.951999999999998</v>
      </c>
      <c r="K206">
        <v>62.86099999999999</v>
      </c>
      <c r="L206">
        <v>40.19</v>
      </c>
      <c r="M206">
        <v>75.716000000000008</v>
      </c>
      <c r="N206">
        <v>57.952999999999996</v>
      </c>
      <c r="O206">
        <v>37.064000000000007</v>
      </c>
      <c r="P206">
        <v>57.951999999999998</v>
      </c>
      <c r="Q206">
        <v>13.664999999999997</v>
      </c>
      <c r="S206" s="1" t="s">
        <v>21</v>
      </c>
      <c r="T206">
        <v>16.163333333333334</v>
      </c>
      <c r="U206">
        <v>15.741666666666667</v>
      </c>
      <c r="V206">
        <v>80.143333333333331</v>
      </c>
      <c r="W206">
        <v>21.701666666666668</v>
      </c>
      <c r="X206">
        <v>14.955</v>
      </c>
      <c r="Y206">
        <v>78.786666666666676</v>
      </c>
      <c r="Z206">
        <v>23.841666666666669</v>
      </c>
      <c r="AA206">
        <v>21.366666666666664</v>
      </c>
      <c r="AB206">
        <v>50.543333333333329</v>
      </c>
      <c r="AC206">
        <v>53.553333333333335</v>
      </c>
      <c r="AD206">
        <v>80.143333333333331</v>
      </c>
      <c r="AE206">
        <v>20.946666666666665</v>
      </c>
      <c r="AF206">
        <v>50.545000000000009</v>
      </c>
      <c r="AG206">
        <v>59.198333333333331</v>
      </c>
      <c r="AH206">
        <v>50.543333333333329</v>
      </c>
      <c r="AI206">
        <v>1.1499999999999999</v>
      </c>
    </row>
    <row r="207" spans="1:52" x14ac:dyDescent="0.25">
      <c r="B207">
        <v>19.112000000000002</v>
      </c>
      <c r="C207">
        <v>20.136999999999997</v>
      </c>
      <c r="D207">
        <v>83.524000000000001</v>
      </c>
      <c r="E207">
        <v>26.363</v>
      </c>
      <c r="F207">
        <v>17.436</v>
      </c>
      <c r="G207">
        <v>78.778999999999996</v>
      </c>
      <c r="H207">
        <v>28.081</v>
      </c>
      <c r="I207">
        <v>22.381999999999998</v>
      </c>
      <c r="J207">
        <v>50.593999999999994</v>
      </c>
      <c r="K207">
        <v>52.762999999999998</v>
      </c>
      <c r="L207">
        <v>83.524000000000001</v>
      </c>
      <c r="M207">
        <v>17.660999999999998</v>
      </c>
      <c r="N207">
        <v>50.592499999999994</v>
      </c>
      <c r="O207">
        <v>65.863</v>
      </c>
      <c r="P207">
        <v>50.593999999999994</v>
      </c>
      <c r="Q207">
        <v>1.2030000000000001</v>
      </c>
      <c r="T207">
        <v>21.715000000000003</v>
      </c>
      <c r="U207">
        <v>23.268333333333331</v>
      </c>
      <c r="V207">
        <v>30.91</v>
      </c>
      <c r="W207">
        <v>24.38</v>
      </c>
      <c r="X207">
        <v>24.961666666666662</v>
      </c>
      <c r="Y207">
        <v>33.276666666666664</v>
      </c>
      <c r="Z207">
        <v>27.403333333333332</v>
      </c>
      <c r="AA207">
        <v>53.928333333333335</v>
      </c>
      <c r="AB207">
        <v>56.053333333333335</v>
      </c>
      <c r="AC207">
        <v>60.965000000000003</v>
      </c>
      <c r="AD207">
        <v>30.91</v>
      </c>
      <c r="AE207">
        <v>81.198333333333338</v>
      </c>
      <c r="AF207">
        <v>56.054166666666667</v>
      </c>
      <c r="AG207">
        <v>50.288333333333334</v>
      </c>
      <c r="AH207">
        <v>56.053333333333335</v>
      </c>
      <c r="AI207">
        <v>10.873333333333333</v>
      </c>
    </row>
    <row r="208" spans="1:52" x14ac:dyDescent="0.25">
      <c r="B208">
        <v>25.704999999999995</v>
      </c>
      <c r="C208">
        <v>27.106000000000005</v>
      </c>
      <c r="D208">
        <v>40.063000000000002</v>
      </c>
      <c r="E208">
        <v>28.561</v>
      </c>
      <c r="F208">
        <v>28.315000000000005</v>
      </c>
      <c r="G208">
        <v>41.445000000000007</v>
      </c>
      <c r="H208">
        <v>30.248000000000001</v>
      </c>
      <c r="I208">
        <v>52.465999999999994</v>
      </c>
      <c r="J208">
        <v>57.14200000000001</v>
      </c>
      <c r="K208">
        <v>61.956999999999994</v>
      </c>
      <c r="L208">
        <v>40.063000000000002</v>
      </c>
      <c r="M208">
        <v>74.22</v>
      </c>
      <c r="N208">
        <v>57.141499999999994</v>
      </c>
      <c r="O208">
        <v>35.543999999999997</v>
      </c>
      <c r="P208">
        <v>57.14200000000001</v>
      </c>
      <c r="Q208">
        <v>12.253</v>
      </c>
      <c r="T208">
        <v>16.768333333333334</v>
      </c>
      <c r="U208">
        <v>43.876666666666665</v>
      </c>
      <c r="V208">
        <v>10.664999999999999</v>
      </c>
      <c r="W208">
        <v>16.544999999999998</v>
      </c>
      <c r="X208">
        <v>36.134999999999998</v>
      </c>
      <c r="Y208">
        <v>13.856666666666667</v>
      </c>
      <c r="Z208">
        <v>14.035000000000002</v>
      </c>
      <c r="AA208">
        <v>47.811666666666667</v>
      </c>
      <c r="AB208">
        <v>50.975000000000001</v>
      </c>
      <c r="AC208">
        <v>52.986666666666672</v>
      </c>
      <c r="AD208">
        <v>10.664999999999999</v>
      </c>
      <c r="AE208">
        <v>91.289999999999978</v>
      </c>
      <c r="AF208">
        <v>50.977499999999999</v>
      </c>
      <c r="AG208">
        <v>80.623333333333335</v>
      </c>
      <c r="AH208">
        <v>50.975000000000001</v>
      </c>
      <c r="AI208">
        <v>2.0500000000000003</v>
      </c>
    </row>
    <row r="209" spans="1:52" x14ac:dyDescent="0.25">
      <c r="B209" s="2">
        <f>AVERAGE(B206:B208)</f>
        <v>23.712999999999997</v>
      </c>
      <c r="C209" s="2">
        <f t="shared" ref="C209:Q209" si="190">AVERAGE(C206:C208)</f>
        <v>25.059000000000001</v>
      </c>
      <c r="D209" s="2">
        <f t="shared" si="190"/>
        <v>54.592333333333329</v>
      </c>
      <c r="E209" s="2">
        <f t="shared" si="190"/>
        <v>28.114666666666665</v>
      </c>
      <c r="F209" s="2">
        <f t="shared" si="190"/>
        <v>25.025333333333332</v>
      </c>
      <c r="G209" s="2">
        <f t="shared" si="190"/>
        <v>53.833666666666666</v>
      </c>
      <c r="H209" s="2">
        <f t="shared" si="190"/>
        <v>29.988666666666671</v>
      </c>
      <c r="I209" s="2">
        <f t="shared" si="190"/>
        <v>42.981999999999992</v>
      </c>
      <c r="J209" s="2">
        <f t="shared" si="190"/>
        <v>55.229333333333329</v>
      </c>
      <c r="K209" s="2">
        <f t="shared" si="190"/>
        <v>59.193666666666665</v>
      </c>
      <c r="L209" s="2">
        <f t="shared" si="190"/>
        <v>54.592333333333329</v>
      </c>
      <c r="M209" s="2">
        <f t="shared" si="190"/>
        <v>55.865666666666669</v>
      </c>
      <c r="N209" s="2">
        <f t="shared" si="190"/>
        <v>55.228999999999992</v>
      </c>
      <c r="O209" s="2">
        <f t="shared" si="190"/>
        <v>46.157000000000004</v>
      </c>
      <c r="P209" s="2">
        <f t="shared" si="190"/>
        <v>55.229333333333329</v>
      </c>
      <c r="Q209" s="2">
        <f t="shared" si="190"/>
        <v>9.0403333333333311</v>
      </c>
      <c r="T209" s="2">
        <f>AVERAGE(T206:T208)</f>
        <v>18.215555555555557</v>
      </c>
      <c r="U209" s="2">
        <f t="shared" ref="U209:AI209" si="191">AVERAGE(U206:U208)</f>
        <v>27.628888888888884</v>
      </c>
      <c r="V209" s="2">
        <f t="shared" si="191"/>
        <v>40.57277777777778</v>
      </c>
      <c r="W209" s="2">
        <f t="shared" si="191"/>
        <v>20.875555555555554</v>
      </c>
      <c r="X209" s="2">
        <f t="shared" si="191"/>
        <v>25.350555555555555</v>
      </c>
      <c r="Y209" s="2">
        <f t="shared" si="191"/>
        <v>41.973333333333336</v>
      </c>
      <c r="Z209" s="2">
        <f t="shared" si="191"/>
        <v>21.76</v>
      </c>
      <c r="AA209" s="2">
        <f t="shared" si="191"/>
        <v>41.035555555555554</v>
      </c>
      <c r="AB209" s="2">
        <f t="shared" si="191"/>
        <v>52.523888888888884</v>
      </c>
      <c r="AC209" s="2">
        <f t="shared" si="191"/>
        <v>55.835000000000008</v>
      </c>
      <c r="AD209" s="2">
        <f t="shared" si="191"/>
        <v>40.57277777777778</v>
      </c>
      <c r="AE209" s="2">
        <f t="shared" si="191"/>
        <v>64.478333333333339</v>
      </c>
      <c r="AF209" s="2">
        <f t="shared" si="191"/>
        <v>52.525555555555563</v>
      </c>
      <c r="AG209" s="2">
        <f t="shared" si="191"/>
        <v>63.370000000000005</v>
      </c>
      <c r="AH209" s="2">
        <f t="shared" si="191"/>
        <v>52.523888888888884</v>
      </c>
      <c r="AI209" s="2">
        <f t="shared" si="191"/>
        <v>4.6911111111111117</v>
      </c>
      <c r="AK209" s="2">
        <f>(B209+T209)/2</f>
        <v>20.964277777777777</v>
      </c>
      <c r="AL209" s="2">
        <f t="shared" ref="AL209:AL210" si="192">(C209+U209)/2</f>
        <v>26.343944444444443</v>
      </c>
      <c r="AM209" s="2">
        <f t="shared" ref="AM209:AM210" si="193">(D209+V209)/2</f>
        <v>47.582555555555558</v>
      </c>
      <c r="AN209" s="2">
        <f t="shared" ref="AN209:AN210" si="194">(E209+W209)/2</f>
        <v>24.495111111111108</v>
      </c>
      <c r="AO209" s="2">
        <f t="shared" ref="AO209:AO210" si="195">(F209+X209)/2</f>
        <v>25.187944444444444</v>
      </c>
      <c r="AP209" s="2">
        <f t="shared" ref="AP209:AP210" si="196">(G209+Y209)/2</f>
        <v>47.903500000000001</v>
      </c>
      <c r="AQ209" s="2">
        <f t="shared" ref="AQ209:AQ210" si="197">(H209+Z209)/2</f>
        <v>25.874333333333336</v>
      </c>
      <c r="AR209" s="2">
        <f t="shared" ref="AR209:AR210" si="198">(I209+AA209)/2</f>
        <v>42.008777777777773</v>
      </c>
      <c r="AS209" s="2">
        <f t="shared" ref="AS209:AS210" si="199">(J209+AB209)/2</f>
        <v>53.876611111111103</v>
      </c>
      <c r="AT209" s="2">
        <f t="shared" ref="AT209:AT210" si="200">(K209+AC209)/2</f>
        <v>57.51433333333334</v>
      </c>
      <c r="AU209" s="2">
        <f t="shared" ref="AU209:AU210" si="201">(L209+AD209)/2</f>
        <v>47.582555555555558</v>
      </c>
      <c r="AV209" s="2">
        <f t="shared" ref="AV209:AV210" si="202">(M209+AE209)/2</f>
        <v>60.172000000000004</v>
      </c>
      <c r="AW209" s="2">
        <f t="shared" ref="AW209:AW210" si="203">(N209+AF209)/2</f>
        <v>53.877277777777778</v>
      </c>
      <c r="AX209" s="2">
        <f t="shared" ref="AX209:AX210" si="204">(O209+AG209)/2</f>
        <v>54.763500000000008</v>
      </c>
      <c r="AY209" s="2">
        <f t="shared" ref="AY209:AY210" si="205">(P209+AH209)/2</f>
        <v>53.876611111111103</v>
      </c>
      <c r="AZ209" s="2">
        <f>(Q209+AI209)/2</f>
        <v>6.8657222222222209</v>
      </c>
    </row>
    <row r="210" spans="1:52" x14ac:dyDescent="0.25">
      <c r="B210" s="2">
        <f>_xlfn.STDEV.S(B206:B208)</f>
        <v>3.9965076003931403</v>
      </c>
      <c r="C210" s="2">
        <f t="shared" ref="C210:Q210" si="206">_xlfn.STDEV.S(C206:C208)</f>
        <v>4.2826345863264921</v>
      </c>
      <c r="D210" s="2">
        <f t="shared" si="206"/>
        <v>25.055638773205022</v>
      </c>
      <c r="E210" s="2">
        <f t="shared" si="206"/>
        <v>1.5766173706176561</v>
      </c>
      <c r="F210" s="2">
        <f t="shared" si="206"/>
        <v>6.5919276644494218</v>
      </c>
      <c r="G210" s="2">
        <f t="shared" si="206"/>
        <v>21.603455680361254</v>
      </c>
      <c r="H210" s="2">
        <f t="shared" si="206"/>
        <v>1.79212843661757</v>
      </c>
      <c r="I210" s="2">
        <f t="shared" si="206"/>
        <v>17.858775321953086</v>
      </c>
      <c r="J210" s="2">
        <f t="shared" si="206"/>
        <v>4.0346947013787018</v>
      </c>
      <c r="K210" s="2">
        <f t="shared" si="206"/>
        <v>5.5874331614197672</v>
      </c>
      <c r="L210" s="2">
        <f t="shared" si="206"/>
        <v>25.055638773205022</v>
      </c>
      <c r="M210" s="2">
        <f t="shared" si="206"/>
        <v>33.094666040516756</v>
      </c>
      <c r="N210" s="2">
        <f t="shared" si="206"/>
        <v>4.0357752972632168</v>
      </c>
      <c r="O210" s="2">
        <f t="shared" si="206"/>
        <v>17.082810863555203</v>
      </c>
      <c r="P210" s="2">
        <f t="shared" si="206"/>
        <v>4.0346947013787018</v>
      </c>
      <c r="Q210" s="2">
        <f t="shared" si="206"/>
        <v>6.8239491010215865</v>
      </c>
      <c r="T210" s="2">
        <f>_xlfn.STDEV.S(T206:T208)</f>
        <v>3.045667384140097</v>
      </c>
      <c r="U210" s="2">
        <f t="shared" ref="U210:AI210" si="207">_xlfn.STDEV.S(U206:U208)</f>
        <v>14.56555490926505</v>
      </c>
      <c r="V210" s="2">
        <f t="shared" si="207"/>
        <v>35.732851222390316</v>
      </c>
      <c r="W210" s="2">
        <f t="shared" si="207"/>
        <v>3.9822921698345879</v>
      </c>
      <c r="X210" s="2">
        <f t="shared" si="207"/>
        <v>10.595353978321151</v>
      </c>
      <c r="Y210" s="2">
        <f t="shared" si="207"/>
        <v>33.327169596791961</v>
      </c>
      <c r="Z210" s="2">
        <f t="shared" si="207"/>
        <v>6.9230113470303545</v>
      </c>
      <c r="AA210" s="2">
        <f t="shared" si="207"/>
        <v>17.306134616671919</v>
      </c>
      <c r="AB210" s="2">
        <f t="shared" si="207"/>
        <v>3.0641993395653295</v>
      </c>
      <c r="AC210" s="2">
        <f t="shared" si="207"/>
        <v>4.4517359285763769</v>
      </c>
      <c r="AD210" s="2">
        <f t="shared" si="207"/>
        <v>35.732851222390316</v>
      </c>
      <c r="AE210" s="2">
        <f t="shared" si="207"/>
        <v>38.035706068260502</v>
      </c>
      <c r="AF210" s="2">
        <f t="shared" si="207"/>
        <v>3.0635088285481693</v>
      </c>
      <c r="AG210" s="2">
        <f t="shared" si="207"/>
        <v>15.591829858401253</v>
      </c>
      <c r="AH210" s="2">
        <f t="shared" si="207"/>
        <v>3.0641993395653295</v>
      </c>
      <c r="AI210" s="2">
        <f t="shared" si="207"/>
        <v>5.3728394451820076</v>
      </c>
      <c r="AK210" s="2">
        <f>(B210+T210)/2</f>
        <v>3.5210874922666187</v>
      </c>
      <c r="AL210" s="2">
        <f t="shared" si="192"/>
        <v>9.4240947477957704</v>
      </c>
      <c r="AM210" s="2">
        <f t="shared" si="193"/>
        <v>30.394244997797671</v>
      </c>
      <c r="AN210" s="2">
        <f t="shared" si="194"/>
        <v>2.7794547702261219</v>
      </c>
      <c r="AO210" s="2">
        <f t="shared" si="195"/>
        <v>8.5936408213852857</v>
      </c>
      <c r="AP210" s="2">
        <f t="shared" si="196"/>
        <v>27.465312638576606</v>
      </c>
      <c r="AQ210" s="2">
        <f t="shared" si="197"/>
        <v>4.357569891823962</v>
      </c>
      <c r="AR210" s="2">
        <f t="shared" si="198"/>
        <v>17.582454969312501</v>
      </c>
      <c r="AS210" s="2">
        <f t="shared" si="199"/>
        <v>3.5494470204720159</v>
      </c>
      <c r="AT210" s="2">
        <f t="shared" si="200"/>
        <v>5.0195845449980716</v>
      </c>
      <c r="AU210" s="2">
        <f t="shared" si="201"/>
        <v>30.394244997797671</v>
      </c>
      <c r="AV210" s="2">
        <f t="shared" si="202"/>
        <v>35.565186054388633</v>
      </c>
      <c r="AW210" s="2">
        <f t="shared" si="203"/>
        <v>3.5496420629056931</v>
      </c>
      <c r="AX210" s="2">
        <f t="shared" si="204"/>
        <v>16.337320360978229</v>
      </c>
      <c r="AY210" s="2">
        <f t="shared" si="205"/>
        <v>3.5494470204720159</v>
      </c>
      <c r="AZ210" s="2">
        <f t="shared" ref="AZ210" si="208">(Q210+AI210)/2</f>
        <v>6.098394273101797</v>
      </c>
    </row>
    <row r="212" spans="1:52" x14ac:dyDescent="0.25">
      <c r="A212" s="1" t="s">
        <v>22</v>
      </c>
      <c r="B212">
        <v>24.5</v>
      </c>
      <c r="C212">
        <v>32.35</v>
      </c>
      <c r="D212">
        <v>21.722000000000001</v>
      </c>
      <c r="E212">
        <v>22.728000000000002</v>
      </c>
      <c r="F212">
        <v>30.475000000000001</v>
      </c>
      <c r="G212">
        <v>23.831000000000003</v>
      </c>
      <c r="H212">
        <v>22.818999999999996</v>
      </c>
      <c r="I212">
        <v>51.645000000000003</v>
      </c>
      <c r="J212">
        <v>54.335999999999999</v>
      </c>
      <c r="K212">
        <v>60.789000000000001</v>
      </c>
      <c r="L212">
        <v>21.722000000000001</v>
      </c>
      <c r="M212">
        <v>86.948999999999998</v>
      </c>
      <c r="N212">
        <v>54.335499999999989</v>
      </c>
      <c r="O212">
        <v>65.227000000000004</v>
      </c>
      <c r="P212">
        <v>54.335999999999999</v>
      </c>
      <c r="Q212">
        <v>8.6840000000000028</v>
      </c>
      <c r="S212" s="1" t="s">
        <v>22</v>
      </c>
      <c r="T212">
        <v>20.488333333333333</v>
      </c>
      <c r="U212">
        <v>28.576666666666668</v>
      </c>
      <c r="V212">
        <v>30.303333333333338</v>
      </c>
      <c r="W212">
        <v>23.778333333333332</v>
      </c>
      <c r="X212">
        <v>25.584999999999997</v>
      </c>
      <c r="Y212">
        <v>34.803333333333342</v>
      </c>
      <c r="Z212">
        <v>26.548333333333336</v>
      </c>
      <c r="AA212">
        <v>51.843333333333327</v>
      </c>
      <c r="AB212">
        <v>55.116666666666667</v>
      </c>
      <c r="AC212">
        <v>59.784999999999989</v>
      </c>
      <c r="AD212">
        <v>30.303333333333338</v>
      </c>
      <c r="AE212">
        <v>79.931666666666658</v>
      </c>
      <c r="AF212">
        <v>55.117500000000007</v>
      </c>
      <c r="AG212">
        <v>49.629999999999995</v>
      </c>
      <c r="AH212">
        <v>55.116666666666667</v>
      </c>
      <c r="AI212">
        <v>8.8916666666666657</v>
      </c>
    </row>
    <row r="213" spans="1:52" x14ac:dyDescent="0.25">
      <c r="B213">
        <v>25.539000000000005</v>
      </c>
      <c r="C213">
        <v>28.079000000000001</v>
      </c>
      <c r="D213">
        <v>28.556000000000001</v>
      </c>
      <c r="E213">
        <v>25.102</v>
      </c>
      <c r="F213">
        <v>29.979999999999997</v>
      </c>
      <c r="G213">
        <v>29.838000000000001</v>
      </c>
      <c r="H213">
        <v>27.031000000000006</v>
      </c>
      <c r="I213">
        <v>53.342000000000006</v>
      </c>
      <c r="J213">
        <v>55.854999999999997</v>
      </c>
      <c r="K213">
        <v>62.517999999999994</v>
      </c>
      <c r="L213">
        <v>28.556000000000001</v>
      </c>
      <c r="M213">
        <v>83.154000000000011</v>
      </c>
      <c r="N213">
        <v>55.854999999999997</v>
      </c>
      <c r="O213">
        <v>55.748000000000005</v>
      </c>
      <c r="P213">
        <v>55.854999999999997</v>
      </c>
      <c r="Q213">
        <v>11.261000000000001</v>
      </c>
      <c r="T213">
        <v>20.466666666666669</v>
      </c>
      <c r="U213">
        <v>29.411666666666665</v>
      </c>
      <c r="V213">
        <v>30.048333333333332</v>
      </c>
      <c r="W213">
        <v>23.231666666666666</v>
      </c>
      <c r="X213">
        <v>25.473333333333333</v>
      </c>
      <c r="Y213">
        <v>32.951666666666668</v>
      </c>
      <c r="Z213">
        <v>25.901666666666671</v>
      </c>
      <c r="AA213">
        <v>52.44</v>
      </c>
      <c r="AB213">
        <v>55.579999999999991</v>
      </c>
      <c r="AC213">
        <v>60.218333333333334</v>
      </c>
      <c r="AD213">
        <v>30.048333333333332</v>
      </c>
      <c r="AE213">
        <v>81.111666666666665</v>
      </c>
      <c r="AF213">
        <v>55.579999999999991</v>
      </c>
      <c r="AG213">
        <v>51.063333333333333</v>
      </c>
      <c r="AH213">
        <v>55.579999999999991</v>
      </c>
      <c r="AI213">
        <v>9.6399999999999988</v>
      </c>
    </row>
    <row r="214" spans="1:52" x14ac:dyDescent="0.25">
      <c r="B214">
        <v>24.521000000000001</v>
      </c>
      <c r="C214">
        <v>33.445000000000007</v>
      </c>
      <c r="D214">
        <v>25.824999999999999</v>
      </c>
      <c r="E214">
        <v>22.646000000000001</v>
      </c>
      <c r="F214">
        <v>29.940999999999995</v>
      </c>
      <c r="G214">
        <v>28.121999999999996</v>
      </c>
      <c r="H214">
        <v>25.318999999999999</v>
      </c>
      <c r="I214">
        <v>52.137</v>
      </c>
      <c r="J214">
        <v>54.86999999999999</v>
      </c>
      <c r="K214">
        <v>61.489999999999995</v>
      </c>
      <c r="L214">
        <v>25.824999999999999</v>
      </c>
      <c r="M214">
        <v>83.914999999999992</v>
      </c>
      <c r="N214">
        <v>54.870000000000005</v>
      </c>
      <c r="O214">
        <v>58.090999999999994</v>
      </c>
      <c r="P214">
        <v>54.86999999999999</v>
      </c>
      <c r="Q214">
        <v>9.2349999999999994</v>
      </c>
      <c r="T214">
        <v>20.796666666666667</v>
      </c>
      <c r="U214">
        <v>29.234999999999999</v>
      </c>
      <c r="V214">
        <v>29.566666666666666</v>
      </c>
      <c r="W214">
        <v>22.83666666666667</v>
      </c>
      <c r="X214">
        <v>25.78</v>
      </c>
      <c r="Y214">
        <v>32.626666666666672</v>
      </c>
      <c r="Z214">
        <v>25.959999999999997</v>
      </c>
      <c r="AA214">
        <v>52.266666666666673</v>
      </c>
      <c r="AB214">
        <v>55.461666666666666</v>
      </c>
      <c r="AC214">
        <v>60.51</v>
      </c>
      <c r="AD214">
        <v>29.566666666666666</v>
      </c>
      <c r="AE214">
        <v>81.358333333333334</v>
      </c>
      <c r="AF214">
        <v>55.462499999999999</v>
      </c>
      <c r="AG214">
        <v>51.789999999999992</v>
      </c>
      <c r="AH214">
        <v>55.461666666666666</v>
      </c>
      <c r="AI214">
        <v>9.548333333333332</v>
      </c>
    </row>
    <row r="215" spans="1:52" x14ac:dyDescent="0.25">
      <c r="B215" s="2">
        <f>AVERAGE(B212:B214)</f>
        <v>24.853333333333335</v>
      </c>
      <c r="C215" s="2">
        <f t="shared" ref="C215:Q215" si="209">AVERAGE(C212:C214)</f>
        <v>31.291333333333338</v>
      </c>
      <c r="D215" s="2">
        <f t="shared" si="209"/>
        <v>25.367666666666668</v>
      </c>
      <c r="E215" s="2">
        <f t="shared" si="209"/>
        <v>23.492000000000001</v>
      </c>
      <c r="F215" s="2">
        <f t="shared" si="209"/>
        <v>30.131999999999994</v>
      </c>
      <c r="G215" s="2">
        <f t="shared" si="209"/>
        <v>27.263666666666666</v>
      </c>
      <c r="H215" s="2">
        <f t="shared" si="209"/>
        <v>25.056333333333331</v>
      </c>
      <c r="I215" s="2">
        <f t="shared" si="209"/>
        <v>52.374666666666677</v>
      </c>
      <c r="J215" s="2">
        <f t="shared" si="209"/>
        <v>55.020333333333326</v>
      </c>
      <c r="K215" s="2">
        <f t="shared" si="209"/>
        <v>61.59899999999999</v>
      </c>
      <c r="L215" s="2">
        <f t="shared" si="209"/>
        <v>25.367666666666668</v>
      </c>
      <c r="M215" s="2">
        <f t="shared" si="209"/>
        <v>84.672666666666672</v>
      </c>
      <c r="N215" s="2">
        <f t="shared" si="209"/>
        <v>55.020166666666661</v>
      </c>
      <c r="O215" s="2">
        <f t="shared" si="209"/>
        <v>59.68866666666667</v>
      </c>
      <c r="P215" s="2">
        <f t="shared" si="209"/>
        <v>55.020333333333326</v>
      </c>
      <c r="Q215" s="2">
        <f t="shared" si="209"/>
        <v>9.7266666666666683</v>
      </c>
      <c r="T215" s="2">
        <f>AVERAGE(T212:T214)</f>
        <v>20.58388888888889</v>
      </c>
      <c r="U215" s="2">
        <f t="shared" ref="U215:AI215" si="210">AVERAGE(U212:U214)</f>
        <v>29.074444444444442</v>
      </c>
      <c r="V215" s="2">
        <f t="shared" si="210"/>
        <v>29.972777777777779</v>
      </c>
      <c r="W215" s="2">
        <f t="shared" si="210"/>
        <v>23.28222222222222</v>
      </c>
      <c r="X215" s="2">
        <f t="shared" si="210"/>
        <v>25.612777777777779</v>
      </c>
      <c r="Y215" s="2">
        <f t="shared" si="210"/>
        <v>33.460555555555565</v>
      </c>
      <c r="Z215" s="2">
        <f t="shared" si="210"/>
        <v>26.136666666666667</v>
      </c>
      <c r="AA215" s="2">
        <f t="shared" si="210"/>
        <v>52.183333333333337</v>
      </c>
      <c r="AB215" s="2">
        <f t="shared" si="210"/>
        <v>55.386111111111113</v>
      </c>
      <c r="AC215" s="2">
        <f t="shared" si="210"/>
        <v>60.171111111111109</v>
      </c>
      <c r="AD215" s="2">
        <f t="shared" si="210"/>
        <v>29.972777777777779</v>
      </c>
      <c r="AE215" s="2">
        <f t="shared" si="210"/>
        <v>80.800555555555547</v>
      </c>
      <c r="AF215" s="2">
        <f t="shared" si="210"/>
        <v>55.386666666666663</v>
      </c>
      <c r="AG215" s="2">
        <f t="shared" si="210"/>
        <v>50.827777777777776</v>
      </c>
      <c r="AH215" s="2">
        <f t="shared" si="210"/>
        <v>55.386111111111113</v>
      </c>
      <c r="AI215" s="2">
        <f t="shared" si="210"/>
        <v>9.36</v>
      </c>
      <c r="AK215" s="2">
        <f>(B215+T215)/2</f>
        <v>22.718611111111112</v>
      </c>
      <c r="AL215" s="2">
        <f t="shared" ref="AL215:AL216" si="211">(C215+U215)/2</f>
        <v>30.18288888888889</v>
      </c>
      <c r="AM215" s="2">
        <f t="shared" ref="AM215:AM216" si="212">(D215+V215)/2</f>
        <v>27.670222222222222</v>
      </c>
      <c r="AN215" s="2">
        <f t="shared" ref="AN215:AN216" si="213">(E215+W215)/2</f>
        <v>23.387111111111111</v>
      </c>
      <c r="AO215" s="2">
        <f t="shared" ref="AO215:AO216" si="214">(F215+X215)/2</f>
        <v>27.872388888888885</v>
      </c>
      <c r="AP215" s="2">
        <f t="shared" ref="AP215:AP216" si="215">(G215+Y215)/2</f>
        <v>30.362111111111115</v>
      </c>
      <c r="AQ215" s="2">
        <f t="shared" ref="AQ215:AQ216" si="216">(H215+Z215)/2</f>
        <v>25.596499999999999</v>
      </c>
      <c r="AR215" s="2">
        <f t="shared" ref="AR215:AR216" si="217">(I215+AA215)/2</f>
        <v>52.279000000000011</v>
      </c>
      <c r="AS215" s="2">
        <f t="shared" ref="AS215:AS216" si="218">(J215+AB215)/2</f>
        <v>55.203222222222223</v>
      </c>
      <c r="AT215" s="2">
        <f t="shared" ref="AT215:AT216" si="219">(K215+AC215)/2</f>
        <v>60.885055555555553</v>
      </c>
      <c r="AU215" s="2">
        <f t="shared" ref="AU215:AU216" si="220">(L215+AD215)/2</f>
        <v>27.670222222222222</v>
      </c>
      <c r="AV215" s="2">
        <f t="shared" ref="AV215:AV216" si="221">(M215+AE215)/2</f>
        <v>82.736611111111102</v>
      </c>
      <c r="AW215" s="2">
        <f t="shared" ref="AW215:AW216" si="222">(N215+AF215)/2</f>
        <v>55.203416666666662</v>
      </c>
      <c r="AX215" s="2">
        <f t="shared" ref="AX215:AX216" si="223">(O215+AG215)/2</f>
        <v>55.258222222222223</v>
      </c>
      <c r="AY215" s="2">
        <f t="shared" ref="AY215:AY216" si="224">(P215+AH215)/2</f>
        <v>55.203222222222223</v>
      </c>
      <c r="AZ215" s="2">
        <f>(Q215+AI215)/2</f>
        <v>9.543333333333333</v>
      </c>
    </row>
    <row r="216" spans="1:52" x14ac:dyDescent="0.25">
      <c r="B216" s="2">
        <f>_xlfn.STDEV.S(B212:B214)</f>
        <v>0.59389757815075861</v>
      </c>
      <c r="C216" s="2">
        <f t="shared" ref="C216:Q216" si="225">_xlfn.STDEV.S(C212:C214)</f>
        <v>2.8353254369354763</v>
      </c>
      <c r="D216" s="2">
        <f t="shared" si="225"/>
        <v>3.4398770811372046</v>
      </c>
      <c r="E216" s="2">
        <f t="shared" si="225"/>
        <v>1.3949035808972599</v>
      </c>
      <c r="F216" s="2">
        <f t="shared" si="225"/>
        <v>0.29768607626155752</v>
      </c>
      <c r="G216" s="2">
        <f t="shared" si="225"/>
        <v>3.094117698687838</v>
      </c>
      <c r="H216" s="2">
        <f t="shared" si="225"/>
        <v>2.1182495918407147</v>
      </c>
      <c r="I216" s="2">
        <f t="shared" si="225"/>
        <v>0.8731072862674647</v>
      </c>
      <c r="J216" s="2">
        <f t="shared" si="225"/>
        <v>0.77057792164928596</v>
      </c>
      <c r="K216" s="2">
        <f t="shared" si="225"/>
        <v>0.86963843061354729</v>
      </c>
      <c r="L216" s="2">
        <f t="shared" si="225"/>
        <v>3.4398770811372046</v>
      </c>
      <c r="M216" s="2">
        <f t="shared" si="225"/>
        <v>2.0077475770956164</v>
      </c>
      <c r="N216" s="2">
        <f t="shared" si="225"/>
        <v>0.77079996324165556</v>
      </c>
      <c r="O216" s="2">
        <f t="shared" si="225"/>
        <v>4.9373337271581459</v>
      </c>
      <c r="P216" s="2">
        <f t="shared" si="225"/>
        <v>0.77057792164928596</v>
      </c>
      <c r="Q216" s="2">
        <f t="shared" si="225"/>
        <v>1.3570314415419151</v>
      </c>
      <c r="T216" s="2">
        <f>_xlfn.STDEV.S(T212:T214)</f>
        <v>0.18458913334253446</v>
      </c>
      <c r="U216" s="2">
        <f t="shared" ref="U216:AI216" si="226">_xlfn.STDEV.S(U212:U214)</f>
        <v>0.44004524178181226</v>
      </c>
      <c r="V216" s="2">
        <f t="shared" si="226"/>
        <v>0.3741001549397267</v>
      </c>
      <c r="W216" s="2">
        <f t="shared" si="226"/>
        <v>0.47286459576280843</v>
      </c>
      <c r="X216" s="2">
        <f t="shared" si="226"/>
        <v>0.15520893922327789</v>
      </c>
      <c r="Y216" s="2">
        <f t="shared" si="226"/>
        <v>1.1741785938988907</v>
      </c>
      <c r="Z216" s="2">
        <f t="shared" si="226"/>
        <v>0.35770487525022382</v>
      </c>
      <c r="AA216" s="2">
        <f t="shared" si="226"/>
        <v>0.30693828550885166</v>
      </c>
      <c r="AB216" s="2">
        <f t="shared" si="226"/>
        <v>0.24072998551473399</v>
      </c>
      <c r="AC216" s="2">
        <f t="shared" si="226"/>
        <v>0.36479953906728985</v>
      </c>
      <c r="AD216" s="2">
        <f t="shared" si="226"/>
        <v>0.3741001549397267</v>
      </c>
      <c r="AE216" s="2">
        <f t="shared" si="226"/>
        <v>0.76252018795376464</v>
      </c>
      <c r="AF216" s="2">
        <f t="shared" si="226"/>
        <v>0.24039464081657413</v>
      </c>
      <c r="AG216" s="2">
        <f t="shared" si="226"/>
        <v>1.099097272681</v>
      </c>
      <c r="AH216" s="2">
        <f t="shared" si="226"/>
        <v>0.24072998551473399</v>
      </c>
      <c r="AI216" s="2">
        <f t="shared" si="226"/>
        <v>0.40817003537469237</v>
      </c>
      <c r="AK216" s="2">
        <f>(B216+T216)/2</f>
        <v>0.38924335574664654</v>
      </c>
      <c r="AL216" s="2">
        <f t="shared" si="211"/>
        <v>1.6376853393586444</v>
      </c>
      <c r="AM216" s="2">
        <f t="shared" si="212"/>
        <v>1.9069886180384656</v>
      </c>
      <c r="AN216" s="2">
        <f t="shared" si="213"/>
        <v>0.93388408833003411</v>
      </c>
      <c r="AO216" s="2">
        <f t="shared" si="214"/>
        <v>0.2264475077424177</v>
      </c>
      <c r="AP216" s="2">
        <f t="shared" si="215"/>
        <v>2.1341481462933642</v>
      </c>
      <c r="AQ216" s="2">
        <f t="shared" si="216"/>
        <v>1.2379772335454693</v>
      </c>
      <c r="AR216" s="2">
        <f t="shared" si="217"/>
        <v>0.59002278588815815</v>
      </c>
      <c r="AS216" s="2">
        <f t="shared" si="218"/>
        <v>0.50565395358200993</v>
      </c>
      <c r="AT216" s="2">
        <f t="shared" si="219"/>
        <v>0.61721898484041859</v>
      </c>
      <c r="AU216" s="2">
        <f t="shared" si="220"/>
        <v>1.9069886180384656</v>
      </c>
      <c r="AV216" s="2">
        <f t="shared" si="221"/>
        <v>1.3851338825246904</v>
      </c>
      <c r="AW216" s="2">
        <f t="shared" si="222"/>
        <v>0.5055973020291149</v>
      </c>
      <c r="AX216" s="2">
        <f t="shared" si="223"/>
        <v>3.0182154999195729</v>
      </c>
      <c r="AY216" s="2">
        <f t="shared" si="224"/>
        <v>0.50565395358200993</v>
      </c>
      <c r="AZ216" s="2">
        <f t="shared" ref="AZ216" si="227">(Q216+AI216)/2</f>
        <v>0.88260073845830378</v>
      </c>
    </row>
    <row r="218" spans="1:52" x14ac:dyDescent="0.25">
      <c r="A218" s="1" t="s">
        <v>23</v>
      </c>
      <c r="B218">
        <v>27.321999999999996</v>
      </c>
      <c r="C218">
        <v>27.384000000000004</v>
      </c>
      <c r="D218">
        <v>40.400999999999996</v>
      </c>
      <c r="E218">
        <v>30.169999999999998</v>
      </c>
      <c r="F218">
        <v>28.589999999999993</v>
      </c>
      <c r="G218">
        <v>40.315999999999995</v>
      </c>
      <c r="H218">
        <v>32.393999999999998</v>
      </c>
      <c r="I218">
        <v>55.309000000000005</v>
      </c>
      <c r="J218">
        <v>58.852999999999994</v>
      </c>
      <c r="K218">
        <v>63.762</v>
      </c>
      <c r="L218">
        <v>40.400999999999996</v>
      </c>
      <c r="M218">
        <v>77.301999999999992</v>
      </c>
      <c r="N218">
        <v>58.851500000000001</v>
      </c>
      <c r="O218">
        <v>36.902000000000001</v>
      </c>
      <c r="P218">
        <v>58.852999999999994</v>
      </c>
      <c r="Q218">
        <v>14.396000000000001</v>
      </c>
      <c r="S218" s="1" t="s">
        <v>23</v>
      </c>
      <c r="T218">
        <v>21.973333333333333</v>
      </c>
      <c r="U218">
        <v>22.456666666666667</v>
      </c>
      <c r="V218">
        <v>40.093333333333334</v>
      </c>
      <c r="W218">
        <v>27.375</v>
      </c>
      <c r="X218">
        <v>24.113333333333333</v>
      </c>
      <c r="Y218">
        <v>42.338333333333331</v>
      </c>
      <c r="Z218">
        <v>29.981666666666669</v>
      </c>
      <c r="AA218">
        <v>54.09</v>
      </c>
      <c r="AB218">
        <v>57.861666666666672</v>
      </c>
      <c r="AC218">
        <v>62.101666666666659</v>
      </c>
      <c r="AD218">
        <v>40.093333333333334</v>
      </c>
      <c r="AE218">
        <v>75.63</v>
      </c>
      <c r="AF218">
        <v>57.861666666666672</v>
      </c>
      <c r="AG218">
        <v>35.536666666666662</v>
      </c>
      <c r="AH218">
        <v>57.861666666666672</v>
      </c>
      <c r="AI218">
        <v>12.373333333333335</v>
      </c>
    </row>
    <row r="219" spans="1:52" x14ac:dyDescent="0.25">
      <c r="B219">
        <v>27.298000000000002</v>
      </c>
      <c r="C219">
        <v>27.614999999999998</v>
      </c>
      <c r="D219">
        <v>42.338000000000001</v>
      </c>
      <c r="E219">
        <v>31.246999999999996</v>
      </c>
      <c r="F219">
        <v>28.947999999999997</v>
      </c>
      <c r="G219">
        <v>42.470999999999997</v>
      </c>
      <c r="H219">
        <v>33.451999999999998</v>
      </c>
      <c r="I219">
        <v>55.653999999999996</v>
      </c>
      <c r="J219">
        <v>59.351999999999997</v>
      </c>
      <c r="K219">
        <v>64.193999999999988</v>
      </c>
      <c r="L219">
        <v>42.338000000000001</v>
      </c>
      <c r="M219">
        <v>76.363000000000014</v>
      </c>
      <c r="N219">
        <v>59.350499999999997</v>
      </c>
      <c r="O219">
        <v>34.024000000000001</v>
      </c>
      <c r="P219">
        <v>59.351999999999997</v>
      </c>
      <c r="Q219">
        <v>15.106</v>
      </c>
      <c r="T219">
        <v>22.689999999999998</v>
      </c>
      <c r="U219">
        <v>22.876666666666665</v>
      </c>
      <c r="V219">
        <v>42.074999999999996</v>
      </c>
      <c r="W219">
        <v>27.998333333333335</v>
      </c>
      <c r="X219">
        <v>23.941666666666663</v>
      </c>
      <c r="Y219">
        <v>44.005000000000003</v>
      </c>
      <c r="Z219">
        <v>30.129999999999995</v>
      </c>
      <c r="AA219">
        <v>54.053333333333335</v>
      </c>
      <c r="AB219">
        <v>58.201666666666675</v>
      </c>
      <c r="AC219">
        <v>62.266666666666659</v>
      </c>
      <c r="AD219">
        <v>42.074999999999996</v>
      </c>
      <c r="AE219">
        <v>74.33</v>
      </c>
      <c r="AF219">
        <v>58.202499999999993</v>
      </c>
      <c r="AG219">
        <v>32.256666666666668</v>
      </c>
      <c r="AH219">
        <v>58.201666666666675</v>
      </c>
      <c r="AI219">
        <v>13.036666666666667</v>
      </c>
    </row>
    <row r="220" spans="1:52" x14ac:dyDescent="0.25">
      <c r="B220">
        <v>27.139999999999997</v>
      </c>
      <c r="C220">
        <v>27.729000000000003</v>
      </c>
      <c r="D220">
        <v>38.957000000000001</v>
      </c>
      <c r="E220">
        <v>30.279000000000003</v>
      </c>
      <c r="F220">
        <v>29.304000000000002</v>
      </c>
      <c r="G220">
        <v>39.673000000000002</v>
      </c>
      <c r="H220">
        <v>32.948</v>
      </c>
      <c r="I220">
        <v>55.622</v>
      </c>
      <c r="J220">
        <v>58.585999999999999</v>
      </c>
      <c r="K220">
        <v>63.666999999999987</v>
      </c>
      <c r="L220">
        <v>38.957000000000001</v>
      </c>
      <c r="M220">
        <v>78.212000000000003</v>
      </c>
      <c r="N220">
        <v>58.584500000000006</v>
      </c>
      <c r="O220">
        <v>39.254999999999995</v>
      </c>
      <c r="P220">
        <v>58.585999999999999</v>
      </c>
      <c r="Q220">
        <v>14.392000000000001</v>
      </c>
      <c r="T220">
        <v>22.626666666666665</v>
      </c>
      <c r="U220">
        <v>22.574999999999999</v>
      </c>
      <c r="V220">
        <v>43.656666666666666</v>
      </c>
      <c r="W220">
        <v>28.364999999999998</v>
      </c>
      <c r="X220">
        <v>23.558333333333334</v>
      </c>
      <c r="Y220">
        <v>45.106666666666676</v>
      </c>
      <c r="Z220">
        <v>30.125</v>
      </c>
      <c r="AA220">
        <v>53.918333333333344</v>
      </c>
      <c r="AB220">
        <v>58.383333333333326</v>
      </c>
      <c r="AC220">
        <v>62.330000000000005</v>
      </c>
      <c r="AD220">
        <v>43.656666666666666</v>
      </c>
      <c r="AE220">
        <v>73.114999999999995</v>
      </c>
      <c r="AF220">
        <v>58.385833333333331</v>
      </c>
      <c r="AG220">
        <v>29.461666666666662</v>
      </c>
      <c r="AH220">
        <v>58.383333333333326</v>
      </c>
      <c r="AI220">
        <v>13.096666666666666</v>
      </c>
    </row>
    <row r="221" spans="1:52" x14ac:dyDescent="0.25">
      <c r="B221" s="2">
        <f t="shared" ref="B221:Q221" si="228">AVERAGE(B218:B220)</f>
        <v>27.25333333333333</v>
      </c>
      <c r="C221" s="2">
        <f t="shared" si="228"/>
        <v>27.576000000000004</v>
      </c>
      <c r="D221" s="2">
        <f t="shared" si="228"/>
        <v>40.565333333333335</v>
      </c>
      <c r="E221" s="2">
        <f t="shared" si="228"/>
        <v>30.565333333333331</v>
      </c>
      <c r="F221" s="2">
        <f t="shared" si="228"/>
        <v>28.947333333333329</v>
      </c>
      <c r="G221" s="2">
        <f t="shared" si="228"/>
        <v>40.82</v>
      </c>
      <c r="H221" s="2">
        <f t="shared" si="228"/>
        <v>32.931333333333335</v>
      </c>
      <c r="I221" s="2">
        <f t="shared" si="228"/>
        <v>55.528333333333329</v>
      </c>
      <c r="J221" s="2">
        <f t="shared" si="228"/>
        <v>58.93033333333333</v>
      </c>
      <c r="K221" s="2">
        <f t="shared" si="228"/>
        <v>63.874333333333333</v>
      </c>
      <c r="L221" s="2">
        <f t="shared" si="228"/>
        <v>40.565333333333335</v>
      </c>
      <c r="M221" s="2">
        <f t="shared" si="228"/>
        <v>77.292333333333332</v>
      </c>
      <c r="N221" s="2">
        <f t="shared" si="228"/>
        <v>58.92883333333333</v>
      </c>
      <c r="O221" s="2">
        <f t="shared" si="228"/>
        <v>36.726999999999997</v>
      </c>
      <c r="P221" s="2">
        <f t="shared" si="228"/>
        <v>58.93033333333333</v>
      </c>
      <c r="Q221" s="2">
        <f t="shared" si="228"/>
        <v>14.631333333333336</v>
      </c>
      <c r="T221" s="2">
        <f>AVERAGE(T218:T220)</f>
        <v>22.429999999999996</v>
      </c>
      <c r="U221" s="2">
        <f t="shared" ref="U221:AI221" si="229">AVERAGE(U218:U220)</f>
        <v>22.636111111111109</v>
      </c>
      <c r="V221" s="2">
        <f t="shared" si="229"/>
        <v>41.941666666666663</v>
      </c>
      <c r="W221" s="2">
        <f t="shared" si="229"/>
        <v>27.912777777777777</v>
      </c>
      <c r="X221" s="2">
        <f t="shared" si="229"/>
        <v>23.871111111111109</v>
      </c>
      <c r="Y221" s="2">
        <f t="shared" si="229"/>
        <v>43.81666666666667</v>
      </c>
      <c r="Z221" s="2">
        <f t="shared" si="229"/>
        <v>30.078888888888887</v>
      </c>
      <c r="AA221" s="2">
        <f t="shared" si="229"/>
        <v>54.020555555555568</v>
      </c>
      <c r="AB221" s="2">
        <f t="shared" si="229"/>
        <v>58.148888888888884</v>
      </c>
      <c r="AC221" s="2">
        <f t="shared" si="229"/>
        <v>62.232777777777777</v>
      </c>
      <c r="AD221" s="2">
        <f t="shared" si="229"/>
        <v>41.941666666666663</v>
      </c>
      <c r="AE221" s="2">
        <f t="shared" si="229"/>
        <v>74.358333333333334</v>
      </c>
      <c r="AF221" s="2">
        <f t="shared" si="229"/>
        <v>58.15</v>
      </c>
      <c r="AG221" s="2">
        <f t="shared" si="229"/>
        <v>32.418333333333329</v>
      </c>
      <c r="AH221" s="2">
        <f t="shared" si="229"/>
        <v>58.148888888888884</v>
      </c>
      <c r="AI221" s="2">
        <f t="shared" si="229"/>
        <v>12.835555555555556</v>
      </c>
      <c r="AK221" s="2">
        <f>(B221+T221)/2</f>
        <v>24.841666666666661</v>
      </c>
      <c r="AL221" s="2">
        <f t="shared" ref="AL221:AL222" si="230">(C221+U221)/2</f>
        <v>25.106055555555557</v>
      </c>
      <c r="AM221" s="2">
        <f t="shared" ref="AM221:AM222" si="231">(D221+V221)/2</f>
        <v>41.253500000000003</v>
      </c>
      <c r="AN221" s="2">
        <f t="shared" ref="AN221:AN222" si="232">(E221+W221)/2</f>
        <v>29.239055555555552</v>
      </c>
      <c r="AO221" s="2">
        <f t="shared" ref="AO221:AO222" si="233">(F221+X221)/2</f>
        <v>26.409222222222219</v>
      </c>
      <c r="AP221" s="2">
        <f t="shared" ref="AP221:AP222" si="234">(G221+Y221)/2</f>
        <v>42.318333333333335</v>
      </c>
      <c r="AQ221" s="2">
        <f t="shared" ref="AQ221:AQ222" si="235">(H221+Z221)/2</f>
        <v>31.505111111111113</v>
      </c>
      <c r="AR221" s="2">
        <f t="shared" ref="AR221:AR222" si="236">(I221+AA221)/2</f>
        <v>54.774444444444448</v>
      </c>
      <c r="AS221" s="2">
        <f t="shared" ref="AS221:AS222" si="237">(J221+AB221)/2</f>
        <v>58.539611111111107</v>
      </c>
      <c r="AT221" s="2">
        <f t="shared" ref="AT221:AT222" si="238">(K221+AC221)/2</f>
        <v>63.053555555555555</v>
      </c>
      <c r="AU221" s="2">
        <f t="shared" ref="AU221:AU222" si="239">(L221+AD221)/2</f>
        <v>41.253500000000003</v>
      </c>
      <c r="AV221" s="2">
        <f t="shared" ref="AV221:AV222" si="240">(M221+AE221)/2</f>
        <v>75.825333333333333</v>
      </c>
      <c r="AW221" s="2">
        <f t="shared" ref="AW221:AW222" si="241">(N221+AF221)/2</f>
        <v>58.539416666666668</v>
      </c>
      <c r="AX221" s="2">
        <f t="shared" ref="AX221:AX222" si="242">(O221+AG221)/2</f>
        <v>34.572666666666663</v>
      </c>
      <c r="AY221" s="2">
        <f t="shared" ref="AY221:AY222" si="243">(P221+AH221)/2</f>
        <v>58.539611111111107</v>
      </c>
      <c r="AZ221" s="2">
        <f>(Q221+AI221)/2</f>
        <v>13.733444444444446</v>
      </c>
    </row>
    <row r="222" spans="1:52" x14ac:dyDescent="0.25">
      <c r="B222" s="2">
        <f>_xlfn.STDEV.S(B218:B220)</f>
        <v>9.8880399136196104E-2</v>
      </c>
      <c r="C222" s="2">
        <f t="shared" ref="C222:Q222" si="244">_xlfn.STDEV.S(C218:C220)</f>
        <v>0.17577542490348191</v>
      </c>
      <c r="D222" s="2">
        <f t="shared" si="244"/>
        <v>1.696479983180861</v>
      </c>
      <c r="E222" s="2">
        <f t="shared" si="244"/>
        <v>0.59285102119616062</v>
      </c>
      <c r="F222" s="2">
        <f t="shared" si="244"/>
        <v>0.35700046685310738</v>
      </c>
      <c r="G222" s="2">
        <f t="shared" si="244"/>
        <v>1.4655077618354653</v>
      </c>
      <c r="H222" s="2">
        <f t="shared" si="244"/>
        <v>0.52919687577812968</v>
      </c>
      <c r="I222" s="2">
        <f t="shared" si="244"/>
        <v>0.19062091525677832</v>
      </c>
      <c r="J222" s="2">
        <f t="shared" si="244"/>
        <v>0.38881143673165391</v>
      </c>
      <c r="K222" s="2">
        <f t="shared" si="244"/>
        <v>0.28088491118842995</v>
      </c>
      <c r="L222" s="2">
        <f t="shared" si="244"/>
        <v>1.696479983180861</v>
      </c>
      <c r="M222" s="2">
        <f t="shared" si="244"/>
        <v>0.92453790259422219</v>
      </c>
      <c r="N222" s="2">
        <f t="shared" si="244"/>
        <v>0.38881143673165003</v>
      </c>
      <c r="O222" s="2">
        <f t="shared" si="244"/>
        <v>2.6198872113127289</v>
      </c>
      <c r="P222" s="2">
        <f t="shared" si="244"/>
        <v>0.38881143673165391</v>
      </c>
      <c r="Q222" s="2">
        <f t="shared" si="244"/>
        <v>0.41107825694547845</v>
      </c>
      <c r="T222" s="2">
        <f>_xlfn.STDEV.S(T218:T220)</f>
        <v>0.3967506913807593</v>
      </c>
      <c r="U222" s="2">
        <f t="shared" ref="U222:AI222" si="245">_xlfn.STDEV.S(U218:U220)</f>
        <v>0.21656621603086099</v>
      </c>
      <c r="V222" s="2">
        <f t="shared" si="245"/>
        <v>1.7854045604412583</v>
      </c>
      <c r="W222" s="2">
        <f t="shared" si="245"/>
        <v>0.50051455005305712</v>
      </c>
      <c r="X222" s="2">
        <f t="shared" si="245"/>
        <v>0.28414752297849522</v>
      </c>
      <c r="Y222" s="2">
        <f t="shared" si="245"/>
        <v>1.3937429621147728</v>
      </c>
      <c r="Z222" s="2">
        <f t="shared" si="245"/>
        <v>8.4234021454338143E-2</v>
      </c>
      <c r="AA222" s="2">
        <f t="shared" si="245"/>
        <v>9.040546525596431E-2</v>
      </c>
      <c r="AB222" s="2">
        <f t="shared" si="245"/>
        <v>0.26480775696369879</v>
      </c>
      <c r="AC222" s="2">
        <f t="shared" si="245"/>
        <v>0.11787862558738785</v>
      </c>
      <c r="AD222" s="2">
        <f t="shared" si="245"/>
        <v>1.7854045604412583</v>
      </c>
      <c r="AE222" s="2">
        <f t="shared" si="245"/>
        <v>1.2577393741683267</v>
      </c>
      <c r="AF222" s="2">
        <f t="shared" si="245"/>
        <v>0.26599785922279279</v>
      </c>
      <c r="AG222" s="2">
        <f t="shared" si="245"/>
        <v>3.0407249683806215</v>
      </c>
      <c r="AH222" s="2">
        <f t="shared" si="245"/>
        <v>0.26480775696369879</v>
      </c>
      <c r="AI222" s="2">
        <f t="shared" si="245"/>
        <v>0.40141878012499138</v>
      </c>
      <c r="AK222" s="2">
        <f>(B222+T222)/2</f>
        <v>0.24781554525847771</v>
      </c>
      <c r="AL222" s="2">
        <f t="shared" si="230"/>
        <v>0.19617082046717144</v>
      </c>
      <c r="AM222" s="2">
        <f t="shared" si="231"/>
        <v>1.7409422718110596</v>
      </c>
      <c r="AN222" s="2">
        <f t="shared" si="232"/>
        <v>0.54668278562460881</v>
      </c>
      <c r="AO222" s="2">
        <f t="shared" si="233"/>
        <v>0.3205739949158013</v>
      </c>
      <c r="AP222" s="2">
        <f t="shared" si="234"/>
        <v>1.4296253619751189</v>
      </c>
      <c r="AQ222" s="2">
        <f t="shared" si="235"/>
        <v>0.3067154486162339</v>
      </c>
      <c r="AR222" s="2">
        <f t="shared" si="236"/>
        <v>0.14051319025637132</v>
      </c>
      <c r="AS222" s="2">
        <f t="shared" si="237"/>
        <v>0.32680959684767635</v>
      </c>
      <c r="AT222" s="2">
        <f t="shared" si="238"/>
        <v>0.19938176838790889</v>
      </c>
      <c r="AU222" s="2">
        <f t="shared" si="239"/>
        <v>1.7409422718110596</v>
      </c>
      <c r="AV222" s="2">
        <f t="shared" si="240"/>
        <v>1.0911386383812745</v>
      </c>
      <c r="AW222" s="2">
        <f t="shared" si="241"/>
        <v>0.32740464797722141</v>
      </c>
      <c r="AX222" s="2">
        <f t="shared" si="242"/>
        <v>2.8303060898466752</v>
      </c>
      <c r="AY222" s="2">
        <f t="shared" si="243"/>
        <v>0.32680959684767635</v>
      </c>
      <c r="AZ222" s="2">
        <f t="shared" ref="AZ222" si="246">(Q222+AI222)/2</f>
        <v>0.40624851853523491</v>
      </c>
    </row>
    <row r="224" spans="1:52" x14ac:dyDescent="0.25">
      <c r="A224" s="1" t="s">
        <v>24</v>
      </c>
      <c r="B224">
        <v>22.470000000000002</v>
      </c>
      <c r="C224">
        <v>23.425000000000001</v>
      </c>
      <c r="D224">
        <v>29.302999999999997</v>
      </c>
      <c r="E224">
        <v>23.256999999999998</v>
      </c>
      <c r="F224">
        <v>24.640999999999998</v>
      </c>
      <c r="G224">
        <v>29.270999999999997</v>
      </c>
      <c r="H224">
        <v>24.868999999999996</v>
      </c>
      <c r="I224">
        <v>51.854999999999997</v>
      </c>
      <c r="J224">
        <v>54.417999999999992</v>
      </c>
      <c r="K224">
        <v>57.4</v>
      </c>
      <c r="L224">
        <v>29.302999999999997</v>
      </c>
      <c r="M224">
        <v>79.530999999999992</v>
      </c>
      <c r="N224">
        <v>54.416999999999994</v>
      </c>
      <c r="O224">
        <v>50.273999999999994</v>
      </c>
      <c r="P224">
        <v>54.417999999999992</v>
      </c>
      <c r="Q224">
        <v>7.4099999999999993</v>
      </c>
      <c r="S224" s="1" t="s">
        <v>24</v>
      </c>
      <c r="T224">
        <v>18.723333333333336</v>
      </c>
      <c r="U224">
        <v>18.888333333333332</v>
      </c>
      <c r="V224">
        <v>35.853333333333332</v>
      </c>
      <c r="W224">
        <v>23.03</v>
      </c>
      <c r="X224">
        <v>19.561666666666667</v>
      </c>
      <c r="Y224">
        <v>37.338333333333338</v>
      </c>
      <c r="Z224">
        <v>24.513333333333335</v>
      </c>
      <c r="AA224">
        <v>50.245000000000005</v>
      </c>
      <c r="AB224">
        <v>53.873333333333335</v>
      </c>
      <c r="AC224">
        <v>55.910000000000004</v>
      </c>
      <c r="AD224">
        <v>35.853333333333332</v>
      </c>
      <c r="AE224">
        <v>71.896666666666661</v>
      </c>
      <c r="AF224">
        <v>53.875</v>
      </c>
      <c r="AG224">
        <v>36.043333333333329</v>
      </c>
      <c r="AH224">
        <v>53.873333333333335</v>
      </c>
      <c r="AI224">
        <v>6.169999999999999</v>
      </c>
    </row>
    <row r="225" spans="1:52" x14ac:dyDescent="0.25">
      <c r="A225" s="1"/>
      <c r="B225">
        <v>22.575000000000003</v>
      </c>
      <c r="C225">
        <v>25.986000000000001</v>
      </c>
      <c r="D225">
        <v>25.582999999999998</v>
      </c>
      <c r="E225">
        <v>21.719000000000001</v>
      </c>
      <c r="F225">
        <v>25.100999999999999</v>
      </c>
      <c r="G225">
        <v>25.949000000000002</v>
      </c>
      <c r="H225">
        <v>24.036000000000001</v>
      </c>
      <c r="I225">
        <v>51.808000000000007</v>
      </c>
      <c r="J225">
        <v>53.893000000000008</v>
      </c>
      <c r="K225">
        <v>56.4</v>
      </c>
      <c r="L225">
        <v>25.582999999999998</v>
      </c>
      <c r="M225">
        <v>82.206999999999994</v>
      </c>
      <c r="N225">
        <v>53.895000000000003</v>
      </c>
      <c r="O225">
        <v>56.624000000000002</v>
      </c>
      <c r="P225">
        <v>53.893000000000008</v>
      </c>
      <c r="Q225">
        <v>6.992</v>
      </c>
      <c r="S225" s="1"/>
      <c r="T225">
        <v>18.441666666666666</v>
      </c>
      <c r="U225">
        <v>19.418333333333333</v>
      </c>
      <c r="V225">
        <v>25.335000000000004</v>
      </c>
      <c r="W225">
        <v>20.171666666666667</v>
      </c>
      <c r="X225">
        <v>20.686666666666667</v>
      </c>
      <c r="Y225">
        <v>26.833333333333332</v>
      </c>
      <c r="Z225">
        <v>21.881666666666664</v>
      </c>
      <c r="AA225">
        <v>51.583333333333336</v>
      </c>
      <c r="AB225">
        <v>53.236666666666657</v>
      </c>
      <c r="AC225">
        <v>55.651666666666671</v>
      </c>
      <c r="AD225">
        <v>25.335000000000004</v>
      </c>
      <c r="AE225">
        <v>81.136666666666656</v>
      </c>
      <c r="AF225">
        <v>53.235833333333325</v>
      </c>
      <c r="AG225">
        <v>55.801666666666669</v>
      </c>
      <c r="AH225">
        <v>53.236666666666657</v>
      </c>
      <c r="AI225">
        <v>5.6883333333333335</v>
      </c>
    </row>
    <row r="226" spans="1:52" x14ac:dyDescent="0.25">
      <c r="A226" s="1"/>
      <c r="B226">
        <v>22.550999999999998</v>
      </c>
      <c r="C226">
        <v>22.628999999999998</v>
      </c>
      <c r="D226">
        <v>40.744999999999997</v>
      </c>
      <c r="E226">
        <v>26.835000000000001</v>
      </c>
      <c r="F226">
        <v>22.936</v>
      </c>
      <c r="G226">
        <v>40.316000000000003</v>
      </c>
      <c r="H226">
        <v>28.251999999999999</v>
      </c>
      <c r="I226">
        <v>50.914999999999999</v>
      </c>
      <c r="J226">
        <v>55.095000000000006</v>
      </c>
      <c r="K226">
        <v>57.108999999999995</v>
      </c>
      <c r="L226">
        <v>40.744999999999997</v>
      </c>
      <c r="M226">
        <v>69.441999999999993</v>
      </c>
      <c r="N226">
        <v>55.093500000000006</v>
      </c>
      <c r="O226">
        <v>28.695999999999998</v>
      </c>
      <c r="P226">
        <v>55.095000000000006</v>
      </c>
      <c r="Q226">
        <v>7.7370000000000001</v>
      </c>
      <c r="S226" s="1"/>
      <c r="T226">
        <v>18.483333333333331</v>
      </c>
      <c r="U226">
        <v>19.551666666666666</v>
      </c>
      <c r="V226">
        <v>29.384999999999994</v>
      </c>
      <c r="W226">
        <v>21.676666666666666</v>
      </c>
      <c r="X226">
        <v>20.761666666666667</v>
      </c>
      <c r="Y226">
        <v>31.008333333333329</v>
      </c>
      <c r="Z226">
        <v>23.498333333333335</v>
      </c>
      <c r="AA226">
        <v>51.54666666666666</v>
      </c>
      <c r="AB226">
        <v>53.806666666666672</v>
      </c>
      <c r="AC226">
        <v>55.25333333333333</v>
      </c>
      <c r="AD226">
        <v>29.384999999999994</v>
      </c>
      <c r="AE226">
        <v>78.226666666666674</v>
      </c>
      <c r="AF226">
        <v>53.805833333333339</v>
      </c>
      <c r="AG226">
        <v>48.84</v>
      </c>
      <c r="AH226">
        <v>53.806666666666672</v>
      </c>
      <c r="AI226">
        <v>6.3999999999999995</v>
      </c>
    </row>
    <row r="227" spans="1:52" x14ac:dyDescent="0.25">
      <c r="A227" s="1"/>
      <c r="B227" s="2">
        <f>AVERAGE(B224:B226)</f>
        <v>22.532</v>
      </c>
      <c r="C227" s="2">
        <f t="shared" ref="C227:Q227" si="247">AVERAGE(C224:C226)</f>
        <v>24.013333333333332</v>
      </c>
      <c r="D227" s="2">
        <f t="shared" si="247"/>
        <v>31.876999999999999</v>
      </c>
      <c r="E227" s="2">
        <f t="shared" si="247"/>
        <v>23.937000000000001</v>
      </c>
      <c r="F227" s="2">
        <f t="shared" si="247"/>
        <v>24.225999999999999</v>
      </c>
      <c r="G227" s="2">
        <f t="shared" si="247"/>
        <v>31.845333333333333</v>
      </c>
      <c r="H227" s="2">
        <f t="shared" si="247"/>
        <v>25.718999999999998</v>
      </c>
      <c r="I227" s="2">
        <f t="shared" si="247"/>
        <v>51.526000000000003</v>
      </c>
      <c r="J227" s="2">
        <f t="shared" si="247"/>
        <v>54.468666666666671</v>
      </c>
      <c r="K227" s="2">
        <f t="shared" si="247"/>
        <v>56.969666666666662</v>
      </c>
      <c r="L227" s="2">
        <f t="shared" si="247"/>
        <v>31.876999999999999</v>
      </c>
      <c r="M227" s="2">
        <f t="shared" si="247"/>
        <v>77.06</v>
      </c>
      <c r="N227" s="2">
        <f t="shared" si="247"/>
        <v>54.468500000000006</v>
      </c>
      <c r="O227" s="2">
        <f t="shared" si="247"/>
        <v>45.198</v>
      </c>
      <c r="P227" s="2">
        <f t="shared" si="247"/>
        <v>54.468666666666671</v>
      </c>
      <c r="Q227" s="2">
        <f t="shared" si="247"/>
        <v>7.3796666666666662</v>
      </c>
      <c r="S227" s="1"/>
      <c r="T227" s="2">
        <f>AVERAGE(T224:T226)</f>
        <v>18.549444444444447</v>
      </c>
      <c r="U227" s="2">
        <f t="shared" ref="U227:AI227" si="248">AVERAGE(U224:U226)</f>
        <v>19.286111111111111</v>
      </c>
      <c r="V227" s="2">
        <f t="shared" si="248"/>
        <v>30.191111111111109</v>
      </c>
      <c r="W227" s="2">
        <f t="shared" si="248"/>
        <v>21.626111111111111</v>
      </c>
      <c r="X227" s="2">
        <f t="shared" si="248"/>
        <v>20.33666666666667</v>
      </c>
      <c r="Y227" s="2">
        <f t="shared" si="248"/>
        <v>31.726666666666663</v>
      </c>
      <c r="Z227" s="2">
        <f t="shared" si="248"/>
        <v>23.297777777777778</v>
      </c>
      <c r="AA227" s="2">
        <f t="shared" si="248"/>
        <v>51.125</v>
      </c>
      <c r="AB227" s="2">
        <f t="shared" si="248"/>
        <v>53.638888888888886</v>
      </c>
      <c r="AC227" s="2">
        <f t="shared" si="248"/>
        <v>55.604999999999997</v>
      </c>
      <c r="AD227" s="2">
        <f t="shared" si="248"/>
        <v>30.191111111111109</v>
      </c>
      <c r="AE227" s="2">
        <f t="shared" si="248"/>
        <v>77.086666666666659</v>
      </c>
      <c r="AF227" s="2">
        <f t="shared" si="248"/>
        <v>53.638888888888886</v>
      </c>
      <c r="AG227" s="2">
        <f t="shared" si="248"/>
        <v>46.895000000000003</v>
      </c>
      <c r="AH227" s="2">
        <f t="shared" si="248"/>
        <v>53.638888888888886</v>
      </c>
      <c r="AI227" s="2">
        <f t="shared" si="248"/>
        <v>6.0861111111111112</v>
      </c>
      <c r="AK227" s="2">
        <f>(B227+T227)/2</f>
        <v>20.540722222222222</v>
      </c>
      <c r="AL227" s="2">
        <f t="shared" ref="AL227:AL228" si="249">(C227+U227)/2</f>
        <v>21.649722222222223</v>
      </c>
      <c r="AM227" s="2">
        <f t="shared" ref="AM227:AM228" si="250">(D227+V227)/2</f>
        <v>31.034055555555554</v>
      </c>
      <c r="AN227" s="2">
        <f t="shared" ref="AN227:AN228" si="251">(E227+W227)/2</f>
        <v>22.781555555555556</v>
      </c>
      <c r="AO227" s="2">
        <f t="shared" ref="AO227:AO228" si="252">(F227+X227)/2</f>
        <v>22.281333333333336</v>
      </c>
      <c r="AP227" s="2">
        <f t="shared" ref="AP227:AP228" si="253">(G227+Y227)/2</f>
        <v>31.785999999999998</v>
      </c>
      <c r="AQ227" s="2">
        <f t="shared" ref="AQ227:AQ228" si="254">(H227+Z227)/2</f>
        <v>24.508388888888888</v>
      </c>
      <c r="AR227" s="2">
        <f t="shared" ref="AR227:AR228" si="255">(I227+AA227)/2</f>
        <v>51.325500000000005</v>
      </c>
      <c r="AS227" s="2">
        <f t="shared" ref="AS227:AS228" si="256">(J227+AB227)/2</f>
        <v>54.053777777777782</v>
      </c>
      <c r="AT227" s="2">
        <f t="shared" ref="AT227:AT228" si="257">(K227+AC227)/2</f>
        <v>56.287333333333329</v>
      </c>
      <c r="AU227" s="2">
        <f t="shared" ref="AU227:AU228" si="258">(L227+AD227)/2</f>
        <v>31.034055555555554</v>
      </c>
      <c r="AV227" s="2">
        <f t="shared" ref="AV227:AV228" si="259">(M227+AE227)/2</f>
        <v>77.073333333333323</v>
      </c>
      <c r="AW227" s="2">
        <f t="shared" ref="AW227:AW228" si="260">(N227+AF227)/2</f>
        <v>54.053694444444446</v>
      </c>
      <c r="AX227" s="2">
        <f t="shared" ref="AX227:AX228" si="261">(O227+AG227)/2</f>
        <v>46.046500000000002</v>
      </c>
      <c r="AY227" s="2">
        <f t="shared" ref="AY227:AY228" si="262">(P227+AH227)/2</f>
        <v>54.053777777777782</v>
      </c>
      <c r="AZ227" s="2">
        <f>(Q227+AI227)/2</f>
        <v>6.7328888888888887</v>
      </c>
    </row>
    <row r="228" spans="1:52" x14ac:dyDescent="0.25">
      <c r="A228" s="1"/>
      <c r="B228" s="2">
        <f>_xlfn.STDEV.S(B224:B226)</f>
        <v>5.5018178813915151E-2</v>
      </c>
      <c r="C228" s="2">
        <f t="shared" ref="C228:Q228" si="263">_xlfn.STDEV.S(C224:C226)</f>
        <v>1.7541277984609152</v>
      </c>
      <c r="D228" s="2">
        <f t="shared" si="263"/>
        <v>7.9019407742655048</v>
      </c>
      <c r="E228" s="2">
        <f t="shared" si="263"/>
        <v>2.6249121890074725</v>
      </c>
      <c r="F228" s="2">
        <f t="shared" si="263"/>
        <v>1.140602910745014</v>
      </c>
      <c r="G228" s="2">
        <f t="shared" si="263"/>
        <v>7.5215069190510713</v>
      </c>
      <c r="H228" s="2">
        <f t="shared" si="263"/>
        <v>2.232832058171863</v>
      </c>
      <c r="I228" s="2">
        <f t="shared" si="263"/>
        <v>0.52966310047047971</v>
      </c>
      <c r="J228" s="2">
        <f t="shared" si="263"/>
        <v>0.60259964597843318</v>
      </c>
      <c r="K228" s="2">
        <f t="shared" si="263"/>
        <v>0.51435428775634096</v>
      </c>
      <c r="L228" s="2">
        <f t="shared" si="263"/>
        <v>7.9019407742655048</v>
      </c>
      <c r="M228" s="2">
        <f t="shared" si="263"/>
        <v>6.7316927291729529</v>
      </c>
      <c r="N228" s="2">
        <f t="shared" si="263"/>
        <v>0.60090743879569519</v>
      </c>
      <c r="O228" s="2">
        <f t="shared" si="263"/>
        <v>14.639591114508622</v>
      </c>
      <c r="P228" s="2">
        <f t="shared" si="263"/>
        <v>0.60259964597843318</v>
      </c>
      <c r="Q228" s="2">
        <f t="shared" si="263"/>
        <v>0.37342513752201167</v>
      </c>
      <c r="S228" s="1"/>
      <c r="T228" s="2">
        <f>_xlfn.STDEV.S(T224:T226)</f>
        <v>0.15202643532306395</v>
      </c>
      <c r="U228" s="2">
        <f t="shared" ref="U228:AI228" si="264">_xlfn.STDEV.S(U224:U226)</f>
        <v>0.35087720760233931</v>
      </c>
      <c r="V228" s="2">
        <f t="shared" si="264"/>
        <v>5.3052988012335724</v>
      </c>
      <c r="W228" s="2">
        <f t="shared" si="264"/>
        <v>1.4298371443137363</v>
      </c>
      <c r="X228" s="2">
        <f t="shared" si="264"/>
        <v>0.67221648298743741</v>
      </c>
      <c r="Y228" s="2">
        <f t="shared" si="264"/>
        <v>5.2892115039326502</v>
      </c>
      <c r="Z228" s="2">
        <f t="shared" si="264"/>
        <v>1.3272468720095993</v>
      </c>
      <c r="AA228" s="2">
        <f t="shared" si="264"/>
        <v>0.76232283916402854</v>
      </c>
      <c r="AB228" s="2">
        <f t="shared" si="264"/>
        <v>0.34992591808574725</v>
      </c>
      <c r="AC228" s="2">
        <f t="shared" si="264"/>
        <v>0.33081129229685236</v>
      </c>
      <c r="AD228" s="2">
        <f t="shared" si="264"/>
        <v>5.3052988012335724</v>
      </c>
      <c r="AE228" s="2">
        <f t="shared" si="264"/>
        <v>4.7243094733516342</v>
      </c>
      <c r="AF228" s="2">
        <f t="shared" si="264"/>
        <v>0.35076536686593934</v>
      </c>
      <c r="AG228" s="2">
        <f t="shared" si="264"/>
        <v>10.021736515084507</v>
      </c>
      <c r="AH228" s="2">
        <f t="shared" si="264"/>
        <v>0.34992591808574725</v>
      </c>
      <c r="AI228" s="2">
        <f t="shared" si="264"/>
        <v>0.36317402215793199</v>
      </c>
      <c r="AK228" s="2">
        <f>(B228+T228)/2</f>
        <v>0.10352230706848956</v>
      </c>
      <c r="AL228" s="2">
        <f t="shared" si="249"/>
        <v>1.0525025030316273</v>
      </c>
      <c r="AM228" s="2">
        <f t="shared" si="250"/>
        <v>6.6036197877495386</v>
      </c>
      <c r="AN228" s="2">
        <f t="shared" si="251"/>
        <v>2.0273746666606045</v>
      </c>
      <c r="AO228" s="2">
        <f t="shared" si="252"/>
        <v>0.90640969686622563</v>
      </c>
      <c r="AP228" s="2">
        <f t="shared" si="253"/>
        <v>6.4053592114918612</v>
      </c>
      <c r="AQ228" s="2">
        <f t="shared" si="254"/>
        <v>1.7800394650907312</v>
      </c>
      <c r="AR228" s="2">
        <f t="shared" si="255"/>
        <v>0.64599296981725418</v>
      </c>
      <c r="AS228" s="2">
        <f t="shared" si="256"/>
        <v>0.47626278203209022</v>
      </c>
      <c r="AT228" s="2">
        <f t="shared" si="257"/>
        <v>0.42258279002659666</v>
      </c>
      <c r="AU228" s="2">
        <f t="shared" si="258"/>
        <v>6.6036197877495386</v>
      </c>
      <c r="AV228" s="2">
        <f t="shared" si="259"/>
        <v>5.7280011012622936</v>
      </c>
      <c r="AW228" s="2">
        <f t="shared" si="260"/>
        <v>0.4758364028308173</v>
      </c>
      <c r="AX228" s="2">
        <f t="shared" si="261"/>
        <v>12.330663814796566</v>
      </c>
      <c r="AY228" s="2">
        <f t="shared" si="262"/>
        <v>0.47626278203209022</v>
      </c>
      <c r="AZ228" s="2">
        <f t="shared" ref="AZ228" si="265">(Q228+AI228)/2</f>
        <v>0.36829957983997186</v>
      </c>
    </row>
    <row r="229" spans="1:52" x14ac:dyDescent="0.25">
      <c r="A229" s="1"/>
      <c r="S229" s="1"/>
    </row>
    <row r="230" spans="1:52" x14ac:dyDescent="0.25">
      <c r="A230" s="1" t="s">
        <v>25</v>
      </c>
      <c r="B230">
        <v>18.779</v>
      </c>
      <c r="C230">
        <v>18.710999999999999</v>
      </c>
      <c r="D230">
        <v>52.511000000000003</v>
      </c>
      <c r="E230">
        <v>23.412999999999997</v>
      </c>
      <c r="F230">
        <v>17.702999999999999</v>
      </c>
      <c r="G230">
        <v>50.545000000000002</v>
      </c>
      <c r="H230">
        <v>25.527999999999999</v>
      </c>
      <c r="I230">
        <v>38.363</v>
      </c>
      <c r="J230">
        <v>49.787999999999997</v>
      </c>
      <c r="K230">
        <v>49.453000000000003</v>
      </c>
      <c r="L230">
        <v>52.511000000000003</v>
      </c>
      <c r="M230">
        <v>47.061999999999998</v>
      </c>
      <c r="N230">
        <v>49.786500000000004</v>
      </c>
      <c r="O230">
        <v>19.931999999999999</v>
      </c>
      <c r="P230">
        <v>49.787999999999997</v>
      </c>
      <c r="Q230">
        <v>-1.799999999999996E-2</v>
      </c>
      <c r="S230" s="1" t="s">
        <v>25</v>
      </c>
      <c r="T230">
        <v>15.555</v>
      </c>
      <c r="U230">
        <v>15.408333333333333</v>
      </c>
      <c r="V230">
        <v>54.344999999999999</v>
      </c>
      <c r="W230">
        <v>20.746666666666666</v>
      </c>
      <c r="X230">
        <v>16.818333333333332</v>
      </c>
      <c r="Y230">
        <v>59.431666666666672</v>
      </c>
      <c r="Z230">
        <v>25.424999999999997</v>
      </c>
      <c r="AA230">
        <v>36.051666666666669</v>
      </c>
      <c r="AB230">
        <v>50.136666666666663</v>
      </c>
      <c r="AC230">
        <v>50.188333333333333</v>
      </c>
      <c r="AD230">
        <v>54.344999999999999</v>
      </c>
      <c r="AE230">
        <v>45.933333333333337</v>
      </c>
      <c r="AF230">
        <v>50.139166666666661</v>
      </c>
      <c r="AG230">
        <v>11.621666666666664</v>
      </c>
      <c r="AH230">
        <v>50.136666666666663</v>
      </c>
      <c r="AI230">
        <v>0.26666666666666666</v>
      </c>
    </row>
    <row r="231" spans="1:52" x14ac:dyDescent="0.25">
      <c r="A231" s="1"/>
      <c r="B231">
        <v>18.419000000000004</v>
      </c>
      <c r="C231">
        <v>20.079000000000001</v>
      </c>
      <c r="D231">
        <v>42.578000000000003</v>
      </c>
      <c r="E231">
        <v>20.507000000000005</v>
      </c>
      <c r="F231">
        <v>17.979999999999997</v>
      </c>
      <c r="G231">
        <v>42.600999999999999</v>
      </c>
      <c r="H231">
        <v>24.123999999999999</v>
      </c>
      <c r="I231">
        <v>40.542999999999999</v>
      </c>
      <c r="J231">
        <v>49.611999999999995</v>
      </c>
      <c r="K231">
        <v>49.274999999999999</v>
      </c>
      <c r="L231">
        <v>42.578000000000003</v>
      </c>
      <c r="M231">
        <v>56.645000000000003</v>
      </c>
      <c r="N231">
        <v>49.611499999999999</v>
      </c>
      <c r="O231">
        <v>18.178999999999998</v>
      </c>
      <c r="P231">
        <v>49.611999999999995</v>
      </c>
      <c r="Q231">
        <v>-0.34399999999999997</v>
      </c>
      <c r="S231" s="1"/>
      <c r="T231">
        <v>15.211666666666666</v>
      </c>
      <c r="U231">
        <v>15.028333333333334</v>
      </c>
      <c r="V231">
        <v>43.555</v>
      </c>
      <c r="W231">
        <v>20.753333333333334</v>
      </c>
      <c r="X231">
        <v>16.111666666666668</v>
      </c>
      <c r="Y231">
        <v>47.38</v>
      </c>
      <c r="Z231">
        <v>23.645</v>
      </c>
      <c r="AA231">
        <v>42.516666666666666</v>
      </c>
      <c r="AB231">
        <v>49.518333333333338</v>
      </c>
      <c r="AC231">
        <v>49.199999999999996</v>
      </c>
      <c r="AD231">
        <v>43.555</v>
      </c>
      <c r="AE231">
        <v>55.478333333333332</v>
      </c>
      <c r="AF231">
        <v>49.516666666666659</v>
      </c>
      <c r="AG231">
        <v>12.178333333333333</v>
      </c>
      <c r="AH231">
        <v>49.518333333333338</v>
      </c>
      <c r="AI231">
        <v>-0.74833333333333341</v>
      </c>
    </row>
    <row r="232" spans="1:52" x14ac:dyDescent="0.25">
      <c r="A232" s="1"/>
      <c r="B232">
        <v>19.012999999999998</v>
      </c>
      <c r="C232">
        <v>18.684000000000001</v>
      </c>
      <c r="D232">
        <v>52.806000000000004</v>
      </c>
      <c r="E232">
        <v>24.892000000000003</v>
      </c>
      <c r="F232">
        <v>18.521999999999998</v>
      </c>
      <c r="G232">
        <v>53.100000000000009</v>
      </c>
      <c r="H232">
        <v>26.902999999999999</v>
      </c>
      <c r="I232">
        <v>40.826999999999998</v>
      </c>
      <c r="J232">
        <v>50.095999999999997</v>
      </c>
      <c r="K232">
        <v>50.32</v>
      </c>
      <c r="L232">
        <v>52.806000000000004</v>
      </c>
      <c r="M232">
        <v>47.387000000000008</v>
      </c>
      <c r="N232">
        <v>50.096500000000006</v>
      </c>
      <c r="O232">
        <v>13.054000000000002</v>
      </c>
      <c r="P232">
        <v>50.095999999999997</v>
      </c>
      <c r="Q232">
        <v>0.38400000000000001</v>
      </c>
      <c r="S232" s="1"/>
      <c r="T232">
        <v>15.375</v>
      </c>
      <c r="U232">
        <v>15.018333333333333</v>
      </c>
      <c r="V232">
        <v>61.703333333333326</v>
      </c>
      <c r="W232">
        <v>21.898333333333337</v>
      </c>
      <c r="X232">
        <v>14.674999999999999</v>
      </c>
      <c r="Y232">
        <v>58.901666666666664</v>
      </c>
      <c r="Z232">
        <v>22.861666666666665</v>
      </c>
      <c r="AA232">
        <v>34.443333333333335</v>
      </c>
      <c r="AB232">
        <v>49.803333333333335</v>
      </c>
      <c r="AC232">
        <v>49.726666666666667</v>
      </c>
      <c r="AD232">
        <v>61.703333333333326</v>
      </c>
      <c r="AE232">
        <v>37.904999999999994</v>
      </c>
      <c r="AF232">
        <v>49.804166666666667</v>
      </c>
      <c r="AG232">
        <v>23.8</v>
      </c>
      <c r="AH232">
        <v>49.803333333333335</v>
      </c>
      <c r="AI232">
        <v>-0.36333333333333334</v>
      </c>
    </row>
    <row r="233" spans="1:52" x14ac:dyDescent="0.25">
      <c r="A233" s="1"/>
      <c r="B233" s="2">
        <f>AVERAGE(B230:B232)</f>
        <v>18.737000000000002</v>
      </c>
      <c r="C233" s="2">
        <f t="shared" ref="C233:Q233" si="266">AVERAGE(C230:C232)</f>
        <v>19.158000000000001</v>
      </c>
      <c r="D233" s="2">
        <f t="shared" si="266"/>
        <v>49.298333333333339</v>
      </c>
      <c r="E233" s="2">
        <f t="shared" si="266"/>
        <v>22.937333333333338</v>
      </c>
      <c r="F233" s="2">
        <f t="shared" si="266"/>
        <v>18.068333333333332</v>
      </c>
      <c r="G233" s="2">
        <f t="shared" si="266"/>
        <v>48.748666666666672</v>
      </c>
      <c r="H233" s="2">
        <f t="shared" si="266"/>
        <v>25.518333333333334</v>
      </c>
      <c r="I233" s="2">
        <f t="shared" si="266"/>
        <v>39.911000000000001</v>
      </c>
      <c r="J233" s="2">
        <f t="shared" si="266"/>
        <v>49.831999999999994</v>
      </c>
      <c r="K233" s="2">
        <f t="shared" si="266"/>
        <v>49.68266666666667</v>
      </c>
      <c r="L233" s="2">
        <f t="shared" si="266"/>
        <v>49.298333333333339</v>
      </c>
      <c r="M233" s="2">
        <f t="shared" si="266"/>
        <v>50.364666666666665</v>
      </c>
      <c r="N233" s="2">
        <f t="shared" si="266"/>
        <v>49.831500000000005</v>
      </c>
      <c r="O233" s="2">
        <f t="shared" si="266"/>
        <v>17.055</v>
      </c>
      <c r="P233" s="2">
        <f t="shared" si="266"/>
        <v>49.831999999999994</v>
      </c>
      <c r="Q233" s="2">
        <f t="shared" si="266"/>
        <v>7.3333333333333584E-3</v>
      </c>
      <c r="S233" s="1"/>
      <c r="T233" s="2">
        <f>AVERAGE(T230:T232)</f>
        <v>15.380555555555555</v>
      </c>
      <c r="U233" s="2">
        <f t="shared" ref="U233:AI233" si="267">AVERAGE(U230:U232)</f>
        <v>15.151666666666666</v>
      </c>
      <c r="V233" s="2">
        <f t="shared" si="267"/>
        <v>53.201111111111111</v>
      </c>
      <c r="W233" s="2">
        <f t="shared" si="267"/>
        <v>21.132777777777779</v>
      </c>
      <c r="X233" s="2">
        <f t="shared" si="267"/>
        <v>15.868333333333332</v>
      </c>
      <c r="Y233" s="2">
        <f t="shared" si="267"/>
        <v>55.237777777777779</v>
      </c>
      <c r="Z233" s="2">
        <f t="shared" si="267"/>
        <v>23.97722222222222</v>
      </c>
      <c r="AA233" s="2">
        <f t="shared" si="267"/>
        <v>37.670555555555552</v>
      </c>
      <c r="AB233" s="2">
        <f t="shared" si="267"/>
        <v>49.81944444444445</v>
      </c>
      <c r="AC233" s="2">
        <f t="shared" si="267"/>
        <v>49.704999999999991</v>
      </c>
      <c r="AD233" s="2">
        <f t="shared" si="267"/>
        <v>53.201111111111111</v>
      </c>
      <c r="AE233" s="2">
        <f t="shared" si="267"/>
        <v>46.43888888888889</v>
      </c>
      <c r="AF233" s="2">
        <f t="shared" si="267"/>
        <v>49.819999999999993</v>
      </c>
      <c r="AG233" s="2">
        <f t="shared" si="267"/>
        <v>15.866666666666665</v>
      </c>
      <c r="AH233" s="2">
        <f t="shared" si="267"/>
        <v>49.81944444444445</v>
      </c>
      <c r="AI233" s="2">
        <f t="shared" si="267"/>
        <v>-0.28166666666666668</v>
      </c>
      <c r="AK233" s="2">
        <f>(B233+T233)/2</f>
        <v>17.058777777777777</v>
      </c>
      <c r="AL233" s="2">
        <f t="shared" ref="AL233:AL234" si="268">(C233+U233)/2</f>
        <v>17.154833333333332</v>
      </c>
      <c r="AM233" s="2">
        <f t="shared" ref="AM233:AM234" si="269">(D233+V233)/2</f>
        <v>51.249722222222225</v>
      </c>
      <c r="AN233" s="2">
        <f t="shared" ref="AN233:AN234" si="270">(E233+W233)/2</f>
        <v>22.035055555555559</v>
      </c>
      <c r="AO233" s="2">
        <f t="shared" ref="AO233:AO234" si="271">(F233+X233)/2</f>
        <v>16.968333333333334</v>
      </c>
      <c r="AP233" s="2">
        <f t="shared" ref="AP233:AP234" si="272">(G233+Y233)/2</f>
        <v>51.993222222222229</v>
      </c>
      <c r="AQ233" s="2">
        <f t="shared" ref="AQ233:AQ234" si="273">(H233+Z233)/2</f>
        <v>24.747777777777777</v>
      </c>
      <c r="AR233" s="2">
        <f t="shared" ref="AR233:AR234" si="274">(I233+AA233)/2</f>
        <v>38.790777777777777</v>
      </c>
      <c r="AS233" s="2">
        <f t="shared" ref="AS233:AS234" si="275">(J233+AB233)/2</f>
        <v>49.825722222222225</v>
      </c>
      <c r="AT233" s="2">
        <f t="shared" ref="AT233:AT234" si="276">(K233+AC233)/2</f>
        <v>49.69383333333333</v>
      </c>
      <c r="AU233" s="2">
        <f t="shared" ref="AU233:AU234" si="277">(L233+AD233)/2</f>
        <v>51.249722222222225</v>
      </c>
      <c r="AV233" s="2">
        <f t="shared" ref="AV233:AV234" si="278">(M233+AE233)/2</f>
        <v>48.401777777777781</v>
      </c>
      <c r="AW233" s="2">
        <f t="shared" ref="AW233:AW234" si="279">(N233+AF233)/2</f>
        <v>49.825749999999999</v>
      </c>
      <c r="AX233" s="2">
        <f t="shared" ref="AX233:AX234" si="280">(O233+AG233)/2</f>
        <v>16.460833333333333</v>
      </c>
      <c r="AY233" s="2">
        <f t="shared" ref="AY233:AY234" si="281">(P233+AH233)/2</f>
        <v>49.825722222222225</v>
      </c>
      <c r="AZ233" s="2">
        <f>(Q233+AI233)/2</f>
        <v>-0.13716666666666666</v>
      </c>
    </row>
    <row r="234" spans="1:52" x14ac:dyDescent="0.25">
      <c r="A234" s="1"/>
      <c r="B234" s="2">
        <f>_xlfn.STDEV.S(B230:B232)</f>
        <v>0.29921898335499736</v>
      </c>
      <c r="C234" s="2">
        <f t="shared" ref="C234:Q234" si="282">_xlfn.STDEV.S(C230:C232)</f>
        <v>0.79772363635534871</v>
      </c>
      <c r="D234" s="2">
        <f t="shared" si="282"/>
        <v>5.8218481887913685</v>
      </c>
      <c r="E234" s="2">
        <f t="shared" si="282"/>
        <v>2.2308631363966112</v>
      </c>
      <c r="F234" s="2">
        <f t="shared" si="282"/>
        <v>0.41658412515761223</v>
      </c>
      <c r="G234" s="2">
        <f t="shared" si="282"/>
        <v>5.4751584756364249</v>
      </c>
      <c r="H234" s="2">
        <f t="shared" si="282"/>
        <v>1.3895252186748297</v>
      </c>
      <c r="I234" s="2">
        <f t="shared" si="282"/>
        <v>1.3481068206933746</v>
      </c>
      <c r="J234" s="2">
        <f t="shared" si="282"/>
        <v>0.24498163196452175</v>
      </c>
      <c r="K234" s="2">
        <f t="shared" si="282"/>
        <v>0.55907632156382137</v>
      </c>
      <c r="L234" s="2">
        <f t="shared" si="282"/>
        <v>5.8218481887913685</v>
      </c>
      <c r="M234" s="2">
        <f t="shared" si="282"/>
        <v>5.4413551927193042</v>
      </c>
      <c r="N234" s="2">
        <f t="shared" si="282"/>
        <v>0.24561148181630585</v>
      </c>
      <c r="O234" s="2">
        <f t="shared" si="282"/>
        <v>3.5741087000817404</v>
      </c>
      <c r="P234" s="2">
        <f t="shared" si="282"/>
        <v>0.24498163196452175</v>
      </c>
      <c r="Q234" s="2">
        <f t="shared" si="282"/>
        <v>0.36466057277053321</v>
      </c>
      <c r="S234" s="1"/>
      <c r="T234" s="2">
        <f>_xlfn.STDEV.S(T230:T232)</f>
        <v>0.1717340752226903</v>
      </c>
      <c r="U234" s="2">
        <f t="shared" ref="U234:AI234" si="283">_xlfn.STDEV.S(U230:U232)</f>
        <v>0.22233608194203047</v>
      </c>
      <c r="V234" s="2">
        <f t="shared" si="283"/>
        <v>9.1280809613542058</v>
      </c>
      <c r="W234" s="2">
        <f t="shared" si="283"/>
        <v>0.66299893860593428</v>
      </c>
      <c r="X234" s="2">
        <f t="shared" si="283"/>
        <v>1.0921894422570553</v>
      </c>
      <c r="Y234" s="2">
        <f t="shared" si="283"/>
        <v>6.8101930004739168</v>
      </c>
      <c r="Z234" s="2">
        <f t="shared" si="283"/>
        <v>1.313563149661312</v>
      </c>
      <c r="AA234" s="2">
        <f t="shared" si="283"/>
        <v>4.2732047345878117</v>
      </c>
      <c r="AB234" s="2">
        <f t="shared" si="283"/>
        <v>0.30948134629360324</v>
      </c>
      <c r="AC234" s="2">
        <f t="shared" si="283"/>
        <v>0.49452277781491477</v>
      </c>
      <c r="AD234" s="2">
        <f t="shared" si="283"/>
        <v>9.1280809613542058</v>
      </c>
      <c r="AE234" s="2">
        <f t="shared" si="283"/>
        <v>8.7975678983413612</v>
      </c>
      <c r="AF234" s="2">
        <f t="shared" si="283"/>
        <v>0.31155189508865766</v>
      </c>
      <c r="AG234" s="2">
        <f t="shared" si="283"/>
        <v>6.8761037497828568</v>
      </c>
      <c r="AH234" s="2">
        <f t="shared" si="283"/>
        <v>0.30948134629360324</v>
      </c>
      <c r="AI234" s="2">
        <f t="shared" si="283"/>
        <v>0.51240446263994743</v>
      </c>
      <c r="AK234" s="2">
        <f>(B234+T234)/2</f>
        <v>0.23547652928884383</v>
      </c>
      <c r="AL234" s="2">
        <f t="shared" si="268"/>
        <v>0.51002985914868959</v>
      </c>
      <c r="AM234" s="2">
        <f t="shared" si="269"/>
        <v>7.4749645750727876</v>
      </c>
      <c r="AN234" s="2">
        <f t="shared" si="270"/>
        <v>1.4469310375012727</v>
      </c>
      <c r="AO234" s="2">
        <f t="shared" si="271"/>
        <v>0.7543867837073337</v>
      </c>
      <c r="AP234" s="2">
        <f t="shared" si="272"/>
        <v>6.1426757380551713</v>
      </c>
      <c r="AQ234" s="2">
        <f t="shared" si="273"/>
        <v>1.3515441841680709</v>
      </c>
      <c r="AR234" s="2">
        <f t="shared" si="274"/>
        <v>2.8106557776405934</v>
      </c>
      <c r="AS234" s="2">
        <f t="shared" si="275"/>
        <v>0.27723148912906248</v>
      </c>
      <c r="AT234" s="2">
        <f t="shared" si="276"/>
        <v>0.52679954968936804</v>
      </c>
      <c r="AU234" s="2">
        <f t="shared" si="277"/>
        <v>7.4749645750727876</v>
      </c>
      <c r="AV234" s="2">
        <f t="shared" si="278"/>
        <v>7.1194615455303332</v>
      </c>
      <c r="AW234" s="2">
        <f t="shared" si="279"/>
        <v>0.27858168845248177</v>
      </c>
      <c r="AX234" s="2">
        <f t="shared" si="280"/>
        <v>5.2251062249322988</v>
      </c>
      <c r="AY234" s="2">
        <f t="shared" si="281"/>
        <v>0.27723148912906248</v>
      </c>
      <c r="AZ234" s="2">
        <f t="shared" ref="AZ234" si="284">(Q234+AI234)/2</f>
        <v>0.43853251770524032</v>
      </c>
    </row>
    <row r="235" spans="1:52" x14ac:dyDescent="0.25">
      <c r="A235" s="1"/>
      <c r="S235" s="1"/>
    </row>
    <row r="236" spans="1:52" x14ac:dyDescent="0.25">
      <c r="A236" s="1" t="s">
        <v>26</v>
      </c>
      <c r="B236">
        <v>26.808000000000003</v>
      </c>
      <c r="C236">
        <v>26.433</v>
      </c>
      <c r="D236">
        <v>45.55</v>
      </c>
      <c r="E236">
        <v>30.15</v>
      </c>
      <c r="F236">
        <v>26.982999999999997</v>
      </c>
      <c r="G236">
        <v>44.613999999999997</v>
      </c>
      <c r="H236">
        <v>32.186999999999998</v>
      </c>
      <c r="I236">
        <v>54.003999999999998</v>
      </c>
      <c r="J236">
        <v>59.25200000000001</v>
      </c>
      <c r="K236">
        <v>63.596000000000004</v>
      </c>
      <c r="L236">
        <v>45.55</v>
      </c>
      <c r="M236">
        <v>72.956999999999994</v>
      </c>
      <c r="N236">
        <v>59.253499999999995</v>
      </c>
      <c r="O236">
        <v>27.408999999999999</v>
      </c>
      <c r="P236">
        <v>59.25200000000001</v>
      </c>
      <c r="Q236">
        <v>14.294</v>
      </c>
      <c r="S236" s="1" t="s">
        <v>26</v>
      </c>
      <c r="T236">
        <v>21.313333333333333</v>
      </c>
      <c r="U236">
        <v>21.238333333333333</v>
      </c>
      <c r="V236">
        <v>52.865000000000002</v>
      </c>
      <c r="W236">
        <v>28.811666666666667</v>
      </c>
      <c r="X236">
        <v>21.056666666666665</v>
      </c>
      <c r="Y236">
        <v>52.935000000000002</v>
      </c>
      <c r="Z236">
        <v>29.573333333333334</v>
      </c>
      <c r="AA236">
        <v>51.574999999999996</v>
      </c>
      <c r="AB236">
        <v>58.743333333333332</v>
      </c>
      <c r="AC236">
        <v>61.634999999999998</v>
      </c>
      <c r="AD236">
        <v>52.865000000000002</v>
      </c>
      <c r="AE236">
        <v>64.625</v>
      </c>
      <c r="AF236">
        <v>58.744999999999997</v>
      </c>
      <c r="AG236">
        <v>11.761666666666668</v>
      </c>
      <c r="AH236">
        <v>58.743333333333332</v>
      </c>
      <c r="AI236">
        <v>12.673333333333334</v>
      </c>
    </row>
    <row r="237" spans="1:52" x14ac:dyDescent="0.25">
      <c r="B237">
        <v>26.231999999999999</v>
      </c>
      <c r="C237">
        <v>26.467999999999996</v>
      </c>
      <c r="D237">
        <v>44.371000000000002</v>
      </c>
      <c r="E237">
        <v>29.745999999999999</v>
      </c>
      <c r="F237">
        <v>26.857000000000006</v>
      </c>
      <c r="G237">
        <v>43.543000000000006</v>
      </c>
      <c r="H237">
        <v>31.726999999999997</v>
      </c>
      <c r="I237">
        <v>53.878999999999998</v>
      </c>
      <c r="J237">
        <v>58.909999999999989</v>
      </c>
      <c r="K237">
        <v>63.10199999999999</v>
      </c>
      <c r="L237">
        <v>44.371000000000002</v>
      </c>
      <c r="M237">
        <v>73.447000000000003</v>
      </c>
      <c r="N237">
        <v>58.909000000000006</v>
      </c>
      <c r="O237">
        <v>29.076999999999998</v>
      </c>
      <c r="P237">
        <v>58.909999999999989</v>
      </c>
      <c r="Q237">
        <v>13.871</v>
      </c>
      <c r="T237">
        <v>20.996666666666666</v>
      </c>
      <c r="U237">
        <v>20.27</v>
      </c>
      <c r="V237">
        <v>54.854999999999997</v>
      </c>
      <c r="W237">
        <v>27.956666666666663</v>
      </c>
      <c r="X237">
        <v>20.008333333333333</v>
      </c>
      <c r="Y237">
        <v>54.65</v>
      </c>
      <c r="Z237">
        <v>28.696666666666669</v>
      </c>
      <c r="AA237">
        <v>49.715000000000003</v>
      </c>
      <c r="AB237">
        <v>58.004999999999995</v>
      </c>
      <c r="AC237">
        <v>60.938333333333333</v>
      </c>
      <c r="AD237">
        <v>54.854999999999997</v>
      </c>
      <c r="AE237">
        <v>61.150000000000006</v>
      </c>
      <c r="AF237">
        <v>58.002499999999998</v>
      </c>
      <c r="AG237">
        <v>7.2833333333333341</v>
      </c>
      <c r="AH237">
        <v>58.004999999999995</v>
      </c>
      <c r="AI237">
        <v>11.431666666666665</v>
      </c>
    </row>
    <row r="238" spans="1:52" x14ac:dyDescent="0.25">
      <c r="B238">
        <v>26.056000000000001</v>
      </c>
      <c r="C238">
        <v>24.817999999999998</v>
      </c>
      <c r="D238">
        <v>55.548999999999999</v>
      </c>
      <c r="E238">
        <v>32.129000000000005</v>
      </c>
      <c r="F238">
        <v>25.176999999999996</v>
      </c>
      <c r="G238">
        <v>55.123000000000005</v>
      </c>
      <c r="H238">
        <v>33.856999999999999</v>
      </c>
      <c r="I238">
        <v>52.262</v>
      </c>
      <c r="J238">
        <v>59.5</v>
      </c>
      <c r="K238">
        <v>62.948999999999998</v>
      </c>
      <c r="L238">
        <v>55.548999999999999</v>
      </c>
      <c r="M238">
        <v>63.45</v>
      </c>
      <c r="N238">
        <v>59.499499999999998</v>
      </c>
      <c r="O238">
        <v>8.7729999999999997</v>
      </c>
      <c r="P238">
        <v>59.5</v>
      </c>
      <c r="Q238">
        <v>13.825999999999999</v>
      </c>
      <c r="T238">
        <v>22.015000000000001</v>
      </c>
      <c r="U238">
        <v>21.065000000000001</v>
      </c>
      <c r="V238">
        <v>53.453333333333326</v>
      </c>
      <c r="W238">
        <v>28.056666666666668</v>
      </c>
      <c r="X238">
        <v>20.875</v>
      </c>
      <c r="Y238">
        <v>52.711666666666666</v>
      </c>
      <c r="Z238">
        <v>28.966666666666665</v>
      </c>
      <c r="AA238">
        <v>50.555</v>
      </c>
      <c r="AB238">
        <v>58.71</v>
      </c>
      <c r="AC238">
        <v>61.964999999999996</v>
      </c>
      <c r="AD238">
        <v>53.453333333333326</v>
      </c>
      <c r="AE238">
        <v>63.963333333333331</v>
      </c>
      <c r="AF238">
        <v>58.708333333333336</v>
      </c>
      <c r="AG238">
        <v>12.36</v>
      </c>
      <c r="AH238">
        <v>58.71</v>
      </c>
      <c r="AI238">
        <v>12.611666666666666</v>
      </c>
    </row>
    <row r="239" spans="1:52" x14ac:dyDescent="0.25">
      <c r="B239" s="2">
        <f>AVERAGE(B236:B238)</f>
        <v>26.365333333333336</v>
      </c>
      <c r="C239" s="2">
        <f t="shared" ref="C239:Q239" si="285">AVERAGE(C236:C238)</f>
        <v>25.906333333333333</v>
      </c>
      <c r="D239" s="2">
        <f t="shared" si="285"/>
        <v>48.49</v>
      </c>
      <c r="E239" s="2">
        <f t="shared" si="285"/>
        <v>30.675000000000001</v>
      </c>
      <c r="F239" s="2">
        <f t="shared" si="285"/>
        <v>26.338999999999999</v>
      </c>
      <c r="G239" s="2">
        <f t="shared" si="285"/>
        <v>47.760000000000012</v>
      </c>
      <c r="H239" s="2">
        <f t="shared" si="285"/>
        <v>32.590333333333326</v>
      </c>
      <c r="I239" s="2">
        <f t="shared" si="285"/>
        <v>53.381666666666661</v>
      </c>
      <c r="J239" s="2">
        <f t="shared" si="285"/>
        <v>59.220666666666666</v>
      </c>
      <c r="K239" s="2">
        <f t="shared" si="285"/>
        <v>63.215666666666664</v>
      </c>
      <c r="L239" s="2">
        <f t="shared" si="285"/>
        <v>48.49</v>
      </c>
      <c r="M239" s="2">
        <f t="shared" si="285"/>
        <v>69.951333333333324</v>
      </c>
      <c r="N239" s="2">
        <f t="shared" si="285"/>
        <v>59.220666666666659</v>
      </c>
      <c r="O239" s="2">
        <f t="shared" si="285"/>
        <v>21.753</v>
      </c>
      <c r="P239" s="2">
        <f t="shared" si="285"/>
        <v>59.220666666666666</v>
      </c>
      <c r="Q239" s="2">
        <f t="shared" si="285"/>
        <v>13.997</v>
      </c>
      <c r="T239" s="2">
        <f>AVERAGE(T236:T238)</f>
        <v>21.441666666666666</v>
      </c>
      <c r="U239" s="2">
        <f t="shared" ref="U239:AI239" si="286">AVERAGE(U236:U238)</f>
        <v>20.85777777777778</v>
      </c>
      <c r="V239" s="2">
        <f t="shared" si="286"/>
        <v>53.724444444444437</v>
      </c>
      <c r="W239" s="2">
        <f t="shared" si="286"/>
        <v>28.275000000000002</v>
      </c>
      <c r="X239" s="2">
        <f t="shared" si="286"/>
        <v>20.646666666666665</v>
      </c>
      <c r="Y239" s="2">
        <f t="shared" si="286"/>
        <v>53.432222222222229</v>
      </c>
      <c r="Z239" s="2">
        <f t="shared" si="286"/>
        <v>29.078888888888887</v>
      </c>
      <c r="AA239" s="2">
        <f t="shared" si="286"/>
        <v>50.615000000000002</v>
      </c>
      <c r="AB239" s="2">
        <f t="shared" si="286"/>
        <v>58.486111111111114</v>
      </c>
      <c r="AC239" s="2">
        <f t="shared" si="286"/>
        <v>61.512777777777778</v>
      </c>
      <c r="AD239" s="2">
        <f t="shared" si="286"/>
        <v>53.724444444444437</v>
      </c>
      <c r="AE239" s="2">
        <f t="shared" si="286"/>
        <v>63.246111111111112</v>
      </c>
      <c r="AF239" s="2">
        <f t="shared" si="286"/>
        <v>58.485277777777782</v>
      </c>
      <c r="AG239" s="2">
        <f t="shared" si="286"/>
        <v>10.468333333333334</v>
      </c>
      <c r="AH239" s="2">
        <f t="shared" si="286"/>
        <v>58.486111111111114</v>
      </c>
      <c r="AI239" s="2">
        <f t="shared" si="286"/>
        <v>12.238888888888887</v>
      </c>
      <c r="AK239" s="2">
        <f>(B239+T239)/2</f>
        <v>23.903500000000001</v>
      </c>
      <c r="AL239" s="2">
        <f t="shared" ref="AL239:AL240" si="287">(C239+U239)/2</f>
        <v>23.382055555555556</v>
      </c>
      <c r="AM239" s="2">
        <f t="shared" ref="AM239:AM240" si="288">(D239+V239)/2</f>
        <v>51.107222222222219</v>
      </c>
      <c r="AN239" s="2">
        <f t="shared" ref="AN239:AN240" si="289">(E239+W239)/2</f>
        <v>29.475000000000001</v>
      </c>
      <c r="AO239" s="2">
        <f t="shared" ref="AO239:AO240" si="290">(F239+X239)/2</f>
        <v>23.49283333333333</v>
      </c>
      <c r="AP239" s="2">
        <f t="shared" ref="AP239:AP240" si="291">(G239+Y239)/2</f>
        <v>50.596111111111121</v>
      </c>
      <c r="AQ239" s="2">
        <f t="shared" ref="AQ239:AQ240" si="292">(H239+Z239)/2</f>
        <v>30.834611111111109</v>
      </c>
      <c r="AR239" s="2">
        <f t="shared" ref="AR239:AR240" si="293">(I239+AA239)/2</f>
        <v>51.998333333333335</v>
      </c>
      <c r="AS239" s="2">
        <f t="shared" ref="AS239:AS240" si="294">(J239+AB239)/2</f>
        <v>58.853388888888887</v>
      </c>
      <c r="AT239" s="2">
        <f t="shared" ref="AT239:AT240" si="295">(K239+AC239)/2</f>
        <v>62.364222222222224</v>
      </c>
      <c r="AU239" s="2">
        <f t="shared" ref="AU239:AU240" si="296">(L239+AD239)/2</f>
        <v>51.107222222222219</v>
      </c>
      <c r="AV239" s="2">
        <f t="shared" ref="AV239:AV240" si="297">(M239+AE239)/2</f>
        <v>66.598722222222221</v>
      </c>
      <c r="AW239" s="2">
        <f t="shared" ref="AW239:AW240" si="298">(N239+AF239)/2</f>
        <v>58.85297222222222</v>
      </c>
      <c r="AX239" s="2">
        <f t="shared" ref="AX239:AX240" si="299">(O239+AG239)/2</f>
        <v>16.110666666666667</v>
      </c>
      <c r="AY239" s="2">
        <f t="shared" ref="AY239:AY240" si="300">(P239+AH239)/2</f>
        <v>58.853388888888887</v>
      </c>
      <c r="AZ239" s="2">
        <f>(Q239+AI239)/2</f>
        <v>13.117944444444444</v>
      </c>
    </row>
    <row r="240" spans="1:52" x14ac:dyDescent="0.25">
      <c r="B240" s="2">
        <f>_xlfn.STDEV.S(B236:B238)</f>
        <v>0.3933310734398372</v>
      </c>
      <c r="C240" s="2">
        <f t="shared" ref="C240:Q240" si="301">_xlfn.STDEV.S(C236:C238)</f>
        <v>0.94268676310497412</v>
      </c>
      <c r="D240" s="2">
        <f t="shared" si="301"/>
        <v>6.1416301581909174</v>
      </c>
      <c r="E240" s="2">
        <f t="shared" si="301"/>
        <v>1.2753003567787509</v>
      </c>
      <c r="F240" s="2">
        <f t="shared" si="301"/>
        <v>1.0082916244817299</v>
      </c>
      <c r="G240" s="2">
        <f t="shared" si="301"/>
        <v>6.3989910923519107</v>
      </c>
      <c r="H240" s="2">
        <f t="shared" si="301"/>
        <v>1.1208181535527233</v>
      </c>
      <c r="I240" s="2">
        <f t="shared" si="301"/>
        <v>0.97167192680108361</v>
      </c>
      <c r="J240" s="2">
        <f t="shared" si="301"/>
        <v>0.29624539377572928</v>
      </c>
      <c r="K240" s="2">
        <f t="shared" si="301"/>
        <v>0.33814543222308419</v>
      </c>
      <c r="L240" s="2">
        <f t="shared" si="301"/>
        <v>6.1416301581909174</v>
      </c>
      <c r="M240" s="2">
        <f t="shared" si="301"/>
        <v>5.6356478184263166</v>
      </c>
      <c r="N240" s="2">
        <f t="shared" si="301"/>
        <v>0.29661605373501049</v>
      </c>
      <c r="O240" s="2">
        <f t="shared" si="301"/>
        <v>11.271905606418107</v>
      </c>
      <c r="P240" s="2">
        <f t="shared" si="301"/>
        <v>0.29624539377572928</v>
      </c>
      <c r="Q240" s="2">
        <f t="shared" si="301"/>
        <v>0.25819178918005953</v>
      </c>
      <c r="T240" s="2">
        <f>_xlfn.STDEV.S(T236:T238)</f>
        <v>0.52115523385818396</v>
      </c>
      <c r="U240" s="2">
        <f t="shared" ref="U240:AI240" si="302">_xlfn.STDEV.S(U236:U238)</f>
        <v>0.51635564115069821</v>
      </c>
      <c r="V240" s="2">
        <f t="shared" si="302"/>
        <v>1.0223262326312097</v>
      </c>
      <c r="W240" s="2">
        <f t="shared" si="302"/>
        <v>0.46744874941894365</v>
      </c>
      <c r="X240" s="2">
        <f t="shared" si="302"/>
        <v>0.56022564898242333</v>
      </c>
      <c r="Y240" s="2">
        <f t="shared" si="302"/>
        <v>1.0605217967969724</v>
      </c>
      <c r="Z240" s="2">
        <f t="shared" si="302"/>
        <v>0.44897826392987134</v>
      </c>
      <c r="AA240" s="2">
        <f t="shared" si="302"/>
        <v>0.93145048177559753</v>
      </c>
      <c r="AB240" s="2">
        <f t="shared" si="302"/>
        <v>0.41698765413823202</v>
      </c>
      <c r="AC240" s="2">
        <f t="shared" si="302"/>
        <v>0.52413244014734806</v>
      </c>
      <c r="AD240" s="2">
        <f t="shared" si="302"/>
        <v>1.0223262326312097</v>
      </c>
      <c r="AE240" s="2">
        <f t="shared" si="302"/>
        <v>1.8451861795052074</v>
      </c>
      <c r="AF240" s="2">
        <f t="shared" si="302"/>
        <v>0.41849957962720713</v>
      </c>
      <c r="AG240" s="2">
        <f t="shared" si="302"/>
        <v>2.7744674163602001</v>
      </c>
      <c r="AH240" s="2">
        <f t="shared" si="302"/>
        <v>0.41698765413823202</v>
      </c>
      <c r="AI240" s="2">
        <f t="shared" si="302"/>
        <v>0.69975458660982215</v>
      </c>
      <c r="AK240" s="2">
        <f>(B240+T240)/2</f>
        <v>0.45724315364901058</v>
      </c>
      <c r="AL240" s="2">
        <f t="shared" si="287"/>
        <v>0.72952120212783611</v>
      </c>
      <c r="AM240" s="2">
        <f t="shared" si="288"/>
        <v>3.5819781954110637</v>
      </c>
      <c r="AN240" s="2">
        <f t="shared" si="289"/>
        <v>0.87137455309884726</v>
      </c>
      <c r="AO240" s="2">
        <f t="shared" si="290"/>
        <v>0.78425863673207663</v>
      </c>
      <c r="AP240" s="2">
        <f t="shared" si="291"/>
        <v>3.7297564445744413</v>
      </c>
      <c r="AQ240" s="2">
        <f t="shared" si="292"/>
        <v>0.78489820874129734</v>
      </c>
      <c r="AR240" s="2">
        <f t="shared" si="293"/>
        <v>0.95156120428834057</v>
      </c>
      <c r="AS240" s="2">
        <f t="shared" si="294"/>
        <v>0.35661652395698062</v>
      </c>
      <c r="AT240" s="2">
        <f t="shared" si="295"/>
        <v>0.43113893618521615</v>
      </c>
      <c r="AU240" s="2">
        <f t="shared" si="296"/>
        <v>3.5819781954110637</v>
      </c>
      <c r="AV240" s="2">
        <f t="shared" si="297"/>
        <v>3.7404169989657619</v>
      </c>
      <c r="AW240" s="2">
        <f t="shared" si="298"/>
        <v>0.35755781668110881</v>
      </c>
      <c r="AX240" s="2">
        <f t="shared" si="299"/>
        <v>7.0231865113891541</v>
      </c>
      <c r="AY240" s="2">
        <f t="shared" si="300"/>
        <v>0.35661652395698062</v>
      </c>
      <c r="AZ240" s="2">
        <f t="shared" ref="AZ240" si="303">(Q240+AI240)/2</f>
        <v>0.47897318789494081</v>
      </c>
    </row>
    <row r="242" spans="1:52" x14ac:dyDescent="0.25">
      <c r="A242" s="1" t="s">
        <v>33</v>
      </c>
      <c r="B242">
        <v>27.213000000000001</v>
      </c>
      <c r="C242">
        <v>26.058000000000003</v>
      </c>
      <c r="D242">
        <v>56.751999999999995</v>
      </c>
      <c r="E242">
        <v>33.731999999999992</v>
      </c>
      <c r="F242">
        <v>26.087000000000007</v>
      </c>
      <c r="G242">
        <v>55.777000000000001</v>
      </c>
      <c r="H242">
        <v>35.080999999999996</v>
      </c>
      <c r="I242">
        <v>53.474000000000011</v>
      </c>
      <c r="J242">
        <v>60.703999999999994</v>
      </c>
      <c r="K242">
        <v>64.468999999999994</v>
      </c>
      <c r="L242">
        <v>56.751999999999995</v>
      </c>
      <c r="M242">
        <v>64.659000000000006</v>
      </c>
      <c r="N242">
        <v>60.705499999999994</v>
      </c>
      <c r="O242">
        <v>11.409000000000001</v>
      </c>
      <c r="P242">
        <v>60.703999999999994</v>
      </c>
      <c r="Q242">
        <v>15.748999999999999</v>
      </c>
      <c r="S242" s="1" t="s">
        <v>33</v>
      </c>
      <c r="T242">
        <v>21.321666666666665</v>
      </c>
      <c r="U242">
        <v>22.468333333333334</v>
      </c>
      <c r="V242">
        <v>52.44</v>
      </c>
      <c r="W242">
        <v>29.621666666666659</v>
      </c>
      <c r="X242">
        <v>21.495000000000001</v>
      </c>
      <c r="Y242">
        <v>51.818333333333335</v>
      </c>
      <c r="Z242">
        <v>29.698333333333334</v>
      </c>
      <c r="AA242">
        <v>52.585000000000001</v>
      </c>
      <c r="AB242">
        <v>59.581666666666671</v>
      </c>
      <c r="AC242">
        <v>62.141666666666673</v>
      </c>
      <c r="AD242">
        <v>52.44</v>
      </c>
      <c r="AE242">
        <v>66.720000000000013</v>
      </c>
      <c r="AF242">
        <v>59.580000000000005</v>
      </c>
      <c r="AG242">
        <v>14.283333333333331</v>
      </c>
      <c r="AH242">
        <v>59.581666666666671</v>
      </c>
      <c r="AI242">
        <v>14.125</v>
      </c>
    </row>
    <row r="243" spans="1:52" x14ac:dyDescent="0.25">
      <c r="B243">
        <v>26.869</v>
      </c>
      <c r="C243">
        <v>25.939</v>
      </c>
      <c r="D243">
        <v>55.830000000000005</v>
      </c>
      <c r="E243">
        <v>33.422000000000004</v>
      </c>
      <c r="F243">
        <v>26.250999999999998</v>
      </c>
      <c r="G243">
        <v>54.762000000000015</v>
      </c>
      <c r="H243">
        <v>34.807000000000002</v>
      </c>
      <c r="I243">
        <v>53.719999999999992</v>
      </c>
      <c r="J243">
        <v>60.753</v>
      </c>
      <c r="K243">
        <v>64.412999999999997</v>
      </c>
      <c r="L243">
        <v>55.830000000000005</v>
      </c>
      <c r="M243">
        <v>65.676000000000016</v>
      </c>
      <c r="N243">
        <v>60.753</v>
      </c>
      <c r="O243">
        <v>11.308000000000002</v>
      </c>
      <c r="P243">
        <v>60.753</v>
      </c>
      <c r="Q243">
        <v>15.687999999999999</v>
      </c>
      <c r="T243">
        <v>22.858333333333331</v>
      </c>
      <c r="U243">
        <v>21.556666666666668</v>
      </c>
      <c r="V243">
        <v>55.875</v>
      </c>
      <c r="W243">
        <v>29.183333333333334</v>
      </c>
      <c r="X243">
        <v>20.466666666666669</v>
      </c>
      <c r="Y243">
        <v>54.183333333333337</v>
      </c>
      <c r="Z243">
        <v>29.098333333333333</v>
      </c>
      <c r="AA243">
        <v>51.021666666666675</v>
      </c>
      <c r="AB243">
        <v>59.389999999999993</v>
      </c>
      <c r="AC243">
        <v>62.656666666666666</v>
      </c>
      <c r="AD243">
        <v>55.875</v>
      </c>
      <c r="AE243">
        <v>62.903333333333329</v>
      </c>
      <c r="AF243">
        <v>59.389166666666661</v>
      </c>
      <c r="AG243">
        <v>8.2750000000000004</v>
      </c>
      <c r="AH243">
        <v>59.389999999999993</v>
      </c>
      <c r="AI243">
        <v>13.465000000000002</v>
      </c>
    </row>
    <row r="244" spans="1:52" x14ac:dyDescent="0.25">
      <c r="B244">
        <v>26.597999999999995</v>
      </c>
      <c r="C244">
        <v>25.448</v>
      </c>
      <c r="D244">
        <v>58.849000000000004</v>
      </c>
      <c r="E244">
        <v>33.522999999999996</v>
      </c>
      <c r="F244">
        <v>25.495999999999999</v>
      </c>
      <c r="G244">
        <v>57.472999999999992</v>
      </c>
      <c r="H244">
        <v>34.730000000000004</v>
      </c>
      <c r="I244">
        <v>52.727999999999994</v>
      </c>
      <c r="J244">
        <v>60.658000000000001</v>
      </c>
      <c r="K244">
        <v>64.052999999999997</v>
      </c>
      <c r="L244">
        <v>58.849000000000004</v>
      </c>
      <c r="M244">
        <v>62.466999999999999</v>
      </c>
      <c r="N244">
        <v>60.657999999999994</v>
      </c>
      <c r="O244">
        <v>7.9279999999999999</v>
      </c>
      <c r="P244">
        <v>60.658000000000001</v>
      </c>
      <c r="Q244">
        <v>15.382000000000001</v>
      </c>
      <c r="T244">
        <v>23.423333333333332</v>
      </c>
      <c r="U244">
        <v>21.781666666666666</v>
      </c>
      <c r="V244">
        <v>58.195</v>
      </c>
      <c r="W244">
        <v>29.703333333333337</v>
      </c>
      <c r="X244">
        <v>21.183333333333334</v>
      </c>
      <c r="Y244">
        <v>57.451666666666675</v>
      </c>
      <c r="Z244">
        <v>30.068333333333328</v>
      </c>
      <c r="AA244">
        <v>51.013333333333328</v>
      </c>
      <c r="AB244">
        <v>60.024999999999999</v>
      </c>
      <c r="AC244">
        <v>63.38</v>
      </c>
      <c r="AD244">
        <v>58.195</v>
      </c>
      <c r="AE244">
        <v>61.854999999999997</v>
      </c>
      <c r="AF244">
        <v>60.025000000000006</v>
      </c>
      <c r="AG244">
        <v>6.8366666666666669</v>
      </c>
      <c r="AH244">
        <v>60.024999999999999</v>
      </c>
      <c r="AI244">
        <v>14.318333333333333</v>
      </c>
    </row>
    <row r="245" spans="1:52" x14ac:dyDescent="0.25">
      <c r="B245" s="2">
        <f>AVERAGE(B242:B244)</f>
        <v>26.893333333333331</v>
      </c>
      <c r="C245" s="2">
        <f t="shared" ref="C245:Q245" si="304">AVERAGE(C242:C244)</f>
        <v>25.814999999999998</v>
      </c>
      <c r="D245" s="2">
        <f t="shared" si="304"/>
        <v>57.143666666666661</v>
      </c>
      <c r="E245" s="2">
        <f t="shared" si="304"/>
        <v>33.558999999999997</v>
      </c>
      <c r="F245" s="2">
        <f t="shared" si="304"/>
        <v>25.944666666666667</v>
      </c>
      <c r="G245" s="2">
        <f t="shared" si="304"/>
        <v>56.003999999999998</v>
      </c>
      <c r="H245" s="2">
        <f t="shared" si="304"/>
        <v>34.872666666666667</v>
      </c>
      <c r="I245" s="2">
        <f t="shared" si="304"/>
        <v>53.307333333333332</v>
      </c>
      <c r="J245" s="2">
        <f t="shared" si="304"/>
        <v>60.705000000000005</v>
      </c>
      <c r="K245" s="2">
        <f t="shared" si="304"/>
        <v>64.311666666666667</v>
      </c>
      <c r="L245" s="2">
        <f t="shared" si="304"/>
        <v>57.143666666666661</v>
      </c>
      <c r="M245" s="2">
        <f t="shared" si="304"/>
        <v>64.26733333333334</v>
      </c>
      <c r="N245" s="2">
        <f t="shared" si="304"/>
        <v>60.705499999999994</v>
      </c>
      <c r="O245" s="2">
        <f t="shared" si="304"/>
        <v>10.215000000000002</v>
      </c>
      <c r="P245" s="2">
        <f t="shared" si="304"/>
        <v>60.705000000000005</v>
      </c>
      <c r="Q245" s="2">
        <f t="shared" si="304"/>
        <v>15.606333333333334</v>
      </c>
      <c r="T245" s="2">
        <f>AVERAGE(T242:T244)</f>
        <v>22.534444444444443</v>
      </c>
      <c r="U245" s="2">
        <f t="shared" ref="U245:AI245" si="305">AVERAGE(U242:U244)</f>
        <v>21.935555555555556</v>
      </c>
      <c r="V245" s="2">
        <f t="shared" si="305"/>
        <v>55.50333333333333</v>
      </c>
      <c r="W245" s="2">
        <f t="shared" si="305"/>
        <v>29.502777777777776</v>
      </c>
      <c r="X245" s="2">
        <f t="shared" si="305"/>
        <v>21.048333333333336</v>
      </c>
      <c r="Y245" s="2">
        <f t="shared" si="305"/>
        <v>54.484444444444449</v>
      </c>
      <c r="Z245" s="2">
        <f t="shared" si="305"/>
        <v>29.621666666666666</v>
      </c>
      <c r="AA245" s="2">
        <f t="shared" si="305"/>
        <v>51.54</v>
      </c>
      <c r="AB245" s="2">
        <f t="shared" si="305"/>
        <v>59.665555555555557</v>
      </c>
      <c r="AC245" s="2">
        <f t="shared" si="305"/>
        <v>62.726111111111116</v>
      </c>
      <c r="AD245" s="2">
        <f t="shared" si="305"/>
        <v>55.50333333333333</v>
      </c>
      <c r="AE245" s="2">
        <f t="shared" si="305"/>
        <v>63.826111111111111</v>
      </c>
      <c r="AF245" s="2">
        <f t="shared" si="305"/>
        <v>59.664722222222224</v>
      </c>
      <c r="AG245" s="2">
        <f t="shared" si="305"/>
        <v>9.798333333333332</v>
      </c>
      <c r="AH245" s="2">
        <f t="shared" si="305"/>
        <v>59.665555555555557</v>
      </c>
      <c r="AI245" s="2">
        <f t="shared" si="305"/>
        <v>13.969444444444447</v>
      </c>
      <c r="AK245" s="2">
        <f>(B245+T245)/2</f>
        <v>24.713888888888889</v>
      </c>
      <c r="AL245" s="2">
        <f t="shared" ref="AL245:AL246" si="306">(C245+U245)/2</f>
        <v>23.875277777777775</v>
      </c>
      <c r="AM245" s="2">
        <f t="shared" ref="AM245:AM246" si="307">(D245+V245)/2</f>
        <v>56.323499999999996</v>
      </c>
      <c r="AN245" s="2">
        <f t="shared" ref="AN245:AN246" si="308">(E245+W245)/2</f>
        <v>31.530888888888889</v>
      </c>
      <c r="AO245" s="2">
        <f t="shared" ref="AO245:AO246" si="309">(F245+X245)/2</f>
        <v>23.496500000000001</v>
      </c>
      <c r="AP245" s="2">
        <f t="shared" ref="AP245:AP246" si="310">(G245+Y245)/2</f>
        <v>55.24422222222222</v>
      </c>
      <c r="AQ245" s="2">
        <f t="shared" ref="AQ245:AQ246" si="311">(H245+Z245)/2</f>
        <v>32.247166666666665</v>
      </c>
      <c r="AR245" s="2">
        <f t="shared" ref="AR245:AR246" si="312">(I245+AA245)/2</f>
        <v>52.423666666666662</v>
      </c>
      <c r="AS245" s="2">
        <f t="shared" ref="AS245:AS246" si="313">(J245+AB245)/2</f>
        <v>60.185277777777785</v>
      </c>
      <c r="AT245" s="2">
        <f t="shared" ref="AT245:AT246" si="314">(K245+AC245)/2</f>
        <v>63.518888888888895</v>
      </c>
      <c r="AU245" s="2">
        <f t="shared" ref="AU245:AU246" si="315">(L245+AD245)/2</f>
        <v>56.323499999999996</v>
      </c>
      <c r="AV245" s="2">
        <f t="shared" ref="AV245:AV246" si="316">(M245+AE245)/2</f>
        <v>64.046722222222229</v>
      </c>
      <c r="AW245" s="2">
        <f t="shared" ref="AW245:AW246" si="317">(N245+AF245)/2</f>
        <v>60.185111111111112</v>
      </c>
      <c r="AX245" s="2">
        <f t="shared" ref="AX245:AX246" si="318">(O245+AG245)/2</f>
        <v>10.006666666666668</v>
      </c>
      <c r="AY245" s="2">
        <f t="shared" ref="AY245:AY246" si="319">(P245+AH245)/2</f>
        <v>60.185277777777785</v>
      </c>
      <c r="AZ245" s="2">
        <f>(Q245+AI245)/2</f>
        <v>14.78788888888889</v>
      </c>
    </row>
    <row r="246" spans="1:52" x14ac:dyDescent="0.25">
      <c r="B246" s="2">
        <f>_xlfn.STDEV.S(B242:B244)</f>
        <v>0.30822124088604763</v>
      </c>
      <c r="C246" s="2">
        <f t="shared" ref="C246:Q246" si="320">_xlfn.STDEV.S(C242:C244)</f>
        <v>0.32335274855798068</v>
      </c>
      <c r="D246" s="2">
        <f t="shared" si="320"/>
        <v>1.5471400496830707</v>
      </c>
      <c r="E246" s="2">
        <f t="shared" si="320"/>
        <v>0.15810439589081077</v>
      </c>
      <c r="F246" s="2">
        <f t="shared" si="320"/>
        <v>0.39711501272721256</v>
      </c>
      <c r="G246" s="2">
        <f t="shared" si="320"/>
        <v>1.3696813498036575</v>
      </c>
      <c r="H246" s="2">
        <f t="shared" si="320"/>
        <v>0.18448396497617831</v>
      </c>
      <c r="I246" s="2">
        <f t="shared" si="320"/>
        <v>0.5165746154558265</v>
      </c>
      <c r="J246" s="2">
        <f t="shared" si="320"/>
        <v>4.750789408087832E-2</v>
      </c>
      <c r="K246" s="2">
        <f t="shared" si="320"/>
        <v>0.22575502947516535</v>
      </c>
      <c r="L246" s="2">
        <f t="shared" si="320"/>
        <v>1.5471400496830707</v>
      </c>
      <c r="M246" s="2">
        <f t="shared" si="320"/>
        <v>1.639961076773885</v>
      </c>
      <c r="N246" s="2">
        <f t="shared" si="320"/>
        <v>4.7500000000002984E-2</v>
      </c>
      <c r="O246" s="2">
        <f t="shared" si="320"/>
        <v>1.9812438012521281</v>
      </c>
      <c r="P246" s="2">
        <f t="shared" si="320"/>
        <v>4.750789408087832E-2</v>
      </c>
      <c r="Q246" s="2">
        <f t="shared" si="320"/>
        <v>0.19665790940954481</v>
      </c>
      <c r="T246" s="2">
        <f>_xlfn.STDEV.S(T242:T244)</f>
        <v>1.0876252588569755</v>
      </c>
      <c r="U246" s="2">
        <f t="shared" ref="U246:AI246" si="321">_xlfn.STDEV.S(U242:U244)</f>
        <v>0.47491617194023827</v>
      </c>
      <c r="V246" s="2">
        <f t="shared" si="321"/>
        <v>2.8954461371839302</v>
      </c>
      <c r="W246" s="2">
        <f t="shared" si="321"/>
        <v>0.27964428462946567</v>
      </c>
      <c r="X246" s="2">
        <f t="shared" si="321"/>
        <v>0.52729129625958215</v>
      </c>
      <c r="Y246" s="2">
        <f t="shared" si="321"/>
        <v>2.8287120809720201</v>
      </c>
      <c r="Z246" s="2">
        <f t="shared" si="321"/>
        <v>0.48952357791359896</v>
      </c>
      <c r="AA246" s="2">
        <f t="shared" si="321"/>
        <v>0.90500613871460023</v>
      </c>
      <c r="AB246" s="2">
        <f t="shared" si="321"/>
        <v>0.32570578634599084</v>
      </c>
      <c r="AC246" s="2">
        <f t="shared" si="321"/>
        <v>0.62208058903911911</v>
      </c>
      <c r="AD246" s="2">
        <f t="shared" si="321"/>
        <v>2.8954461371839302</v>
      </c>
      <c r="AE246" s="2">
        <f t="shared" si="321"/>
        <v>2.5604092193183532</v>
      </c>
      <c r="AF246" s="2">
        <f t="shared" si="321"/>
        <v>0.32627350206253547</v>
      </c>
      <c r="AG246" s="2">
        <f t="shared" si="321"/>
        <v>3.950141699286807</v>
      </c>
      <c r="AH246" s="2">
        <f t="shared" si="321"/>
        <v>0.32570578634599084</v>
      </c>
      <c r="AI246" s="2">
        <f t="shared" si="321"/>
        <v>0.44742886875188526</v>
      </c>
      <c r="AK246" s="2">
        <f>(B246+T246)/2</f>
        <v>0.69792324987151155</v>
      </c>
      <c r="AL246" s="2">
        <f t="shared" si="306"/>
        <v>0.39913446024910948</v>
      </c>
      <c r="AM246" s="2">
        <f t="shared" si="307"/>
        <v>2.2212930934335002</v>
      </c>
      <c r="AN246" s="2">
        <f t="shared" si="308"/>
        <v>0.21887434026013822</v>
      </c>
      <c r="AO246" s="2">
        <f t="shared" si="309"/>
        <v>0.46220315449339733</v>
      </c>
      <c r="AP246" s="2">
        <f t="shared" si="310"/>
        <v>2.0991967153878388</v>
      </c>
      <c r="AQ246" s="2">
        <f t="shared" si="311"/>
        <v>0.33700377144488863</v>
      </c>
      <c r="AR246" s="2">
        <f t="shared" si="312"/>
        <v>0.71079037708521331</v>
      </c>
      <c r="AS246" s="2">
        <f t="shared" si="313"/>
        <v>0.18660684021343457</v>
      </c>
      <c r="AT246" s="2">
        <f t="shared" si="314"/>
        <v>0.42391780925714223</v>
      </c>
      <c r="AU246" s="2">
        <f t="shared" si="315"/>
        <v>2.2212930934335002</v>
      </c>
      <c r="AV246" s="2">
        <f t="shared" si="316"/>
        <v>2.1001851480461191</v>
      </c>
      <c r="AW246" s="2">
        <f t="shared" si="317"/>
        <v>0.18688675103126923</v>
      </c>
      <c r="AX246" s="2">
        <f t="shared" si="318"/>
        <v>2.9656927502694677</v>
      </c>
      <c r="AY246" s="2">
        <f t="shared" si="319"/>
        <v>0.18660684021343457</v>
      </c>
      <c r="AZ246" s="2">
        <f t="shared" ref="AZ246" si="322">(Q246+AI246)/2</f>
        <v>0.32204338908071506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77C08-8B43-4F81-A48C-01EFF71D8136}">
  <dimension ref="A1:BR210"/>
  <sheetViews>
    <sheetView topLeftCell="F1" zoomScale="70" zoomScaleNormal="70" workbookViewId="0">
      <selection activeCell="L6" sqref="L6"/>
    </sheetView>
  </sheetViews>
  <sheetFormatPr defaultRowHeight="14.4" x14ac:dyDescent="0.25"/>
  <cols>
    <col min="1" max="1" width="15.88671875" bestFit="1" customWidth="1"/>
    <col min="2" max="17" width="18.88671875" bestFit="1" customWidth="1"/>
    <col min="37" max="37" width="13.88671875" bestFit="1" customWidth="1"/>
  </cols>
  <sheetData>
    <row r="1" spans="1:53" x14ac:dyDescent="0.25">
      <c r="B1" t="s">
        <v>38</v>
      </c>
      <c r="C1" t="s">
        <v>10</v>
      </c>
      <c r="D1" t="s">
        <v>11</v>
      </c>
      <c r="E1" t="s">
        <v>9</v>
      </c>
      <c r="F1" t="s">
        <v>15</v>
      </c>
      <c r="G1" t="s">
        <v>7</v>
      </c>
      <c r="H1" t="s">
        <v>8</v>
      </c>
      <c r="I1" s="1" t="s">
        <v>12</v>
      </c>
    </row>
    <row r="2" spans="1:53" x14ac:dyDescent="0.25">
      <c r="A2" s="2" t="s">
        <v>64</v>
      </c>
      <c r="B2">
        <v>74.09</v>
      </c>
      <c r="C2">
        <v>68.06</v>
      </c>
      <c r="D2">
        <v>74.47</v>
      </c>
      <c r="E2">
        <v>78.17</v>
      </c>
      <c r="F2">
        <v>20.329999999999998</v>
      </c>
      <c r="G2">
        <v>52.78</v>
      </c>
      <c r="H2">
        <v>71.27</v>
      </c>
      <c r="I2">
        <f>(C2+D2)/2</f>
        <v>71.265000000000001</v>
      </c>
      <c r="J2">
        <f>ABS(C2-D2)</f>
        <v>6.4099999999999966</v>
      </c>
    </row>
    <row r="3" spans="1:53" x14ac:dyDescent="0.25">
      <c r="B3">
        <v>74.09</v>
      </c>
      <c r="C3">
        <v>66.55</v>
      </c>
      <c r="D3">
        <v>74.290000000000006</v>
      </c>
      <c r="E3">
        <v>78.02</v>
      </c>
      <c r="F3">
        <v>20.48</v>
      </c>
      <c r="G3">
        <v>52.94</v>
      </c>
      <c r="H3">
        <v>70.42</v>
      </c>
      <c r="I3">
        <f>(C3+D3)/2</f>
        <v>70.42</v>
      </c>
      <c r="J3">
        <f t="shared" ref="J3:J4" si="0">ABS(C3-D3)</f>
        <v>7.7400000000000091</v>
      </c>
    </row>
    <row r="4" spans="1:53" x14ac:dyDescent="0.25">
      <c r="B4">
        <v>73.81</v>
      </c>
      <c r="C4">
        <v>68.22</v>
      </c>
      <c r="D4">
        <v>74.09</v>
      </c>
      <c r="E4">
        <v>78.02</v>
      </c>
      <c r="F4">
        <v>20.41</v>
      </c>
      <c r="G4">
        <v>52.75</v>
      </c>
      <c r="H4">
        <v>71.150000000000006</v>
      </c>
      <c r="I4">
        <f>(C4+D4)/2</f>
        <v>71.155000000000001</v>
      </c>
      <c r="J4">
        <f t="shared" si="0"/>
        <v>5.8700000000000045</v>
      </c>
    </row>
    <row r="5" spans="1:53" x14ac:dyDescent="0.25">
      <c r="B5">
        <f>AVERAGE(B2:B4)</f>
        <v>73.99666666666667</v>
      </c>
      <c r="C5">
        <f>AVERAGE(C2:C4)</f>
        <v>67.61</v>
      </c>
      <c r="D5">
        <f t="shared" ref="D5:I5" si="1">AVERAGE(D2:D4)</f>
        <v>74.283333333333331</v>
      </c>
      <c r="E5">
        <f t="shared" si="1"/>
        <v>78.069999999999993</v>
      </c>
      <c r="F5">
        <f t="shared" si="1"/>
        <v>20.406666666666666</v>
      </c>
      <c r="G5">
        <f t="shared" si="1"/>
        <v>52.823333333333331</v>
      </c>
      <c r="H5">
        <f t="shared" si="1"/>
        <v>70.946666666666673</v>
      </c>
      <c r="I5">
        <f t="shared" si="1"/>
        <v>70.946666666666673</v>
      </c>
      <c r="J5">
        <f>AVERAGE(J2:J4)</f>
        <v>6.6733333333333364</v>
      </c>
    </row>
    <row r="6" spans="1:53" x14ac:dyDescent="0.25">
      <c r="B6">
        <f>_xlfn.STDEV.S(B2:B4)</f>
        <v>0.16165807537309587</v>
      </c>
      <c r="C6">
        <f>_xlfn.STDEV.S(C2:C4)</f>
        <v>0.92146622292952407</v>
      </c>
      <c r="D6">
        <f t="shared" ref="D6:I6" si="2">_xlfn.STDEV.S(D2:D4)</f>
        <v>0.1900876990584412</v>
      </c>
      <c r="E6">
        <f t="shared" si="2"/>
        <v>8.6602540378447154E-2</v>
      </c>
      <c r="F6">
        <f t="shared" si="2"/>
        <v>7.5055534994652423E-2</v>
      </c>
      <c r="G6">
        <f t="shared" si="2"/>
        <v>0.10214368964029553</v>
      </c>
      <c r="H6">
        <f t="shared" si="2"/>
        <v>0.46003623045726766</v>
      </c>
      <c r="I6">
        <f t="shared" si="2"/>
        <v>0.45941085460982833</v>
      </c>
      <c r="J6">
        <f>_xlfn.STDEV.S(J2:J4)</f>
        <v>0.96241016896817078</v>
      </c>
    </row>
    <row r="8" spans="1:53" x14ac:dyDescent="0.25"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 t="s">
        <v>8</v>
      </c>
      <c r="K8" t="s">
        <v>9</v>
      </c>
      <c r="L8" t="s">
        <v>10</v>
      </c>
      <c r="M8" t="s">
        <v>11</v>
      </c>
      <c r="N8" s="1" t="s">
        <v>12</v>
      </c>
      <c r="O8" t="s">
        <v>13</v>
      </c>
      <c r="P8" t="s">
        <v>14</v>
      </c>
      <c r="Q8" t="s">
        <v>15</v>
      </c>
      <c r="T8" t="s">
        <v>0</v>
      </c>
      <c r="U8" t="s">
        <v>1</v>
      </c>
      <c r="V8" t="s">
        <v>2</v>
      </c>
      <c r="W8" t="s">
        <v>3</v>
      </c>
      <c r="X8" t="s">
        <v>4</v>
      </c>
      <c r="Y8" t="s">
        <v>5</v>
      </c>
      <c r="Z8" t="s">
        <v>6</v>
      </c>
      <c r="AA8" t="s">
        <v>7</v>
      </c>
      <c r="AB8" t="s">
        <v>8</v>
      </c>
      <c r="AC8" t="s">
        <v>9</v>
      </c>
      <c r="AD8" t="s">
        <v>10</v>
      </c>
      <c r="AE8" t="s">
        <v>11</v>
      </c>
      <c r="AF8" s="1" t="s">
        <v>12</v>
      </c>
      <c r="AG8" t="s">
        <v>13</v>
      </c>
      <c r="AH8" t="s">
        <v>14</v>
      </c>
      <c r="AI8" t="s">
        <v>15</v>
      </c>
      <c r="AL8" t="s">
        <v>0</v>
      </c>
      <c r="AM8" t="s">
        <v>1</v>
      </c>
      <c r="AN8" t="s">
        <v>2</v>
      </c>
      <c r="AO8" t="s">
        <v>3</v>
      </c>
      <c r="AP8" t="s">
        <v>4</v>
      </c>
      <c r="AQ8" t="s">
        <v>5</v>
      </c>
      <c r="AR8" t="s">
        <v>6</v>
      </c>
      <c r="AS8" t="s">
        <v>7</v>
      </c>
      <c r="AT8" t="s">
        <v>8</v>
      </c>
      <c r="AU8" t="s">
        <v>9</v>
      </c>
      <c r="AV8" t="s">
        <v>10</v>
      </c>
      <c r="AW8" t="s">
        <v>11</v>
      </c>
      <c r="AX8" s="1" t="s">
        <v>12</v>
      </c>
      <c r="AY8" t="s">
        <v>13</v>
      </c>
      <c r="AZ8" t="s">
        <v>14</v>
      </c>
      <c r="BA8" t="s">
        <v>15</v>
      </c>
    </row>
    <row r="9" spans="1:53" x14ac:dyDescent="0.25">
      <c r="A9" s="1" t="s">
        <v>19</v>
      </c>
      <c r="B9">
        <v>10.16</v>
      </c>
      <c r="C9">
        <v>10.19</v>
      </c>
      <c r="D9">
        <v>43.08</v>
      </c>
      <c r="E9">
        <v>15.88</v>
      </c>
      <c r="F9">
        <v>10.93</v>
      </c>
      <c r="G9">
        <v>46.26</v>
      </c>
      <c r="H9">
        <v>17.68</v>
      </c>
      <c r="I9">
        <v>42.31</v>
      </c>
      <c r="J9">
        <v>50.44</v>
      </c>
      <c r="K9">
        <v>50.6</v>
      </c>
      <c r="L9">
        <v>43.08</v>
      </c>
      <c r="M9">
        <v>57.8</v>
      </c>
      <c r="N9">
        <f>(L9+M9)/2</f>
        <v>50.44</v>
      </c>
      <c r="O9">
        <v>14.71</v>
      </c>
      <c r="P9">
        <v>50.44</v>
      </c>
      <c r="Q9">
        <v>0.56999999999999995</v>
      </c>
      <c r="S9" s="2" t="s">
        <v>34</v>
      </c>
      <c r="T9">
        <v>10.07</v>
      </c>
      <c r="U9">
        <v>10.01</v>
      </c>
      <c r="V9">
        <v>62.26</v>
      </c>
      <c r="W9">
        <v>17.03</v>
      </c>
      <c r="X9">
        <v>10.37</v>
      </c>
      <c r="Y9">
        <v>64.53</v>
      </c>
      <c r="Z9">
        <v>17.88</v>
      </c>
      <c r="AA9">
        <v>34.869999999999997</v>
      </c>
      <c r="AB9">
        <v>50.05</v>
      </c>
      <c r="AC9">
        <v>49.92</v>
      </c>
      <c r="AD9">
        <v>62.26</v>
      </c>
      <c r="AE9">
        <v>37.83</v>
      </c>
      <c r="AF9">
        <f>(AD9+AE9)/2</f>
        <v>50.045000000000002</v>
      </c>
      <c r="AG9">
        <v>24.43</v>
      </c>
      <c r="AH9">
        <v>50.05</v>
      </c>
      <c r="AI9">
        <v>0.05</v>
      </c>
      <c r="AK9" s="2" t="s">
        <v>36</v>
      </c>
      <c r="AL9">
        <v>9.9700000000000006</v>
      </c>
      <c r="AM9">
        <v>9.94</v>
      </c>
      <c r="AN9">
        <v>39.57</v>
      </c>
      <c r="AO9">
        <v>14.5</v>
      </c>
      <c r="AP9">
        <v>8.86</v>
      </c>
      <c r="AQ9">
        <v>34.840000000000003</v>
      </c>
      <c r="AR9">
        <v>14.13</v>
      </c>
      <c r="AS9">
        <v>43.02</v>
      </c>
      <c r="AT9">
        <v>50.14</v>
      </c>
      <c r="AU9">
        <v>50.37</v>
      </c>
      <c r="AV9">
        <v>39.57</v>
      </c>
      <c r="AW9">
        <v>60.7</v>
      </c>
      <c r="AX9">
        <f>(AV9+AW9)/2</f>
        <v>50.135000000000005</v>
      </c>
      <c r="AY9">
        <v>21.13</v>
      </c>
      <c r="AZ9">
        <v>50.14</v>
      </c>
      <c r="BA9">
        <v>0.05</v>
      </c>
    </row>
    <row r="10" spans="1:53" x14ac:dyDescent="0.25">
      <c r="B10">
        <v>9.86</v>
      </c>
      <c r="C10">
        <v>9.81</v>
      </c>
      <c r="D10">
        <v>46.54</v>
      </c>
      <c r="E10">
        <v>15.78</v>
      </c>
      <c r="F10">
        <v>9.6999999999999993</v>
      </c>
      <c r="G10">
        <v>45.88</v>
      </c>
      <c r="H10">
        <v>16.010000000000002</v>
      </c>
      <c r="I10">
        <v>41</v>
      </c>
      <c r="J10">
        <v>49.57</v>
      </c>
      <c r="K10">
        <v>49.37</v>
      </c>
      <c r="L10">
        <v>46.54</v>
      </c>
      <c r="M10">
        <v>52.59</v>
      </c>
      <c r="N10">
        <f t="shared" ref="N10:N14" si="3">(L10+M10)/2</f>
        <v>49.564999999999998</v>
      </c>
      <c r="O10">
        <v>6.05</v>
      </c>
      <c r="P10">
        <v>49.57</v>
      </c>
      <c r="Q10">
        <v>-0.54</v>
      </c>
      <c r="T10">
        <v>10.08</v>
      </c>
      <c r="U10">
        <v>10.18</v>
      </c>
      <c r="V10">
        <v>50.84</v>
      </c>
      <c r="W10">
        <v>16.63</v>
      </c>
      <c r="X10">
        <v>10.28</v>
      </c>
      <c r="Y10">
        <v>51.51</v>
      </c>
      <c r="Z10">
        <v>17.14</v>
      </c>
      <c r="AA10">
        <v>40.450000000000003</v>
      </c>
      <c r="AB10">
        <v>50.42</v>
      </c>
      <c r="AC10">
        <v>50.09</v>
      </c>
      <c r="AD10">
        <v>50.84</v>
      </c>
      <c r="AE10">
        <v>50</v>
      </c>
      <c r="AF10">
        <f t="shared" ref="AF10:AF14" si="4">(AD10+AE10)/2</f>
        <v>50.42</v>
      </c>
      <c r="AG10">
        <v>0.83</v>
      </c>
      <c r="AH10">
        <v>50.42</v>
      </c>
      <c r="AI10">
        <v>0.54</v>
      </c>
      <c r="AL10">
        <v>10.09</v>
      </c>
      <c r="AM10">
        <v>10</v>
      </c>
      <c r="AN10">
        <v>43.15</v>
      </c>
      <c r="AO10">
        <v>15.74</v>
      </c>
      <c r="AP10">
        <v>9.83</v>
      </c>
      <c r="AQ10">
        <v>42.47</v>
      </c>
      <c r="AR10">
        <v>15.97</v>
      </c>
      <c r="AS10">
        <v>42.64</v>
      </c>
      <c r="AT10">
        <v>49.99</v>
      </c>
      <c r="AU10">
        <v>50.15</v>
      </c>
      <c r="AV10">
        <v>43.15</v>
      </c>
      <c r="AW10">
        <v>56.84</v>
      </c>
      <c r="AX10">
        <f t="shared" ref="AX10:AX14" si="5">(AV10+AW10)/2</f>
        <v>49.995000000000005</v>
      </c>
      <c r="AY10">
        <v>13.69</v>
      </c>
      <c r="AZ10">
        <v>49.99</v>
      </c>
      <c r="BA10">
        <v>0.03</v>
      </c>
    </row>
    <row r="11" spans="1:53" x14ac:dyDescent="0.25">
      <c r="B11">
        <v>22.8</v>
      </c>
      <c r="C11">
        <v>22.93</v>
      </c>
      <c r="D11">
        <v>48.98</v>
      </c>
      <c r="E11">
        <v>30.61</v>
      </c>
      <c r="F11">
        <v>23.11</v>
      </c>
      <c r="G11">
        <v>49.14</v>
      </c>
      <c r="H11">
        <v>31.44</v>
      </c>
      <c r="I11">
        <v>46.2</v>
      </c>
      <c r="J11">
        <v>50.36</v>
      </c>
      <c r="K11">
        <v>50.21</v>
      </c>
      <c r="L11">
        <v>48.98</v>
      </c>
      <c r="M11">
        <v>51.75</v>
      </c>
      <c r="N11">
        <f t="shared" si="3"/>
        <v>50.364999999999995</v>
      </c>
      <c r="O11">
        <v>2.77</v>
      </c>
      <c r="P11">
        <v>50.36</v>
      </c>
      <c r="Q11">
        <v>0.5</v>
      </c>
      <c r="T11">
        <v>22.95</v>
      </c>
      <c r="U11">
        <v>22.94</v>
      </c>
      <c r="V11">
        <v>51.72</v>
      </c>
      <c r="W11">
        <v>31.28</v>
      </c>
      <c r="X11">
        <v>23.34</v>
      </c>
      <c r="Y11">
        <v>52.57</v>
      </c>
      <c r="Z11">
        <v>32.33</v>
      </c>
      <c r="AA11">
        <v>45.51</v>
      </c>
      <c r="AB11">
        <v>50.31</v>
      </c>
      <c r="AC11">
        <v>50.16</v>
      </c>
      <c r="AD11">
        <v>51.72</v>
      </c>
      <c r="AE11">
        <v>48.91</v>
      </c>
      <c r="AF11">
        <f t="shared" si="4"/>
        <v>50.314999999999998</v>
      </c>
      <c r="AG11">
        <v>2.81</v>
      </c>
      <c r="AH11">
        <v>50.31</v>
      </c>
      <c r="AI11">
        <v>0.48</v>
      </c>
      <c r="AL11">
        <v>23.08</v>
      </c>
      <c r="AM11">
        <v>23.2</v>
      </c>
      <c r="AN11">
        <v>43.59</v>
      </c>
      <c r="AO11">
        <v>29.35</v>
      </c>
      <c r="AP11">
        <v>22.92</v>
      </c>
      <c r="AQ11">
        <v>43.29</v>
      </c>
      <c r="AR11">
        <v>29.97</v>
      </c>
      <c r="AS11">
        <v>47.45</v>
      </c>
      <c r="AT11">
        <v>50.46</v>
      </c>
      <c r="AU11">
        <v>50.12</v>
      </c>
      <c r="AV11">
        <v>43.59</v>
      </c>
      <c r="AW11">
        <v>57.33</v>
      </c>
      <c r="AX11">
        <f t="shared" si="5"/>
        <v>50.46</v>
      </c>
      <c r="AY11">
        <v>13.74</v>
      </c>
      <c r="AZ11">
        <v>50.46</v>
      </c>
      <c r="BA11">
        <v>0.87</v>
      </c>
    </row>
    <row r="12" spans="1:53" x14ac:dyDescent="0.25">
      <c r="B12">
        <v>10.220000000000001</v>
      </c>
      <c r="C12">
        <v>10.15</v>
      </c>
      <c r="D12">
        <v>47.91</v>
      </c>
      <c r="E12">
        <v>16.190000000000001</v>
      </c>
      <c r="F12">
        <v>9.7899999999999991</v>
      </c>
      <c r="G12">
        <v>46.14</v>
      </c>
      <c r="H12">
        <v>16.149999999999999</v>
      </c>
      <c r="I12">
        <v>41.31</v>
      </c>
      <c r="J12">
        <v>50.43</v>
      </c>
      <c r="K12">
        <v>50.41</v>
      </c>
      <c r="L12">
        <v>47.91</v>
      </c>
      <c r="M12">
        <v>52.95</v>
      </c>
      <c r="N12">
        <f t="shared" si="3"/>
        <v>50.43</v>
      </c>
      <c r="O12">
        <v>5.04</v>
      </c>
      <c r="P12">
        <v>50.43</v>
      </c>
      <c r="Q12">
        <v>0.5</v>
      </c>
      <c r="T12">
        <v>10</v>
      </c>
      <c r="U12">
        <v>9.98</v>
      </c>
      <c r="V12">
        <v>49.86</v>
      </c>
      <c r="W12">
        <v>16.3</v>
      </c>
      <c r="X12">
        <v>10.08</v>
      </c>
      <c r="Y12">
        <v>50.73</v>
      </c>
      <c r="Z12">
        <v>16.82</v>
      </c>
      <c r="AA12">
        <v>40.07</v>
      </c>
      <c r="AB12">
        <v>49.77</v>
      </c>
      <c r="AC12">
        <v>49.69</v>
      </c>
      <c r="AD12">
        <v>49.86</v>
      </c>
      <c r="AE12">
        <v>49.67</v>
      </c>
      <c r="AF12">
        <f t="shared" si="4"/>
        <v>49.765000000000001</v>
      </c>
      <c r="AG12">
        <v>0.19</v>
      </c>
      <c r="AH12">
        <v>49.77</v>
      </c>
      <c r="AI12">
        <v>-0.19</v>
      </c>
      <c r="AL12">
        <v>10.220000000000001</v>
      </c>
      <c r="AM12">
        <v>10.06</v>
      </c>
      <c r="AN12">
        <v>44.9</v>
      </c>
      <c r="AO12">
        <v>16.21</v>
      </c>
      <c r="AP12">
        <v>10.43</v>
      </c>
      <c r="AQ12">
        <v>46.31</v>
      </c>
      <c r="AR12">
        <v>17.02</v>
      </c>
      <c r="AS12">
        <v>42.45</v>
      </c>
      <c r="AT12">
        <v>50.26</v>
      </c>
      <c r="AU12">
        <v>50.69</v>
      </c>
      <c r="AV12">
        <v>44.9</v>
      </c>
      <c r="AW12">
        <v>55.61</v>
      </c>
      <c r="AX12">
        <f t="shared" si="5"/>
        <v>50.254999999999995</v>
      </c>
      <c r="AY12">
        <v>10.7</v>
      </c>
      <c r="AZ12">
        <v>50.26</v>
      </c>
      <c r="BA12">
        <v>0.23</v>
      </c>
    </row>
    <row r="13" spans="1:53" x14ac:dyDescent="0.25">
      <c r="B13">
        <v>23.54</v>
      </c>
      <c r="C13">
        <v>23.1</v>
      </c>
      <c r="D13">
        <v>48.27</v>
      </c>
      <c r="E13">
        <v>29.97</v>
      </c>
      <c r="F13">
        <v>22.6</v>
      </c>
      <c r="G13">
        <v>47.03</v>
      </c>
      <c r="H13">
        <v>30.53</v>
      </c>
      <c r="I13">
        <v>46.11</v>
      </c>
      <c r="J13">
        <v>50.6</v>
      </c>
      <c r="K13">
        <v>51.01</v>
      </c>
      <c r="L13">
        <v>48.27</v>
      </c>
      <c r="M13">
        <v>52.94</v>
      </c>
      <c r="N13">
        <f t="shared" si="3"/>
        <v>50.605000000000004</v>
      </c>
      <c r="O13">
        <v>4.67</v>
      </c>
      <c r="P13">
        <v>50.6</v>
      </c>
      <c r="Q13">
        <v>0.98</v>
      </c>
      <c r="T13">
        <v>22.54</v>
      </c>
      <c r="U13">
        <v>22.31</v>
      </c>
      <c r="V13">
        <v>47.51</v>
      </c>
      <c r="W13">
        <v>29.71</v>
      </c>
      <c r="X13">
        <v>22.35</v>
      </c>
      <c r="Y13">
        <v>47.97</v>
      </c>
      <c r="Z13">
        <v>30.49</v>
      </c>
      <c r="AA13">
        <v>45.35</v>
      </c>
      <c r="AB13">
        <v>49.22</v>
      </c>
      <c r="AC13">
        <v>49.26</v>
      </c>
      <c r="AD13">
        <v>47.51</v>
      </c>
      <c r="AE13">
        <v>50.94</v>
      </c>
      <c r="AF13">
        <f t="shared" si="4"/>
        <v>49.224999999999994</v>
      </c>
      <c r="AG13">
        <v>3.43</v>
      </c>
      <c r="AH13">
        <v>49.22</v>
      </c>
      <c r="AI13">
        <v>-1.1200000000000001</v>
      </c>
      <c r="AL13">
        <v>23.21</v>
      </c>
      <c r="AM13">
        <v>22.98</v>
      </c>
      <c r="AN13">
        <v>47.93</v>
      </c>
      <c r="AO13">
        <v>30.76</v>
      </c>
      <c r="AP13">
        <v>23.67</v>
      </c>
      <c r="AQ13">
        <v>49.26</v>
      </c>
      <c r="AR13">
        <v>31.98</v>
      </c>
      <c r="AS13">
        <v>46.76</v>
      </c>
      <c r="AT13">
        <v>50.37</v>
      </c>
      <c r="AU13">
        <v>50.3</v>
      </c>
      <c r="AV13">
        <v>47.93</v>
      </c>
      <c r="AW13">
        <v>52.81</v>
      </c>
      <c r="AX13">
        <f t="shared" si="5"/>
        <v>50.370000000000005</v>
      </c>
      <c r="AY13">
        <v>4.88</v>
      </c>
      <c r="AZ13">
        <v>50.37</v>
      </c>
      <c r="BA13">
        <v>0.56999999999999995</v>
      </c>
    </row>
    <row r="14" spans="1:53" x14ac:dyDescent="0.25">
      <c r="B14">
        <v>16.559999999999999</v>
      </c>
      <c r="C14">
        <v>16.510000000000002</v>
      </c>
      <c r="D14">
        <v>48.86</v>
      </c>
      <c r="E14">
        <v>23.23</v>
      </c>
      <c r="F14">
        <v>16.68</v>
      </c>
      <c r="G14">
        <v>50.1</v>
      </c>
      <c r="H14">
        <v>25.03</v>
      </c>
      <c r="I14">
        <v>43.01</v>
      </c>
      <c r="J14">
        <v>49.93</v>
      </c>
      <c r="K14">
        <v>49.89</v>
      </c>
      <c r="L14">
        <v>48.86</v>
      </c>
      <c r="M14">
        <v>51</v>
      </c>
      <c r="N14">
        <f t="shared" si="3"/>
        <v>49.93</v>
      </c>
      <c r="O14">
        <v>2.14</v>
      </c>
      <c r="P14">
        <v>49.93</v>
      </c>
      <c r="Q14">
        <v>0.21</v>
      </c>
      <c r="T14">
        <v>16.29</v>
      </c>
      <c r="U14">
        <v>16.170000000000002</v>
      </c>
      <c r="V14">
        <v>48.26</v>
      </c>
      <c r="W14">
        <v>22.62</v>
      </c>
      <c r="X14">
        <v>16.04</v>
      </c>
      <c r="Y14">
        <v>47.23</v>
      </c>
      <c r="Z14">
        <v>23.94</v>
      </c>
      <c r="AA14">
        <v>43.07</v>
      </c>
      <c r="AB14">
        <v>50</v>
      </c>
      <c r="AC14">
        <v>49.71</v>
      </c>
      <c r="AD14">
        <v>48.26</v>
      </c>
      <c r="AE14">
        <v>51.74</v>
      </c>
      <c r="AF14">
        <f t="shared" si="4"/>
        <v>50</v>
      </c>
      <c r="AG14">
        <v>3.48</v>
      </c>
      <c r="AH14">
        <v>50</v>
      </c>
      <c r="AI14">
        <v>-0.19</v>
      </c>
      <c r="AL14">
        <v>16.66</v>
      </c>
      <c r="AM14">
        <v>16.079999999999998</v>
      </c>
      <c r="AN14">
        <v>46.69</v>
      </c>
      <c r="AO14">
        <v>22.44</v>
      </c>
      <c r="AP14">
        <v>16.170000000000002</v>
      </c>
      <c r="AQ14">
        <v>46.85</v>
      </c>
      <c r="AR14">
        <v>24.04</v>
      </c>
      <c r="AS14">
        <v>43.21</v>
      </c>
      <c r="AT14">
        <v>49.58</v>
      </c>
      <c r="AU14">
        <v>49.86</v>
      </c>
      <c r="AV14">
        <v>46.69</v>
      </c>
      <c r="AW14">
        <v>52.48</v>
      </c>
      <c r="AX14">
        <f t="shared" si="5"/>
        <v>49.584999999999994</v>
      </c>
      <c r="AY14">
        <v>5.79</v>
      </c>
      <c r="AZ14">
        <v>49.58</v>
      </c>
      <c r="BA14">
        <v>-0.54</v>
      </c>
    </row>
    <row r="15" spans="1:53" x14ac:dyDescent="0.25">
      <c r="B15" s="2">
        <f>AVERAGE(B9:B14)</f>
        <v>15.523333333333333</v>
      </c>
      <c r="C15" s="2">
        <f t="shared" ref="C15:Q15" si="6">AVERAGE(C9:C14)</f>
        <v>15.448333333333336</v>
      </c>
      <c r="D15" s="2">
        <f t="shared" si="6"/>
        <v>47.273333333333333</v>
      </c>
      <c r="E15" s="2">
        <f t="shared" si="6"/>
        <v>21.943333333333332</v>
      </c>
      <c r="F15" s="2">
        <f t="shared" si="6"/>
        <v>15.468333333333334</v>
      </c>
      <c r="G15" s="2">
        <f t="shared" si="6"/>
        <v>47.425000000000004</v>
      </c>
      <c r="H15" s="2">
        <f t="shared" si="6"/>
        <v>22.806666666666668</v>
      </c>
      <c r="I15" s="2">
        <f t="shared" si="6"/>
        <v>43.323333333333331</v>
      </c>
      <c r="J15" s="2">
        <f t="shared" si="6"/>
        <v>50.221666666666664</v>
      </c>
      <c r="K15" s="2">
        <f t="shared" si="6"/>
        <v>50.248333333333335</v>
      </c>
      <c r="L15" s="2">
        <f t="shared" si="6"/>
        <v>47.273333333333333</v>
      </c>
      <c r="M15" s="2">
        <f t="shared" si="6"/>
        <v>53.17166666666666</v>
      </c>
      <c r="N15" s="2">
        <f t="shared" si="6"/>
        <v>50.222500000000004</v>
      </c>
      <c r="O15" s="2">
        <f t="shared" si="6"/>
        <v>5.8966666666666674</v>
      </c>
      <c r="P15" s="2">
        <f t="shared" si="6"/>
        <v>50.221666666666664</v>
      </c>
      <c r="Q15" s="2">
        <f t="shared" si="6"/>
        <v>0.36999999999999994</v>
      </c>
      <c r="T15" s="2">
        <f>AVERAGE(T9:T14)</f>
        <v>15.321666666666664</v>
      </c>
      <c r="U15" s="2">
        <f t="shared" ref="U15:AI15" si="7">AVERAGE(U9:U14)</f>
        <v>15.265000000000001</v>
      </c>
      <c r="V15" s="2">
        <f t="shared" si="7"/>
        <v>51.741666666666667</v>
      </c>
      <c r="W15" s="2">
        <f t="shared" si="7"/>
        <v>22.261666666666667</v>
      </c>
      <c r="X15" s="2">
        <f t="shared" si="7"/>
        <v>15.409999999999997</v>
      </c>
      <c r="Y15" s="2">
        <f t="shared" si="7"/>
        <v>52.423333333333325</v>
      </c>
      <c r="Z15" s="2">
        <f t="shared" si="7"/>
        <v>23.099999999999998</v>
      </c>
      <c r="AA15" s="2">
        <f t="shared" si="7"/>
        <v>41.553333333333327</v>
      </c>
      <c r="AB15" s="2">
        <f t="shared" si="7"/>
        <v>49.961666666666666</v>
      </c>
      <c r="AC15" s="2">
        <f t="shared" si="7"/>
        <v>49.805</v>
      </c>
      <c r="AD15" s="2">
        <f t="shared" si="7"/>
        <v>51.741666666666667</v>
      </c>
      <c r="AE15" s="2">
        <f t="shared" si="7"/>
        <v>48.181666666666672</v>
      </c>
      <c r="AF15" s="2">
        <f t="shared" si="7"/>
        <v>49.961666666666666</v>
      </c>
      <c r="AG15" s="2">
        <f t="shared" si="7"/>
        <v>5.8616666666666655</v>
      </c>
      <c r="AH15" s="2">
        <f t="shared" si="7"/>
        <v>49.961666666666666</v>
      </c>
      <c r="AI15" s="2">
        <f t="shared" si="7"/>
        <v>-7.166666666666667E-2</v>
      </c>
      <c r="AJ15" s="2"/>
      <c r="AL15" s="2">
        <f>AVERAGE(AL9:AL14)</f>
        <v>15.538333333333332</v>
      </c>
      <c r="AM15" s="2">
        <f t="shared" ref="AM15:BA15" si="8">AVERAGE(AM9:AM14)</f>
        <v>15.376666666666667</v>
      </c>
      <c r="AN15" s="2">
        <f t="shared" si="8"/>
        <v>44.305000000000007</v>
      </c>
      <c r="AO15" s="2">
        <f t="shared" si="8"/>
        <v>21.500000000000004</v>
      </c>
      <c r="AP15" s="2">
        <f t="shared" si="8"/>
        <v>15.313333333333334</v>
      </c>
      <c r="AQ15" s="2">
        <f t="shared" si="8"/>
        <v>43.836666666666666</v>
      </c>
      <c r="AR15" s="2">
        <f t="shared" si="8"/>
        <v>22.185000000000002</v>
      </c>
      <c r="AS15" s="2">
        <f t="shared" si="8"/>
        <v>44.254999999999995</v>
      </c>
      <c r="AT15" s="2">
        <f t="shared" si="8"/>
        <v>50.133333333333333</v>
      </c>
      <c r="AU15" s="2">
        <f t="shared" si="8"/>
        <v>50.248333333333335</v>
      </c>
      <c r="AV15" s="2">
        <f t="shared" si="8"/>
        <v>44.305000000000007</v>
      </c>
      <c r="AW15" s="2">
        <f t="shared" si="8"/>
        <v>55.961666666666673</v>
      </c>
      <c r="AX15" s="2">
        <f t="shared" si="8"/>
        <v>50.133333333333333</v>
      </c>
      <c r="AY15" s="2">
        <f t="shared" si="8"/>
        <v>11.655000000000001</v>
      </c>
      <c r="AZ15" s="2">
        <f t="shared" si="8"/>
        <v>50.133333333333333</v>
      </c>
      <c r="BA15" s="2">
        <f t="shared" si="8"/>
        <v>0.20166666666666666</v>
      </c>
    </row>
    <row r="17" spans="1:53" x14ac:dyDescent="0.25">
      <c r="S17" s="2"/>
    </row>
    <row r="18" spans="1:53" x14ac:dyDescent="0.25">
      <c r="A18" s="1" t="s">
        <v>20</v>
      </c>
      <c r="B18">
        <v>10.16</v>
      </c>
      <c r="C18">
        <v>10.27</v>
      </c>
      <c r="D18">
        <v>43.94</v>
      </c>
      <c r="E18">
        <v>16.02</v>
      </c>
      <c r="F18">
        <v>9.85</v>
      </c>
      <c r="G18">
        <v>42.31</v>
      </c>
      <c r="H18">
        <v>15.97</v>
      </c>
      <c r="I18">
        <v>42.79</v>
      </c>
      <c r="J18">
        <v>50.55</v>
      </c>
      <c r="K18">
        <v>50.63</v>
      </c>
      <c r="L18">
        <v>43.94</v>
      </c>
      <c r="M18">
        <v>57.16</v>
      </c>
      <c r="N18">
        <f>(L18+M18)/2</f>
        <v>50.55</v>
      </c>
      <c r="O18">
        <v>13.22</v>
      </c>
      <c r="P18">
        <v>50.55</v>
      </c>
      <c r="Q18">
        <v>0.7</v>
      </c>
      <c r="S18" s="1" t="s">
        <v>37</v>
      </c>
      <c r="T18">
        <v>9.99</v>
      </c>
      <c r="U18">
        <v>9.99</v>
      </c>
      <c r="V18">
        <v>47.89</v>
      </c>
      <c r="W18">
        <v>15.79</v>
      </c>
      <c r="X18">
        <v>9.3699999999999992</v>
      </c>
      <c r="Y18">
        <v>44.66</v>
      </c>
      <c r="Z18">
        <v>15.49</v>
      </c>
      <c r="AA18">
        <v>40.72</v>
      </c>
      <c r="AB18">
        <v>50.13</v>
      </c>
      <c r="AC18">
        <v>50.15</v>
      </c>
      <c r="AD18">
        <v>47.89</v>
      </c>
      <c r="AE18">
        <v>52.38</v>
      </c>
      <c r="AF18">
        <f>(AD18+AE18)/2</f>
        <v>50.135000000000005</v>
      </c>
      <c r="AG18">
        <v>4.4800000000000004</v>
      </c>
      <c r="AH18">
        <v>50.13</v>
      </c>
      <c r="AI18">
        <v>0.1</v>
      </c>
      <c r="AK18" s="1" t="s">
        <v>45</v>
      </c>
      <c r="AL18">
        <v>10.29</v>
      </c>
      <c r="AM18">
        <v>10.4</v>
      </c>
      <c r="AN18">
        <v>53.98</v>
      </c>
      <c r="AO18">
        <v>16.66</v>
      </c>
      <c r="AP18">
        <v>9.6999999999999993</v>
      </c>
      <c r="AQ18">
        <v>50.65</v>
      </c>
      <c r="AR18">
        <v>16.28</v>
      </c>
      <c r="AS18">
        <v>39.17</v>
      </c>
      <c r="AT18">
        <v>50.99</v>
      </c>
      <c r="AU18">
        <v>50.94</v>
      </c>
      <c r="AV18">
        <v>53.98</v>
      </c>
      <c r="AW18">
        <v>48</v>
      </c>
      <c r="AX18">
        <f>(AV18+AW18)/2</f>
        <v>50.989999999999995</v>
      </c>
      <c r="AY18">
        <v>5.98</v>
      </c>
      <c r="AZ18">
        <v>50.99</v>
      </c>
      <c r="BA18">
        <v>1.24</v>
      </c>
    </row>
    <row r="19" spans="1:53" x14ac:dyDescent="0.25">
      <c r="A19" s="1"/>
      <c r="B19">
        <v>10.36</v>
      </c>
      <c r="C19">
        <v>10.33</v>
      </c>
      <c r="D19">
        <v>52.83</v>
      </c>
      <c r="E19">
        <v>17.04</v>
      </c>
      <c r="F19">
        <v>10.68</v>
      </c>
      <c r="G19">
        <v>54.26</v>
      </c>
      <c r="H19">
        <v>17.850000000000001</v>
      </c>
      <c r="I19">
        <v>40.4</v>
      </c>
      <c r="J19">
        <v>51.12</v>
      </c>
      <c r="K19">
        <v>51.34</v>
      </c>
      <c r="L19">
        <v>52.83</v>
      </c>
      <c r="M19">
        <v>49.41</v>
      </c>
      <c r="N19">
        <f t="shared" ref="N19:N23" si="9">(L19+M19)/2</f>
        <v>51.12</v>
      </c>
      <c r="O19">
        <v>3.42</v>
      </c>
      <c r="P19">
        <v>51.12</v>
      </c>
      <c r="Q19">
        <v>1.21</v>
      </c>
      <c r="T19">
        <v>9.94</v>
      </c>
      <c r="U19">
        <v>10.01</v>
      </c>
      <c r="V19">
        <v>55.1</v>
      </c>
      <c r="W19">
        <v>16.73</v>
      </c>
      <c r="X19">
        <v>10.35</v>
      </c>
      <c r="Y19">
        <v>56.97</v>
      </c>
      <c r="Z19">
        <v>17.52</v>
      </c>
      <c r="AA19">
        <v>38.28</v>
      </c>
      <c r="AB19">
        <v>50.05</v>
      </c>
      <c r="AC19">
        <v>49.76</v>
      </c>
      <c r="AD19">
        <v>55.1</v>
      </c>
      <c r="AE19">
        <v>44.99</v>
      </c>
      <c r="AF19">
        <f t="shared" ref="AF19:AF23" si="10">(AD19+AE19)/2</f>
        <v>50.045000000000002</v>
      </c>
      <c r="AG19">
        <v>10.119999999999999</v>
      </c>
      <c r="AH19">
        <v>50.05</v>
      </c>
      <c r="AI19">
        <v>0</v>
      </c>
      <c r="AL19">
        <v>10.36</v>
      </c>
      <c r="AM19">
        <v>10.26</v>
      </c>
      <c r="AN19">
        <v>47.36</v>
      </c>
      <c r="AO19">
        <v>16.309999999999999</v>
      </c>
      <c r="AP19">
        <v>9.94</v>
      </c>
      <c r="AQ19">
        <v>46.18</v>
      </c>
      <c r="AR19">
        <v>16.36</v>
      </c>
      <c r="AS19">
        <v>41.71</v>
      </c>
      <c r="AT19">
        <v>50.52</v>
      </c>
      <c r="AU19">
        <v>50.53</v>
      </c>
      <c r="AV19">
        <v>47.36</v>
      </c>
      <c r="AW19">
        <v>53.68</v>
      </c>
      <c r="AX19">
        <f t="shared" ref="AX19:AX23" si="11">(AV19+AW19)/2</f>
        <v>50.519999999999996</v>
      </c>
      <c r="AY19">
        <v>6.32</v>
      </c>
      <c r="AZ19">
        <v>50.52</v>
      </c>
      <c r="BA19">
        <v>0.69</v>
      </c>
    </row>
    <row r="20" spans="1:53" x14ac:dyDescent="0.25">
      <c r="A20" s="1"/>
      <c r="B20">
        <v>22.97</v>
      </c>
      <c r="C20">
        <v>23.06</v>
      </c>
      <c r="D20">
        <v>50.45</v>
      </c>
      <c r="E20">
        <v>30.91</v>
      </c>
      <c r="F20">
        <v>22.99</v>
      </c>
      <c r="G20">
        <v>49.95</v>
      </c>
      <c r="H20">
        <v>31.48</v>
      </c>
      <c r="I20">
        <v>46</v>
      </c>
      <c r="J20">
        <v>50.62</v>
      </c>
      <c r="K20">
        <v>50.7</v>
      </c>
      <c r="L20">
        <v>50.45</v>
      </c>
      <c r="M20">
        <v>50.78</v>
      </c>
      <c r="N20">
        <f t="shared" si="9"/>
        <v>50.615000000000002</v>
      </c>
      <c r="O20">
        <v>0.33</v>
      </c>
      <c r="P20">
        <v>50.62</v>
      </c>
      <c r="Q20">
        <v>0.88</v>
      </c>
      <c r="T20">
        <v>23.01</v>
      </c>
      <c r="U20">
        <v>22.74</v>
      </c>
      <c r="V20">
        <v>52.38</v>
      </c>
      <c r="W20">
        <v>31.02</v>
      </c>
      <c r="X20">
        <v>22.65</v>
      </c>
      <c r="Y20">
        <v>52.32</v>
      </c>
      <c r="Z20">
        <v>31.61</v>
      </c>
      <c r="AA20">
        <v>44.77</v>
      </c>
      <c r="AB20">
        <v>49.92</v>
      </c>
      <c r="AC20">
        <v>49.85</v>
      </c>
      <c r="AD20">
        <v>52.38</v>
      </c>
      <c r="AE20">
        <v>47.47</v>
      </c>
      <c r="AF20">
        <f t="shared" si="10"/>
        <v>49.924999999999997</v>
      </c>
      <c r="AG20">
        <v>4.91</v>
      </c>
      <c r="AH20">
        <v>49.92</v>
      </c>
      <c r="AI20">
        <v>-0.03</v>
      </c>
      <c r="AL20">
        <v>23.67</v>
      </c>
      <c r="AM20">
        <v>23.38</v>
      </c>
      <c r="AN20">
        <v>50.15</v>
      </c>
      <c r="AO20">
        <v>31.34</v>
      </c>
      <c r="AP20">
        <v>23.49</v>
      </c>
      <c r="AQ20">
        <v>50.35</v>
      </c>
      <c r="AR20">
        <v>32.04</v>
      </c>
      <c r="AS20">
        <v>46.65</v>
      </c>
      <c r="AT20">
        <v>50.9</v>
      </c>
      <c r="AU20">
        <v>51.38</v>
      </c>
      <c r="AV20">
        <v>50.15</v>
      </c>
      <c r="AW20">
        <v>51.64</v>
      </c>
      <c r="AX20">
        <f t="shared" si="11"/>
        <v>50.894999999999996</v>
      </c>
      <c r="AY20">
        <v>1.48</v>
      </c>
      <c r="AZ20">
        <v>50.9</v>
      </c>
      <c r="BA20">
        <v>1.47</v>
      </c>
    </row>
    <row r="21" spans="1:53" x14ac:dyDescent="0.25">
      <c r="A21" s="1"/>
      <c r="B21">
        <v>10.210000000000001</v>
      </c>
      <c r="C21">
        <v>10.210000000000001</v>
      </c>
      <c r="D21">
        <v>49.38</v>
      </c>
      <c r="E21">
        <v>16.38</v>
      </c>
      <c r="F21">
        <v>9.8699999999999992</v>
      </c>
      <c r="G21">
        <v>47.87</v>
      </c>
      <c r="H21">
        <v>16.37</v>
      </c>
      <c r="I21">
        <v>40.869999999999997</v>
      </c>
      <c r="J21">
        <v>50.52</v>
      </c>
      <c r="K21">
        <v>50.62</v>
      </c>
      <c r="L21">
        <v>49.38</v>
      </c>
      <c r="M21">
        <v>51.66</v>
      </c>
      <c r="N21">
        <f t="shared" si="9"/>
        <v>50.519999999999996</v>
      </c>
      <c r="O21">
        <v>2.2799999999999998</v>
      </c>
      <c r="P21">
        <v>50.52</v>
      </c>
      <c r="Q21">
        <v>0.64</v>
      </c>
      <c r="T21">
        <v>10.32</v>
      </c>
      <c r="U21">
        <v>10.130000000000001</v>
      </c>
      <c r="V21">
        <v>52.69</v>
      </c>
      <c r="W21">
        <v>16.760000000000002</v>
      </c>
      <c r="X21">
        <v>10.51</v>
      </c>
      <c r="Y21">
        <v>55.21</v>
      </c>
      <c r="Z21">
        <v>17.66</v>
      </c>
      <c r="AA21">
        <v>39.409999999999997</v>
      </c>
      <c r="AB21">
        <v>50.15</v>
      </c>
      <c r="AC21">
        <v>50.2</v>
      </c>
      <c r="AD21">
        <v>52.69</v>
      </c>
      <c r="AE21">
        <v>47.6</v>
      </c>
      <c r="AF21">
        <f t="shared" si="10"/>
        <v>50.144999999999996</v>
      </c>
      <c r="AG21">
        <v>5.09</v>
      </c>
      <c r="AH21">
        <v>50.15</v>
      </c>
      <c r="AI21">
        <v>0.38</v>
      </c>
      <c r="AL21">
        <v>10.52</v>
      </c>
      <c r="AM21">
        <v>10.199999999999999</v>
      </c>
      <c r="AN21">
        <v>42.08</v>
      </c>
      <c r="AO21">
        <v>16.13</v>
      </c>
      <c r="AP21">
        <v>10.52</v>
      </c>
      <c r="AQ21">
        <v>43.19</v>
      </c>
      <c r="AR21">
        <v>16.920000000000002</v>
      </c>
      <c r="AS21">
        <v>43.68</v>
      </c>
      <c r="AT21">
        <v>50.57</v>
      </c>
      <c r="AU21">
        <v>50.78</v>
      </c>
      <c r="AV21">
        <v>42.08</v>
      </c>
      <c r="AW21">
        <v>59.06</v>
      </c>
      <c r="AX21">
        <f t="shared" si="11"/>
        <v>50.57</v>
      </c>
      <c r="AY21">
        <v>16.97</v>
      </c>
      <c r="AZ21">
        <v>50.57</v>
      </c>
      <c r="BA21">
        <v>0.63</v>
      </c>
    </row>
    <row r="22" spans="1:53" x14ac:dyDescent="0.25">
      <c r="A22" s="1"/>
      <c r="B22">
        <v>22.79</v>
      </c>
      <c r="C22">
        <v>22.98</v>
      </c>
      <c r="D22">
        <v>49.47</v>
      </c>
      <c r="E22">
        <v>30.61</v>
      </c>
      <c r="F22">
        <v>22.77</v>
      </c>
      <c r="G22">
        <v>48.83</v>
      </c>
      <c r="H22">
        <v>31.06</v>
      </c>
      <c r="I22">
        <v>46.04</v>
      </c>
      <c r="J22">
        <v>50.42</v>
      </c>
      <c r="K22">
        <v>50.12</v>
      </c>
      <c r="L22">
        <v>49.47</v>
      </c>
      <c r="M22">
        <v>51.36</v>
      </c>
      <c r="N22">
        <f t="shared" si="9"/>
        <v>50.414999999999999</v>
      </c>
      <c r="O22">
        <v>1.89</v>
      </c>
      <c r="P22">
        <v>50.42</v>
      </c>
      <c r="Q22">
        <v>0.61</v>
      </c>
      <c r="T22">
        <v>23.38</v>
      </c>
      <c r="U22">
        <v>23.37</v>
      </c>
      <c r="V22">
        <v>54.69</v>
      </c>
      <c r="W22">
        <v>31.91</v>
      </c>
      <c r="X22">
        <v>23.27</v>
      </c>
      <c r="Y22">
        <v>54.17</v>
      </c>
      <c r="Z22">
        <v>32.549999999999997</v>
      </c>
      <c r="AA22">
        <v>45.26</v>
      </c>
      <c r="AB22">
        <v>51.1</v>
      </c>
      <c r="AC22">
        <v>51.17</v>
      </c>
      <c r="AD22">
        <v>54.69</v>
      </c>
      <c r="AE22">
        <v>47.52</v>
      </c>
      <c r="AF22">
        <f t="shared" si="10"/>
        <v>51.105000000000004</v>
      </c>
      <c r="AG22">
        <v>7.17</v>
      </c>
      <c r="AH22">
        <v>51.1</v>
      </c>
      <c r="AI22">
        <v>1.75</v>
      </c>
      <c r="AL22">
        <v>23.58</v>
      </c>
      <c r="AM22">
        <v>22.99</v>
      </c>
      <c r="AN22">
        <v>44.76</v>
      </c>
      <c r="AO22">
        <v>30.04</v>
      </c>
      <c r="AP22">
        <v>23.63</v>
      </c>
      <c r="AQ22">
        <v>45.87</v>
      </c>
      <c r="AR22">
        <v>31.19</v>
      </c>
      <c r="AS22">
        <v>47.47</v>
      </c>
      <c r="AT22">
        <v>50.37</v>
      </c>
      <c r="AU22">
        <v>51.16</v>
      </c>
      <c r="AV22">
        <v>44.76</v>
      </c>
      <c r="AW22">
        <v>55.98</v>
      </c>
      <c r="AX22">
        <f t="shared" si="11"/>
        <v>50.37</v>
      </c>
      <c r="AY22">
        <v>11.21</v>
      </c>
      <c r="AZ22">
        <v>50.37</v>
      </c>
      <c r="BA22">
        <v>0.56000000000000005</v>
      </c>
    </row>
    <row r="23" spans="1:53" x14ac:dyDescent="0.25">
      <c r="A23" s="1"/>
      <c r="B23">
        <v>17.260000000000002</v>
      </c>
      <c r="C23">
        <v>17.079999999999998</v>
      </c>
      <c r="D23">
        <v>52.85</v>
      </c>
      <c r="E23">
        <v>24.15</v>
      </c>
      <c r="F23">
        <v>16.8</v>
      </c>
      <c r="G23">
        <v>51.78</v>
      </c>
      <c r="H23">
        <v>25.37</v>
      </c>
      <c r="I23">
        <v>43.3</v>
      </c>
      <c r="J23">
        <v>51.47</v>
      </c>
      <c r="K23">
        <v>51.21</v>
      </c>
      <c r="L23">
        <v>52.85</v>
      </c>
      <c r="M23">
        <v>50.08</v>
      </c>
      <c r="N23">
        <f t="shared" si="9"/>
        <v>51.465000000000003</v>
      </c>
      <c r="O23">
        <v>2.78</v>
      </c>
      <c r="P23">
        <v>51.47</v>
      </c>
      <c r="Q23">
        <v>1.99</v>
      </c>
      <c r="T23">
        <v>16.96</v>
      </c>
      <c r="U23">
        <v>16.57</v>
      </c>
      <c r="V23">
        <v>52.16</v>
      </c>
      <c r="W23">
        <v>23.62</v>
      </c>
      <c r="X23">
        <v>16.39</v>
      </c>
      <c r="Y23">
        <v>51.87</v>
      </c>
      <c r="Z23">
        <v>24.91</v>
      </c>
      <c r="AA23">
        <v>42.28</v>
      </c>
      <c r="AB23">
        <v>50.28</v>
      </c>
      <c r="AC23">
        <v>50.32</v>
      </c>
      <c r="AD23">
        <v>52.16</v>
      </c>
      <c r="AE23">
        <v>48.4</v>
      </c>
      <c r="AF23">
        <f t="shared" si="10"/>
        <v>50.28</v>
      </c>
      <c r="AG23">
        <v>3.76</v>
      </c>
      <c r="AH23">
        <v>50.28</v>
      </c>
      <c r="AI23">
        <v>0.52</v>
      </c>
      <c r="AL23">
        <v>17.18</v>
      </c>
      <c r="AM23">
        <v>16.87</v>
      </c>
      <c r="AN23">
        <v>45.77</v>
      </c>
      <c r="AO23">
        <v>23.21</v>
      </c>
      <c r="AP23">
        <v>17.07</v>
      </c>
      <c r="AQ23">
        <v>46.16</v>
      </c>
      <c r="AR23">
        <v>24.93</v>
      </c>
      <c r="AS23">
        <v>45.08</v>
      </c>
      <c r="AT23">
        <v>50.91</v>
      </c>
      <c r="AU23">
        <v>51.5</v>
      </c>
      <c r="AV23">
        <v>45.77</v>
      </c>
      <c r="AW23">
        <v>56.05</v>
      </c>
      <c r="AX23">
        <f t="shared" si="11"/>
        <v>50.91</v>
      </c>
      <c r="AY23">
        <v>10.28</v>
      </c>
      <c r="AZ23">
        <v>50.91</v>
      </c>
      <c r="BA23">
        <v>1.22</v>
      </c>
    </row>
    <row r="24" spans="1:53" x14ac:dyDescent="0.25">
      <c r="A24" s="1"/>
      <c r="B24" s="2">
        <f>AVERAGE(B18:B23)</f>
        <v>15.625</v>
      </c>
      <c r="C24" s="2">
        <f t="shared" ref="C24:Q24" si="12">AVERAGE(C18:C23)</f>
        <v>15.654999999999999</v>
      </c>
      <c r="D24" s="2">
        <f t="shared" si="12"/>
        <v>49.82</v>
      </c>
      <c r="E24" s="2">
        <f t="shared" si="12"/>
        <v>22.518333333333331</v>
      </c>
      <c r="F24" s="2">
        <f t="shared" si="12"/>
        <v>15.493333333333332</v>
      </c>
      <c r="G24" s="2">
        <f t="shared" si="12"/>
        <v>49.166666666666664</v>
      </c>
      <c r="H24" s="2">
        <f t="shared" si="12"/>
        <v>23.016666666666666</v>
      </c>
      <c r="I24" s="2">
        <f t="shared" si="12"/>
        <v>43.233333333333327</v>
      </c>
      <c r="J24" s="2">
        <f t="shared" si="12"/>
        <v>50.783333333333339</v>
      </c>
      <c r="K24" s="2">
        <f t="shared" si="12"/>
        <v>50.77</v>
      </c>
      <c r="L24" s="2">
        <f t="shared" si="12"/>
        <v>49.82</v>
      </c>
      <c r="M24" s="2">
        <f t="shared" si="12"/>
        <v>51.741666666666667</v>
      </c>
      <c r="N24" s="2">
        <f t="shared" si="12"/>
        <v>50.780833333333334</v>
      </c>
      <c r="O24" s="2">
        <f t="shared" si="12"/>
        <v>3.9866666666666668</v>
      </c>
      <c r="P24" s="2">
        <f t="shared" si="12"/>
        <v>50.783333333333339</v>
      </c>
      <c r="Q24" s="2">
        <f t="shared" si="12"/>
        <v>1.0050000000000001</v>
      </c>
      <c r="T24" s="2">
        <f>AVERAGE(T18:T23)</f>
        <v>15.6</v>
      </c>
      <c r="U24" s="2">
        <f t="shared" ref="U24:AI24" si="13">AVERAGE(U18:U23)</f>
        <v>15.468333333333334</v>
      </c>
      <c r="V24" s="2">
        <f t="shared" si="13"/>
        <v>52.484999999999992</v>
      </c>
      <c r="W24" s="2">
        <f t="shared" si="13"/>
        <v>22.638333333333332</v>
      </c>
      <c r="X24" s="2">
        <f t="shared" si="13"/>
        <v>15.423333333333332</v>
      </c>
      <c r="Y24" s="2">
        <f t="shared" si="13"/>
        <v>52.533333333333331</v>
      </c>
      <c r="Z24" s="2">
        <f t="shared" si="13"/>
        <v>23.290000000000003</v>
      </c>
      <c r="AA24" s="2">
        <f t="shared" si="13"/>
        <v>41.786666666666669</v>
      </c>
      <c r="AB24" s="2">
        <f t="shared" si="13"/>
        <v>50.271666666666668</v>
      </c>
      <c r="AC24" s="2">
        <f t="shared" si="13"/>
        <v>50.241666666666667</v>
      </c>
      <c r="AD24" s="2">
        <f t="shared" si="13"/>
        <v>52.484999999999992</v>
      </c>
      <c r="AE24" s="2">
        <f t="shared" si="13"/>
        <v>48.06</v>
      </c>
      <c r="AF24" s="2">
        <f t="shared" si="13"/>
        <v>50.272500000000001</v>
      </c>
      <c r="AG24" s="2">
        <f t="shared" si="13"/>
        <v>5.921666666666666</v>
      </c>
      <c r="AH24" s="2">
        <f t="shared" si="13"/>
        <v>50.271666666666668</v>
      </c>
      <c r="AI24" s="2">
        <f t="shared" si="13"/>
        <v>0.45333333333333337</v>
      </c>
      <c r="AL24" s="2">
        <f>AVERAGE(AL18:AL23)</f>
        <v>15.933333333333332</v>
      </c>
      <c r="AM24" s="2">
        <f t="shared" ref="AM24:BA24" si="14">AVERAGE(AM18:AM23)</f>
        <v>15.683333333333332</v>
      </c>
      <c r="AN24" s="2">
        <f t="shared" si="14"/>
        <v>47.349999999999994</v>
      </c>
      <c r="AO24" s="2">
        <f t="shared" si="14"/>
        <v>22.281666666666666</v>
      </c>
      <c r="AP24" s="2">
        <f t="shared" si="14"/>
        <v>15.725</v>
      </c>
      <c r="AQ24" s="2">
        <f t="shared" si="14"/>
        <v>47.066666666666663</v>
      </c>
      <c r="AR24" s="2">
        <f t="shared" si="14"/>
        <v>22.953333333333333</v>
      </c>
      <c r="AS24" s="2">
        <f t="shared" si="14"/>
        <v>43.96</v>
      </c>
      <c r="AT24" s="2">
        <f t="shared" si="14"/>
        <v>50.71</v>
      </c>
      <c r="AU24" s="2">
        <f t="shared" si="14"/>
        <v>51.048333333333325</v>
      </c>
      <c r="AV24" s="2">
        <f t="shared" si="14"/>
        <v>47.349999999999994</v>
      </c>
      <c r="AW24" s="2">
        <f t="shared" si="14"/>
        <v>54.068333333333335</v>
      </c>
      <c r="AX24" s="2">
        <f t="shared" si="14"/>
        <v>50.709166666666668</v>
      </c>
      <c r="AY24" s="2">
        <f t="shared" si="14"/>
        <v>8.706666666666667</v>
      </c>
      <c r="AZ24" s="2">
        <f t="shared" si="14"/>
        <v>50.71</v>
      </c>
      <c r="BA24" s="2">
        <f t="shared" si="14"/>
        <v>0.96833333333333327</v>
      </c>
    </row>
    <row r="27" spans="1:53" x14ac:dyDescent="0.25">
      <c r="A27" s="1" t="s">
        <v>16</v>
      </c>
      <c r="B27">
        <v>10.18</v>
      </c>
      <c r="C27">
        <v>10.29</v>
      </c>
      <c r="D27">
        <v>51.89</v>
      </c>
      <c r="E27">
        <v>16.46</v>
      </c>
      <c r="F27">
        <v>9.74</v>
      </c>
      <c r="G27">
        <v>49.41</v>
      </c>
      <c r="H27">
        <v>16.27</v>
      </c>
      <c r="I27">
        <v>39.93</v>
      </c>
      <c r="J27">
        <v>50.66</v>
      </c>
      <c r="K27">
        <v>50.42</v>
      </c>
      <c r="L27">
        <v>51.89</v>
      </c>
      <c r="M27">
        <v>49.44</v>
      </c>
      <c r="N27">
        <f>(L27+M27)/2</f>
        <v>50.664999999999999</v>
      </c>
      <c r="O27">
        <v>2.4500000000000002</v>
      </c>
      <c r="P27">
        <v>50.66</v>
      </c>
      <c r="Q27">
        <v>0.84</v>
      </c>
      <c r="S27" s="1" t="s">
        <v>48</v>
      </c>
      <c r="T27">
        <v>10.11</v>
      </c>
      <c r="U27">
        <v>10.130000000000001</v>
      </c>
      <c r="V27">
        <v>48.36</v>
      </c>
      <c r="W27">
        <v>16.350000000000001</v>
      </c>
      <c r="X27">
        <v>10.17</v>
      </c>
      <c r="Y27">
        <v>48.63</v>
      </c>
      <c r="Z27">
        <v>16.82</v>
      </c>
      <c r="AA27">
        <v>41.14</v>
      </c>
      <c r="AB27">
        <v>50.31</v>
      </c>
      <c r="AC27">
        <v>50.46</v>
      </c>
      <c r="AD27">
        <v>48.36</v>
      </c>
      <c r="AE27">
        <v>52.27</v>
      </c>
      <c r="AF27">
        <f>(AD27+AE27)/2</f>
        <v>50.314999999999998</v>
      </c>
      <c r="AG27">
        <v>3.91</v>
      </c>
      <c r="AH27">
        <v>50.31</v>
      </c>
      <c r="AI27">
        <v>0.36</v>
      </c>
      <c r="AK27" s="1" t="s">
        <v>47</v>
      </c>
      <c r="AL27">
        <v>10.26</v>
      </c>
      <c r="AM27">
        <v>10</v>
      </c>
      <c r="AN27">
        <v>51.11</v>
      </c>
      <c r="AO27">
        <v>16.21</v>
      </c>
      <c r="AP27">
        <v>9.73</v>
      </c>
      <c r="AQ27">
        <v>50.03</v>
      </c>
      <c r="AR27">
        <v>16.29</v>
      </c>
      <c r="AS27">
        <v>39.47</v>
      </c>
      <c r="AT27">
        <v>49.85</v>
      </c>
      <c r="AU27">
        <v>50.21</v>
      </c>
      <c r="AV27">
        <v>51.11</v>
      </c>
      <c r="AW27">
        <v>48.59</v>
      </c>
      <c r="AX27">
        <f>(AV27+AW27)/2</f>
        <v>49.85</v>
      </c>
      <c r="AY27">
        <v>2.52</v>
      </c>
      <c r="AZ27">
        <v>49.85</v>
      </c>
      <c r="BA27">
        <v>-0.1</v>
      </c>
    </row>
    <row r="28" spans="1:53" x14ac:dyDescent="0.25">
      <c r="A28" s="1"/>
      <c r="B28">
        <v>10.33</v>
      </c>
      <c r="C28">
        <v>10.53</v>
      </c>
      <c r="D28">
        <v>45.09</v>
      </c>
      <c r="E28">
        <v>16.079999999999998</v>
      </c>
      <c r="F28">
        <v>9.61</v>
      </c>
      <c r="G28">
        <v>41.53</v>
      </c>
      <c r="H28">
        <v>15.61</v>
      </c>
      <c r="I28">
        <v>42.64</v>
      </c>
      <c r="J28">
        <v>51.06</v>
      </c>
      <c r="K28">
        <v>51.17</v>
      </c>
      <c r="L28">
        <v>45.09</v>
      </c>
      <c r="M28">
        <v>57.04</v>
      </c>
      <c r="N28">
        <f t="shared" ref="N28:N32" si="15">(L28+M28)/2</f>
        <v>51.064999999999998</v>
      </c>
      <c r="O28">
        <v>11.96</v>
      </c>
      <c r="P28">
        <v>51.06</v>
      </c>
      <c r="Q28">
        <v>1.34</v>
      </c>
      <c r="T28">
        <v>9.9700000000000006</v>
      </c>
      <c r="U28">
        <v>9.8699999999999992</v>
      </c>
      <c r="V28">
        <v>39.659999999999997</v>
      </c>
      <c r="W28">
        <v>15.35</v>
      </c>
      <c r="X28">
        <v>9.7799999999999994</v>
      </c>
      <c r="Y28">
        <v>39.159999999999997</v>
      </c>
      <c r="Z28">
        <v>15.66</v>
      </c>
      <c r="AA28">
        <v>43.58</v>
      </c>
      <c r="AB28">
        <v>49.79</v>
      </c>
      <c r="AC28">
        <v>49.65</v>
      </c>
      <c r="AD28">
        <v>39.659999999999997</v>
      </c>
      <c r="AE28">
        <v>59.93</v>
      </c>
      <c r="AF28">
        <f t="shared" ref="AF28:AF32" si="16">(AD28+AE28)/2</f>
        <v>49.795000000000002</v>
      </c>
      <c r="AG28">
        <v>20.27</v>
      </c>
      <c r="AH28">
        <v>49.79</v>
      </c>
      <c r="AI28">
        <v>-0.31</v>
      </c>
      <c r="AL28">
        <v>10.07</v>
      </c>
      <c r="AM28">
        <v>9.98</v>
      </c>
      <c r="AN28">
        <v>43.39</v>
      </c>
      <c r="AO28">
        <v>15.71</v>
      </c>
      <c r="AP28">
        <v>9.7799999999999994</v>
      </c>
      <c r="AQ28">
        <v>42.35</v>
      </c>
      <c r="AR28">
        <v>15.89</v>
      </c>
      <c r="AS28">
        <v>42.56</v>
      </c>
      <c r="AT28">
        <v>50.05</v>
      </c>
      <c r="AU28">
        <v>49.84</v>
      </c>
      <c r="AV28">
        <v>43.39</v>
      </c>
      <c r="AW28">
        <v>56.7</v>
      </c>
      <c r="AX28">
        <f t="shared" ref="AX28:AX32" si="17">(AV28+AW28)/2</f>
        <v>50.045000000000002</v>
      </c>
      <c r="AY28">
        <v>13.31</v>
      </c>
      <c r="AZ28">
        <v>50.05</v>
      </c>
      <c r="BA28">
        <v>0</v>
      </c>
    </row>
    <row r="29" spans="1:53" x14ac:dyDescent="0.25">
      <c r="A29" s="1"/>
      <c r="B29">
        <v>22.68</v>
      </c>
      <c r="C29">
        <v>29.66</v>
      </c>
      <c r="D29">
        <v>27.21</v>
      </c>
      <c r="E29">
        <v>17.12</v>
      </c>
      <c r="F29">
        <v>19.43</v>
      </c>
      <c r="G29">
        <v>22.94</v>
      </c>
      <c r="H29">
        <v>21.04</v>
      </c>
      <c r="I29">
        <v>45.01</v>
      </c>
      <c r="J29">
        <v>50.17</v>
      </c>
      <c r="K29">
        <v>50.23</v>
      </c>
      <c r="L29">
        <v>27.21</v>
      </c>
      <c r="M29">
        <v>73.13</v>
      </c>
      <c r="N29">
        <f t="shared" si="15"/>
        <v>50.17</v>
      </c>
      <c r="O29">
        <v>45.93</v>
      </c>
      <c r="P29">
        <v>50.17</v>
      </c>
      <c r="Q29">
        <v>-0.42</v>
      </c>
      <c r="T29">
        <v>22.88</v>
      </c>
      <c r="U29">
        <v>32.72</v>
      </c>
      <c r="V29">
        <v>51.44</v>
      </c>
      <c r="W29">
        <v>28.69</v>
      </c>
      <c r="X29">
        <v>25.46</v>
      </c>
      <c r="Y29">
        <v>57.67</v>
      </c>
      <c r="Z29">
        <v>35.32</v>
      </c>
      <c r="AA29">
        <v>41.51</v>
      </c>
      <c r="AB29">
        <v>49.97</v>
      </c>
      <c r="AC29">
        <v>49.81</v>
      </c>
      <c r="AD29">
        <v>51.44</v>
      </c>
      <c r="AE29">
        <v>48.5</v>
      </c>
      <c r="AF29">
        <f t="shared" si="16"/>
        <v>49.97</v>
      </c>
      <c r="AG29">
        <v>2.93</v>
      </c>
      <c r="AH29">
        <v>49.97</v>
      </c>
      <c r="AI29">
        <v>-0.04</v>
      </c>
      <c r="AL29">
        <v>22.84</v>
      </c>
      <c r="AM29">
        <v>30.67</v>
      </c>
      <c r="AN29">
        <v>54</v>
      </c>
      <c r="AO29">
        <v>26.72</v>
      </c>
      <c r="AP29">
        <v>22.32</v>
      </c>
      <c r="AQ29">
        <v>53.71</v>
      </c>
      <c r="AR29">
        <v>31.53</v>
      </c>
      <c r="AS29">
        <v>38.299999999999997</v>
      </c>
      <c r="AT29">
        <v>49.54</v>
      </c>
      <c r="AU29">
        <v>49.73</v>
      </c>
      <c r="AV29">
        <v>54</v>
      </c>
      <c r="AW29">
        <v>45.07</v>
      </c>
      <c r="AX29">
        <f t="shared" si="17"/>
        <v>49.534999999999997</v>
      </c>
      <c r="AY29">
        <v>8.93</v>
      </c>
      <c r="AZ29">
        <v>49.54</v>
      </c>
      <c r="BA29">
        <v>-0.7</v>
      </c>
    </row>
    <row r="30" spans="1:53" x14ac:dyDescent="0.25">
      <c r="A30" s="1"/>
      <c r="B30">
        <v>10.36</v>
      </c>
      <c r="C30">
        <v>10.52</v>
      </c>
      <c r="D30">
        <v>42.47</v>
      </c>
      <c r="E30">
        <v>15.77</v>
      </c>
      <c r="F30">
        <v>9.48</v>
      </c>
      <c r="G30">
        <v>39.1</v>
      </c>
      <c r="H30">
        <v>15.26</v>
      </c>
      <c r="I30">
        <v>43.12</v>
      </c>
      <c r="J30">
        <v>50.71</v>
      </c>
      <c r="K30">
        <v>50.87</v>
      </c>
      <c r="L30">
        <v>42.47</v>
      </c>
      <c r="M30">
        <v>58.95</v>
      </c>
      <c r="N30">
        <f t="shared" si="15"/>
        <v>50.71</v>
      </c>
      <c r="O30">
        <v>16.48</v>
      </c>
      <c r="P30">
        <v>50.71</v>
      </c>
      <c r="Q30">
        <v>1.04</v>
      </c>
      <c r="T30">
        <v>10.29</v>
      </c>
      <c r="U30">
        <v>10.32</v>
      </c>
      <c r="V30">
        <v>37.479999999999997</v>
      </c>
      <c r="W30">
        <v>15.75</v>
      </c>
      <c r="X30">
        <v>10.33</v>
      </c>
      <c r="Y30">
        <v>37.54</v>
      </c>
      <c r="Z30">
        <v>16.2</v>
      </c>
      <c r="AA30">
        <v>45.22</v>
      </c>
      <c r="AB30">
        <v>50.64</v>
      </c>
      <c r="AC30">
        <v>50.97</v>
      </c>
      <c r="AD30">
        <v>37.479999999999997</v>
      </c>
      <c r="AE30">
        <v>63.8</v>
      </c>
      <c r="AF30">
        <f t="shared" si="16"/>
        <v>50.64</v>
      </c>
      <c r="AG30">
        <v>26.32</v>
      </c>
      <c r="AH30">
        <v>50.64</v>
      </c>
      <c r="AI30">
        <v>0.79</v>
      </c>
      <c r="AL30">
        <v>10.029999999999999</v>
      </c>
      <c r="AM30">
        <v>9.91</v>
      </c>
      <c r="AN30">
        <v>39.590000000000003</v>
      </c>
      <c r="AO30">
        <v>15.22</v>
      </c>
      <c r="AP30">
        <v>9.58</v>
      </c>
      <c r="AQ30">
        <v>38.229999999999997</v>
      </c>
      <c r="AR30">
        <v>15.32</v>
      </c>
      <c r="AS30">
        <v>43.5</v>
      </c>
      <c r="AT30">
        <v>49.83</v>
      </c>
      <c r="AU30">
        <v>49.42</v>
      </c>
      <c r="AV30">
        <v>39.590000000000003</v>
      </c>
      <c r="AW30">
        <v>60.07</v>
      </c>
      <c r="AX30">
        <f t="shared" si="17"/>
        <v>49.83</v>
      </c>
      <c r="AY30">
        <v>20.48</v>
      </c>
      <c r="AZ30">
        <v>49.83</v>
      </c>
      <c r="BA30">
        <v>-0.21</v>
      </c>
    </row>
    <row r="31" spans="1:53" x14ac:dyDescent="0.25">
      <c r="A31" s="1"/>
      <c r="B31">
        <v>22.99</v>
      </c>
      <c r="C31">
        <v>30.28</v>
      </c>
      <c r="D31">
        <v>26.36</v>
      </c>
      <c r="E31">
        <v>16.940000000000001</v>
      </c>
      <c r="F31">
        <v>19.350000000000001</v>
      </c>
      <c r="G31">
        <v>21.94</v>
      </c>
      <c r="H31">
        <v>20.56</v>
      </c>
      <c r="I31">
        <v>45.24</v>
      </c>
      <c r="J31">
        <v>50.25</v>
      </c>
      <c r="K31">
        <v>50.51</v>
      </c>
      <c r="L31">
        <v>26.36</v>
      </c>
      <c r="M31">
        <v>74.14</v>
      </c>
      <c r="N31">
        <f t="shared" si="15"/>
        <v>50.25</v>
      </c>
      <c r="O31">
        <v>47.79</v>
      </c>
      <c r="P31">
        <v>50.25</v>
      </c>
      <c r="Q31">
        <v>-0.26</v>
      </c>
      <c r="T31">
        <v>22.75</v>
      </c>
      <c r="U31">
        <v>32.479999999999997</v>
      </c>
      <c r="V31">
        <v>49.06</v>
      </c>
      <c r="W31">
        <v>28.05</v>
      </c>
      <c r="X31">
        <v>25.61</v>
      </c>
      <c r="Y31">
        <v>55.62</v>
      </c>
      <c r="Z31">
        <v>35.07</v>
      </c>
      <c r="AA31">
        <v>41.83</v>
      </c>
      <c r="AB31">
        <v>49.77</v>
      </c>
      <c r="AC31">
        <v>49.84</v>
      </c>
      <c r="AD31">
        <v>49.06</v>
      </c>
      <c r="AE31">
        <v>50.48</v>
      </c>
      <c r="AF31">
        <f t="shared" si="16"/>
        <v>49.769999999999996</v>
      </c>
      <c r="AG31">
        <v>1.42</v>
      </c>
      <c r="AH31">
        <v>49.77</v>
      </c>
      <c r="AI31">
        <v>-0.57999999999999996</v>
      </c>
      <c r="AL31">
        <v>22.89</v>
      </c>
      <c r="AM31">
        <v>31.11</v>
      </c>
      <c r="AN31">
        <v>53.43</v>
      </c>
      <c r="AO31">
        <v>27.05</v>
      </c>
      <c r="AP31">
        <v>22.75</v>
      </c>
      <c r="AQ31">
        <v>53.37</v>
      </c>
      <c r="AR31">
        <v>31.9</v>
      </c>
      <c r="AS31">
        <v>39.119999999999997</v>
      </c>
      <c r="AT31">
        <v>50.04</v>
      </c>
      <c r="AU31">
        <v>50.2</v>
      </c>
      <c r="AV31">
        <v>53.43</v>
      </c>
      <c r="AW31">
        <v>46.66</v>
      </c>
      <c r="AX31">
        <f t="shared" si="17"/>
        <v>50.045000000000002</v>
      </c>
      <c r="AY31">
        <v>6.77</v>
      </c>
      <c r="AZ31">
        <v>50.04</v>
      </c>
      <c r="BA31">
        <v>0.17</v>
      </c>
    </row>
    <row r="32" spans="1:53" x14ac:dyDescent="0.25">
      <c r="A32" s="1"/>
      <c r="B32">
        <v>16.61</v>
      </c>
      <c r="C32">
        <v>24.63</v>
      </c>
      <c r="D32">
        <v>50.8</v>
      </c>
      <c r="E32">
        <v>22.87</v>
      </c>
      <c r="F32">
        <v>21.5</v>
      </c>
      <c r="G32">
        <v>65.33</v>
      </c>
      <c r="H32">
        <v>32.35</v>
      </c>
      <c r="I32">
        <v>38.83</v>
      </c>
      <c r="J32">
        <v>50.62</v>
      </c>
      <c r="K32">
        <v>49.86</v>
      </c>
      <c r="L32">
        <v>50.8</v>
      </c>
      <c r="M32">
        <v>50.44</v>
      </c>
      <c r="N32">
        <f t="shared" si="15"/>
        <v>50.62</v>
      </c>
      <c r="O32">
        <v>0.36</v>
      </c>
      <c r="P32">
        <v>50.62</v>
      </c>
      <c r="Q32">
        <v>1.23</v>
      </c>
      <c r="T32">
        <v>16.77</v>
      </c>
      <c r="U32">
        <v>28.94</v>
      </c>
      <c r="V32">
        <v>46.09</v>
      </c>
      <c r="W32">
        <v>17.190000000000001</v>
      </c>
      <c r="X32">
        <v>15.67</v>
      </c>
      <c r="Y32">
        <v>43.81</v>
      </c>
      <c r="Z32">
        <v>23.08</v>
      </c>
      <c r="AA32">
        <v>37.42</v>
      </c>
      <c r="AB32">
        <v>50.2</v>
      </c>
      <c r="AC32">
        <v>50.3</v>
      </c>
      <c r="AD32">
        <v>46.09</v>
      </c>
      <c r="AE32">
        <v>54.31</v>
      </c>
      <c r="AF32">
        <f t="shared" si="16"/>
        <v>50.2</v>
      </c>
      <c r="AG32">
        <v>8.2200000000000006</v>
      </c>
      <c r="AH32">
        <v>50.2</v>
      </c>
      <c r="AI32">
        <v>-0.01</v>
      </c>
      <c r="AL32">
        <v>16.940000000000001</v>
      </c>
      <c r="AM32">
        <v>30.07</v>
      </c>
      <c r="AN32">
        <v>54.39</v>
      </c>
      <c r="AO32">
        <v>19.32</v>
      </c>
      <c r="AP32">
        <v>15.89</v>
      </c>
      <c r="AQ32">
        <v>51.9</v>
      </c>
      <c r="AR32">
        <v>24.33</v>
      </c>
      <c r="AS32">
        <v>34.51</v>
      </c>
      <c r="AT32">
        <v>50.52</v>
      </c>
      <c r="AU32">
        <v>51.35</v>
      </c>
      <c r="AV32">
        <v>54.39</v>
      </c>
      <c r="AW32">
        <v>46.64</v>
      </c>
      <c r="AX32">
        <f t="shared" si="17"/>
        <v>50.515000000000001</v>
      </c>
      <c r="AY32">
        <v>7.75</v>
      </c>
      <c r="AZ32">
        <v>50.52</v>
      </c>
      <c r="BA32">
        <v>0.66</v>
      </c>
    </row>
    <row r="33" spans="1:53" x14ac:dyDescent="0.25">
      <c r="A33" s="1"/>
      <c r="B33" s="2">
        <f>AVERAGE(B27:B32)</f>
        <v>15.524999999999999</v>
      </c>
      <c r="C33" s="2">
        <f t="shared" ref="C33:Q33" si="18">AVERAGE(C27:C32)</f>
        <v>19.318333333333332</v>
      </c>
      <c r="D33" s="2">
        <f t="shared" si="18"/>
        <v>40.636666666666663</v>
      </c>
      <c r="E33" s="2">
        <f t="shared" si="18"/>
        <v>17.54</v>
      </c>
      <c r="F33" s="2">
        <f t="shared" si="18"/>
        <v>14.851666666666668</v>
      </c>
      <c r="G33" s="2">
        <f t="shared" si="18"/>
        <v>40.041666666666664</v>
      </c>
      <c r="H33" s="2">
        <f t="shared" si="18"/>
        <v>20.181666666666668</v>
      </c>
      <c r="I33" s="2">
        <f t="shared" si="18"/>
        <v>42.461666666666666</v>
      </c>
      <c r="J33" s="2">
        <f t="shared" si="18"/>
        <v>50.578333333333326</v>
      </c>
      <c r="K33" s="2">
        <f t="shared" si="18"/>
        <v>50.51</v>
      </c>
      <c r="L33" s="2">
        <f t="shared" si="18"/>
        <v>40.636666666666663</v>
      </c>
      <c r="M33" s="2">
        <f t="shared" si="18"/>
        <v>60.523333333333333</v>
      </c>
      <c r="N33" s="2">
        <f t="shared" si="18"/>
        <v>50.579999999999991</v>
      </c>
      <c r="O33" s="2">
        <f t="shared" si="18"/>
        <v>20.828333333333337</v>
      </c>
      <c r="P33" s="2">
        <f t="shared" si="18"/>
        <v>50.578333333333326</v>
      </c>
      <c r="Q33" s="2">
        <f t="shared" si="18"/>
        <v>0.6283333333333333</v>
      </c>
      <c r="T33" s="2">
        <f>AVERAGE(T27:T32)</f>
        <v>15.461666666666666</v>
      </c>
      <c r="U33" s="2">
        <f t="shared" ref="U33:AI33" si="19">AVERAGE(U27:U32)</f>
        <v>20.743333333333332</v>
      </c>
      <c r="V33" s="2">
        <f t="shared" si="19"/>
        <v>45.348333333333329</v>
      </c>
      <c r="W33" s="2">
        <f t="shared" si="19"/>
        <v>20.23</v>
      </c>
      <c r="X33" s="2">
        <f t="shared" si="19"/>
        <v>16.169999999999998</v>
      </c>
      <c r="Y33" s="2">
        <f t="shared" si="19"/>
        <v>47.071666666666658</v>
      </c>
      <c r="Z33" s="2">
        <f t="shared" si="19"/>
        <v>23.691666666666674</v>
      </c>
      <c r="AA33" s="2">
        <f t="shared" si="19"/>
        <v>41.783333333333331</v>
      </c>
      <c r="AB33" s="2">
        <f t="shared" si="19"/>
        <v>50.113333333333337</v>
      </c>
      <c r="AC33" s="2">
        <f t="shared" si="19"/>
        <v>50.171666666666674</v>
      </c>
      <c r="AD33" s="2">
        <f t="shared" si="19"/>
        <v>45.348333333333329</v>
      </c>
      <c r="AE33" s="2">
        <f t="shared" si="19"/>
        <v>54.881666666666668</v>
      </c>
      <c r="AF33" s="2">
        <f t="shared" si="19"/>
        <v>50.114999999999988</v>
      </c>
      <c r="AG33" s="2">
        <f t="shared" si="19"/>
        <v>10.511666666666667</v>
      </c>
      <c r="AH33" s="2">
        <f t="shared" si="19"/>
        <v>50.113333333333337</v>
      </c>
      <c r="AI33" s="2">
        <f t="shared" si="19"/>
        <v>3.500000000000001E-2</v>
      </c>
      <c r="AL33" s="2">
        <f>AVERAGE(AL27:AL32)</f>
        <v>15.505000000000001</v>
      </c>
      <c r="AM33" s="2">
        <f t="shared" ref="AM33:BA33" si="20">AVERAGE(AM27:AM32)</f>
        <v>20.290000000000003</v>
      </c>
      <c r="AN33" s="2">
        <f t="shared" si="20"/>
        <v>49.318333333333335</v>
      </c>
      <c r="AO33" s="2">
        <f t="shared" si="20"/>
        <v>20.03833333333333</v>
      </c>
      <c r="AP33" s="2">
        <f t="shared" si="20"/>
        <v>15.008333333333333</v>
      </c>
      <c r="AQ33" s="2">
        <f t="shared" si="20"/>
        <v>48.264999999999993</v>
      </c>
      <c r="AR33" s="2">
        <f t="shared" si="20"/>
        <v>22.543333333333333</v>
      </c>
      <c r="AS33" s="2">
        <f t="shared" si="20"/>
        <v>39.576666666666661</v>
      </c>
      <c r="AT33" s="2">
        <f t="shared" si="20"/>
        <v>49.971666666666664</v>
      </c>
      <c r="AU33" s="2">
        <f t="shared" si="20"/>
        <v>50.125</v>
      </c>
      <c r="AV33" s="2">
        <f t="shared" si="20"/>
        <v>49.318333333333335</v>
      </c>
      <c r="AW33" s="2">
        <f t="shared" si="20"/>
        <v>50.62166666666667</v>
      </c>
      <c r="AX33" s="2">
        <f t="shared" si="20"/>
        <v>49.97</v>
      </c>
      <c r="AY33" s="2">
        <f t="shared" si="20"/>
        <v>9.9599999999999991</v>
      </c>
      <c r="AZ33" s="2">
        <f t="shared" si="20"/>
        <v>49.971666666666664</v>
      </c>
      <c r="BA33" s="2">
        <f t="shared" si="20"/>
        <v>-2.9999999999999988E-2</v>
      </c>
    </row>
    <row r="34" spans="1:53" x14ac:dyDescent="0.25">
      <c r="A34" s="1"/>
    </row>
    <row r="35" spans="1:53" x14ac:dyDescent="0.25">
      <c r="A35" s="1"/>
    </row>
    <row r="36" spans="1:53" x14ac:dyDescent="0.25">
      <c r="A36" s="1" t="s">
        <v>35</v>
      </c>
      <c r="B36">
        <v>9.92</v>
      </c>
      <c r="C36">
        <v>9.7200000000000006</v>
      </c>
      <c r="D36">
        <v>41.32</v>
      </c>
      <c r="E36">
        <v>15.35</v>
      </c>
      <c r="F36">
        <v>9.73</v>
      </c>
      <c r="G36">
        <v>41.91</v>
      </c>
      <c r="H36">
        <v>15.79</v>
      </c>
      <c r="I36">
        <v>42.4</v>
      </c>
      <c r="J36">
        <v>49.07</v>
      </c>
      <c r="K36">
        <v>48.79</v>
      </c>
      <c r="L36">
        <v>41.32</v>
      </c>
      <c r="M36">
        <v>56.81</v>
      </c>
      <c r="N36">
        <f>(L36+M36)/2</f>
        <v>49.064999999999998</v>
      </c>
      <c r="O36">
        <v>15.49</v>
      </c>
      <c r="P36">
        <v>49.07</v>
      </c>
      <c r="Q36">
        <v>-0.93</v>
      </c>
      <c r="S36" s="1" t="s">
        <v>55</v>
      </c>
      <c r="T36">
        <v>10.25</v>
      </c>
      <c r="U36">
        <v>10.14</v>
      </c>
      <c r="V36">
        <v>36.770000000000003</v>
      </c>
      <c r="W36">
        <v>15.36</v>
      </c>
      <c r="X36">
        <v>10.09</v>
      </c>
      <c r="Y36">
        <v>36.72</v>
      </c>
      <c r="Z36">
        <v>15.83</v>
      </c>
      <c r="AA36">
        <v>44.86</v>
      </c>
      <c r="AB36">
        <v>50.22</v>
      </c>
      <c r="AC36">
        <v>50.42</v>
      </c>
      <c r="AD36">
        <v>36.770000000000003</v>
      </c>
      <c r="AE36">
        <v>63.67</v>
      </c>
      <c r="AF36">
        <f>(AD36+AE36)/2</f>
        <v>50.22</v>
      </c>
      <c r="AG36">
        <v>26.9</v>
      </c>
      <c r="AH36">
        <v>50.22</v>
      </c>
      <c r="AI36">
        <v>0.34</v>
      </c>
      <c r="AK36" s="1" t="s">
        <v>58</v>
      </c>
      <c r="AL36">
        <v>10.08</v>
      </c>
      <c r="AM36">
        <v>9.9499999999999993</v>
      </c>
      <c r="AN36">
        <v>43.49</v>
      </c>
      <c r="AO36">
        <v>15.98</v>
      </c>
      <c r="AP36">
        <v>10.46</v>
      </c>
      <c r="AQ36">
        <v>45.71</v>
      </c>
      <c r="AR36">
        <v>17.03</v>
      </c>
      <c r="AS36">
        <v>42.58</v>
      </c>
      <c r="AT36">
        <v>49.91</v>
      </c>
      <c r="AU36">
        <v>50.23</v>
      </c>
      <c r="AV36">
        <v>43.49</v>
      </c>
      <c r="AW36">
        <v>56.33</v>
      </c>
      <c r="AX36">
        <f>(AV36+AW36)/2</f>
        <v>49.91</v>
      </c>
      <c r="AY36">
        <v>12.84</v>
      </c>
      <c r="AZ36">
        <v>49.91</v>
      </c>
      <c r="BA36">
        <v>-0.08</v>
      </c>
    </row>
    <row r="37" spans="1:53" x14ac:dyDescent="0.25">
      <c r="A37" s="1"/>
      <c r="B37">
        <v>10.06</v>
      </c>
      <c r="C37">
        <v>10.11</v>
      </c>
      <c r="D37">
        <v>39.97</v>
      </c>
      <c r="E37">
        <v>15.82</v>
      </c>
      <c r="F37">
        <v>10.34</v>
      </c>
      <c r="G37">
        <v>41.11</v>
      </c>
      <c r="H37">
        <v>16.53</v>
      </c>
      <c r="I37">
        <v>44</v>
      </c>
      <c r="J37">
        <v>50.14</v>
      </c>
      <c r="K37">
        <v>49.99</v>
      </c>
      <c r="L37">
        <v>39.97</v>
      </c>
      <c r="M37">
        <v>60.31</v>
      </c>
      <c r="N37">
        <f t="shared" ref="N37:N41" si="21">(L37+M37)/2</f>
        <v>50.14</v>
      </c>
      <c r="O37">
        <v>20.34</v>
      </c>
      <c r="P37">
        <v>50.14</v>
      </c>
      <c r="Q37">
        <v>0.24</v>
      </c>
      <c r="T37">
        <v>10.11</v>
      </c>
      <c r="U37">
        <v>10.08</v>
      </c>
      <c r="V37">
        <v>41.66</v>
      </c>
      <c r="W37">
        <v>15.64</v>
      </c>
      <c r="X37">
        <v>9.85</v>
      </c>
      <c r="Y37">
        <v>40.65</v>
      </c>
      <c r="Z37">
        <v>15.85</v>
      </c>
      <c r="AA37">
        <v>43.26</v>
      </c>
      <c r="AB37">
        <v>50.22</v>
      </c>
      <c r="AC37">
        <v>50.2</v>
      </c>
      <c r="AD37">
        <v>41.66</v>
      </c>
      <c r="AE37">
        <v>58.78</v>
      </c>
      <c r="AF37">
        <f t="shared" ref="AF37:AF41" si="22">(AD37+AE37)/2</f>
        <v>50.22</v>
      </c>
      <c r="AG37">
        <v>17.12</v>
      </c>
      <c r="AH37">
        <v>50.22</v>
      </c>
      <c r="AI37">
        <v>0.26</v>
      </c>
      <c r="AL37">
        <v>9.9600000000000009</v>
      </c>
      <c r="AM37">
        <v>10.02</v>
      </c>
      <c r="AN37">
        <v>46.02</v>
      </c>
      <c r="AO37">
        <v>16.190000000000001</v>
      </c>
      <c r="AP37">
        <v>10.3</v>
      </c>
      <c r="AQ37">
        <v>47.41</v>
      </c>
      <c r="AR37">
        <v>16.93</v>
      </c>
      <c r="AS37">
        <v>41.83</v>
      </c>
      <c r="AT37">
        <v>50.02</v>
      </c>
      <c r="AU37">
        <v>49.81</v>
      </c>
      <c r="AV37">
        <v>46.02</v>
      </c>
      <c r="AW37">
        <v>54.02</v>
      </c>
      <c r="AX37">
        <f t="shared" ref="AX37:AX41" si="23">(AV37+AW37)/2</f>
        <v>50.02</v>
      </c>
      <c r="AY37">
        <v>8</v>
      </c>
      <c r="AZ37">
        <v>50.02</v>
      </c>
      <c r="BA37">
        <v>0.06</v>
      </c>
    </row>
    <row r="38" spans="1:53" x14ac:dyDescent="0.25">
      <c r="A38" s="1"/>
      <c r="B38">
        <v>23.02</v>
      </c>
      <c r="C38">
        <v>22.95</v>
      </c>
      <c r="D38">
        <v>40.57</v>
      </c>
      <c r="E38">
        <v>27.07</v>
      </c>
      <c r="F38">
        <v>21.83</v>
      </c>
      <c r="G38">
        <v>38.549999999999997</v>
      </c>
      <c r="H38">
        <v>27.88</v>
      </c>
      <c r="I38">
        <v>46.22</v>
      </c>
      <c r="J38">
        <v>50.26</v>
      </c>
      <c r="K38">
        <v>50.18</v>
      </c>
      <c r="L38">
        <v>40.57</v>
      </c>
      <c r="M38">
        <v>59.95</v>
      </c>
      <c r="N38">
        <f t="shared" si="21"/>
        <v>50.260000000000005</v>
      </c>
      <c r="O38">
        <v>19.38</v>
      </c>
      <c r="P38">
        <v>50.26</v>
      </c>
      <c r="Q38">
        <v>0.44</v>
      </c>
      <c r="T38">
        <v>23.34</v>
      </c>
      <c r="U38">
        <v>23.38</v>
      </c>
      <c r="V38">
        <v>47.79</v>
      </c>
      <c r="W38">
        <v>29.03</v>
      </c>
      <c r="X38">
        <v>24.44</v>
      </c>
      <c r="Y38">
        <v>50.12</v>
      </c>
      <c r="Z38">
        <v>32.85</v>
      </c>
      <c r="AA38">
        <v>44.45</v>
      </c>
      <c r="AB38">
        <v>50.68</v>
      </c>
      <c r="AC38">
        <v>50.55</v>
      </c>
      <c r="AD38">
        <v>47.79</v>
      </c>
      <c r="AE38">
        <v>53.57</v>
      </c>
      <c r="AF38">
        <f t="shared" si="22"/>
        <v>50.68</v>
      </c>
      <c r="AG38">
        <v>5.78</v>
      </c>
      <c r="AH38">
        <v>50.68</v>
      </c>
      <c r="AI38">
        <v>1.1000000000000001</v>
      </c>
      <c r="AL38">
        <v>22.92</v>
      </c>
      <c r="AM38">
        <v>23.25</v>
      </c>
      <c r="AN38">
        <v>46.67</v>
      </c>
      <c r="AO38">
        <v>29.15</v>
      </c>
      <c r="AP38">
        <v>23.39</v>
      </c>
      <c r="AQ38">
        <v>47.56</v>
      </c>
      <c r="AR38">
        <v>31.36</v>
      </c>
      <c r="AS38">
        <v>45.05</v>
      </c>
      <c r="AT38">
        <v>50.25</v>
      </c>
      <c r="AU38">
        <v>50</v>
      </c>
      <c r="AV38">
        <v>46.67</v>
      </c>
      <c r="AW38">
        <v>53.82</v>
      </c>
      <c r="AX38">
        <f t="shared" si="23"/>
        <v>50.245000000000005</v>
      </c>
      <c r="AY38">
        <v>7.15</v>
      </c>
      <c r="AZ38">
        <v>50.25</v>
      </c>
      <c r="BA38">
        <v>0.37</v>
      </c>
    </row>
    <row r="39" spans="1:53" x14ac:dyDescent="0.25">
      <c r="A39" s="1"/>
      <c r="B39">
        <v>9.9499999999999993</v>
      </c>
      <c r="C39">
        <v>9.7899999999999991</v>
      </c>
      <c r="D39">
        <v>39.93</v>
      </c>
      <c r="E39">
        <v>15.34</v>
      </c>
      <c r="F39">
        <v>9.9</v>
      </c>
      <c r="G39">
        <v>40.86</v>
      </c>
      <c r="H39">
        <v>15.94</v>
      </c>
      <c r="I39">
        <v>43.03</v>
      </c>
      <c r="J39">
        <v>49.29</v>
      </c>
      <c r="K39">
        <v>48.91</v>
      </c>
      <c r="L39">
        <v>39.93</v>
      </c>
      <c r="M39">
        <v>58.65</v>
      </c>
      <c r="N39">
        <f t="shared" si="21"/>
        <v>49.29</v>
      </c>
      <c r="O39">
        <v>18.72</v>
      </c>
      <c r="P39">
        <v>49.29</v>
      </c>
      <c r="Q39">
        <v>-0.71</v>
      </c>
      <c r="T39">
        <v>10.07</v>
      </c>
      <c r="U39">
        <v>10.210000000000001</v>
      </c>
      <c r="V39">
        <v>42.73</v>
      </c>
      <c r="W39">
        <v>15.83</v>
      </c>
      <c r="X39">
        <v>9.81</v>
      </c>
      <c r="Y39">
        <v>41.07</v>
      </c>
      <c r="Z39">
        <v>15.84</v>
      </c>
      <c r="AA39">
        <v>43.18</v>
      </c>
      <c r="AB39">
        <v>50.49</v>
      </c>
      <c r="AC39">
        <v>50.34</v>
      </c>
      <c r="AD39">
        <v>42.73</v>
      </c>
      <c r="AE39">
        <v>58.26</v>
      </c>
      <c r="AF39">
        <f t="shared" si="22"/>
        <v>50.494999999999997</v>
      </c>
      <c r="AG39">
        <v>15.54</v>
      </c>
      <c r="AH39">
        <v>50.49</v>
      </c>
      <c r="AI39">
        <v>0.57999999999999996</v>
      </c>
      <c r="AL39">
        <v>10.029999999999999</v>
      </c>
      <c r="AM39">
        <v>9.9700000000000006</v>
      </c>
      <c r="AN39">
        <v>40.9</v>
      </c>
      <c r="AO39">
        <v>15.86</v>
      </c>
      <c r="AP39">
        <v>10.74</v>
      </c>
      <c r="AQ39">
        <v>44.4</v>
      </c>
      <c r="AR39">
        <v>17.29</v>
      </c>
      <c r="AS39">
        <v>43.24</v>
      </c>
      <c r="AT39">
        <v>49.77</v>
      </c>
      <c r="AU39">
        <v>49.97</v>
      </c>
      <c r="AV39">
        <v>40.9</v>
      </c>
      <c r="AW39">
        <v>58.63</v>
      </c>
      <c r="AX39">
        <f t="shared" si="23"/>
        <v>49.765000000000001</v>
      </c>
      <c r="AY39">
        <v>17.73</v>
      </c>
      <c r="AZ39">
        <v>49.77</v>
      </c>
      <c r="BA39">
        <v>-0.2</v>
      </c>
    </row>
    <row r="40" spans="1:53" x14ac:dyDescent="0.25">
      <c r="A40" s="1"/>
      <c r="B40">
        <v>22.88</v>
      </c>
      <c r="C40">
        <v>22.91</v>
      </c>
      <c r="D40">
        <v>42.72</v>
      </c>
      <c r="E40">
        <v>27.78</v>
      </c>
      <c r="F40">
        <v>22.05</v>
      </c>
      <c r="G40">
        <v>40.729999999999997</v>
      </c>
      <c r="H40">
        <v>28.61</v>
      </c>
      <c r="I40">
        <v>46.02</v>
      </c>
      <c r="J40">
        <v>50.42</v>
      </c>
      <c r="K40">
        <v>50.02</v>
      </c>
      <c r="L40">
        <v>42.72</v>
      </c>
      <c r="M40">
        <v>58.13</v>
      </c>
      <c r="N40">
        <f t="shared" si="21"/>
        <v>50.424999999999997</v>
      </c>
      <c r="O40">
        <v>15.41</v>
      </c>
      <c r="P40">
        <v>50.42</v>
      </c>
      <c r="Q40">
        <v>0.73</v>
      </c>
      <c r="T40">
        <v>22.95</v>
      </c>
      <c r="U40">
        <v>22.4</v>
      </c>
      <c r="V40">
        <v>45.21</v>
      </c>
      <c r="W40">
        <v>27.75</v>
      </c>
      <c r="X40">
        <v>23.82</v>
      </c>
      <c r="Y40">
        <v>47.48</v>
      </c>
      <c r="Z40">
        <v>31.72</v>
      </c>
      <c r="AA40">
        <v>44.41</v>
      </c>
      <c r="AB40">
        <v>49.92</v>
      </c>
      <c r="AC40">
        <v>50.04</v>
      </c>
      <c r="AD40">
        <v>45.21</v>
      </c>
      <c r="AE40">
        <v>54.62</v>
      </c>
      <c r="AF40">
        <f t="shared" si="22"/>
        <v>49.914999999999999</v>
      </c>
      <c r="AG40">
        <v>9.41</v>
      </c>
      <c r="AH40">
        <v>49.92</v>
      </c>
      <c r="AI40">
        <v>-0.24</v>
      </c>
      <c r="AL40">
        <v>23.13</v>
      </c>
      <c r="AM40">
        <v>23.25</v>
      </c>
      <c r="AN40">
        <v>43.45</v>
      </c>
      <c r="AO40">
        <v>28.91</v>
      </c>
      <c r="AP40">
        <v>23.93</v>
      </c>
      <c r="AQ40">
        <v>45.3</v>
      </c>
      <c r="AR40">
        <v>31.32</v>
      </c>
      <c r="AS40">
        <v>46.5</v>
      </c>
      <c r="AT40">
        <v>50.32</v>
      </c>
      <c r="AU40">
        <v>50.35</v>
      </c>
      <c r="AV40">
        <v>43.45</v>
      </c>
      <c r="AW40">
        <v>57.19</v>
      </c>
      <c r="AX40">
        <f t="shared" si="23"/>
        <v>50.32</v>
      </c>
      <c r="AY40">
        <v>13.74</v>
      </c>
      <c r="AZ40">
        <v>50.32</v>
      </c>
      <c r="BA40">
        <v>0.76</v>
      </c>
    </row>
    <row r="41" spans="1:53" x14ac:dyDescent="0.25">
      <c r="A41" s="1"/>
      <c r="B41">
        <v>16.95</v>
      </c>
      <c r="C41">
        <v>16.46</v>
      </c>
      <c r="D41">
        <v>40.79</v>
      </c>
      <c r="E41">
        <v>19.809999999999999</v>
      </c>
      <c r="F41">
        <v>15.18</v>
      </c>
      <c r="G41">
        <v>37.54</v>
      </c>
      <c r="H41">
        <v>21.62</v>
      </c>
      <c r="I41">
        <v>42.8</v>
      </c>
      <c r="J41">
        <v>50.2</v>
      </c>
      <c r="K41">
        <v>50.42</v>
      </c>
      <c r="L41">
        <v>40.79</v>
      </c>
      <c r="M41">
        <v>59.61</v>
      </c>
      <c r="N41">
        <f t="shared" si="21"/>
        <v>50.2</v>
      </c>
      <c r="O41">
        <v>18.82</v>
      </c>
      <c r="P41">
        <v>50.2</v>
      </c>
      <c r="Q41">
        <v>0.45</v>
      </c>
      <c r="T41">
        <v>17.170000000000002</v>
      </c>
      <c r="U41">
        <v>23.89</v>
      </c>
      <c r="V41">
        <v>39.630000000000003</v>
      </c>
      <c r="W41">
        <v>17.16</v>
      </c>
      <c r="X41">
        <v>15.1</v>
      </c>
      <c r="Y41">
        <v>36.549999999999997</v>
      </c>
      <c r="Z41">
        <v>21.37</v>
      </c>
      <c r="AA41">
        <v>40.799999999999997</v>
      </c>
      <c r="AB41">
        <v>50.13</v>
      </c>
      <c r="AC41">
        <v>49.85</v>
      </c>
      <c r="AD41">
        <v>39.630000000000003</v>
      </c>
      <c r="AE41">
        <v>60.63</v>
      </c>
      <c r="AF41">
        <f t="shared" si="22"/>
        <v>50.13</v>
      </c>
      <c r="AG41">
        <v>20.99</v>
      </c>
      <c r="AH41">
        <v>50.13</v>
      </c>
      <c r="AI41">
        <v>1.05</v>
      </c>
      <c r="AL41">
        <v>16.53</v>
      </c>
      <c r="AM41">
        <v>16.399999999999999</v>
      </c>
      <c r="AN41">
        <v>50.89</v>
      </c>
      <c r="AO41">
        <v>23.68</v>
      </c>
      <c r="AP41">
        <v>18.29</v>
      </c>
      <c r="AQ41">
        <v>57.67</v>
      </c>
      <c r="AR41">
        <v>27.78</v>
      </c>
      <c r="AS41">
        <v>41.01</v>
      </c>
      <c r="AT41">
        <v>49.65</v>
      </c>
      <c r="AU41">
        <v>49.34</v>
      </c>
      <c r="AV41">
        <v>50.89</v>
      </c>
      <c r="AW41">
        <v>48.41</v>
      </c>
      <c r="AX41">
        <f t="shared" si="23"/>
        <v>49.65</v>
      </c>
      <c r="AY41">
        <v>2.48</v>
      </c>
      <c r="AZ41">
        <v>49.65</v>
      </c>
      <c r="BA41">
        <v>-0.5</v>
      </c>
    </row>
    <row r="42" spans="1:53" x14ac:dyDescent="0.25">
      <c r="A42" s="1"/>
      <c r="B42" s="2">
        <f>AVERAGE(B36:B41)</f>
        <v>15.463333333333333</v>
      </c>
      <c r="C42" s="2">
        <f t="shared" ref="C42:Q42" si="24">AVERAGE(C36:C41)</f>
        <v>15.323333333333332</v>
      </c>
      <c r="D42" s="2">
        <f t="shared" si="24"/>
        <v>40.883333333333333</v>
      </c>
      <c r="E42" s="2">
        <f t="shared" si="24"/>
        <v>20.195</v>
      </c>
      <c r="F42" s="2">
        <f t="shared" si="24"/>
        <v>14.838333333333333</v>
      </c>
      <c r="G42" s="2">
        <f t="shared" si="24"/>
        <v>40.116666666666667</v>
      </c>
      <c r="H42" s="2">
        <f t="shared" si="24"/>
        <v>21.061666666666667</v>
      </c>
      <c r="I42" s="2">
        <f t="shared" si="24"/>
        <v>44.07833333333334</v>
      </c>
      <c r="J42" s="2">
        <f t="shared" si="24"/>
        <v>49.896666666666668</v>
      </c>
      <c r="K42" s="2">
        <f t="shared" si="24"/>
        <v>49.718333333333334</v>
      </c>
      <c r="L42" s="2">
        <f t="shared" si="24"/>
        <v>40.883333333333333</v>
      </c>
      <c r="M42" s="2">
        <f t="shared" si="24"/>
        <v>58.910000000000004</v>
      </c>
      <c r="N42" s="2">
        <f t="shared" si="24"/>
        <v>49.896666666666668</v>
      </c>
      <c r="O42" s="2">
        <f t="shared" si="24"/>
        <v>18.026666666666667</v>
      </c>
      <c r="P42" s="2">
        <f t="shared" si="24"/>
        <v>49.896666666666668</v>
      </c>
      <c r="Q42" s="2">
        <f t="shared" si="24"/>
        <v>3.6666666666666674E-2</v>
      </c>
      <c r="T42" s="2">
        <f>AVERAGE(T36:T41)</f>
        <v>15.648333333333333</v>
      </c>
      <c r="U42" s="2">
        <f t="shared" ref="U42:AI42" si="25">AVERAGE(U36:U41)</f>
        <v>16.683333333333334</v>
      </c>
      <c r="V42" s="2">
        <f t="shared" si="25"/>
        <v>42.298333333333332</v>
      </c>
      <c r="W42" s="2">
        <f t="shared" si="25"/>
        <v>20.128333333333334</v>
      </c>
      <c r="X42" s="2">
        <f t="shared" si="25"/>
        <v>15.518333333333331</v>
      </c>
      <c r="Y42" s="2">
        <f t="shared" si="25"/>
        <v>42.098333333333329</v>
      </c>
      <c r="Z42" s="2">
        <f t="shared" si="25"/>
        <v>22.243333333333336</v>
      </c>
      <c r="AA42" s="2">
        <f t="shared" si="25"/>
        <v>43.493333333333332</v>
      </c>
      <c r="AB42" s="2">
        <f t="shared" si="25"/>
        <v>50.276666666666671</v>
      </c>
      <c r="AC42" s="2">
        <f t="shared" si="25"/>
        <v>50.233333333333341</v>
      </c>
      <c r="AD42" s="2">
        <f t="shared" si="25"/>
        <v>42.298333333333332</v>
      </c>
      <c r="AE42" s="2">
        <f t="shared" si="25"/>
        <v>58.254999999999995</v>
      </c>
      <c r="AF42" s="2">
        <f t="shared" si="25"/>
        <v>50.276666666666671</v>
      </c>
      <c r="AG42" s="2">
        <f t="shared" si="25"/>
        <v>15.956666666666665</v>
      </c>
      <c r="AH42" s="2">
        <f t="shared" si="25"/>
        <v>50.276666666666671</v>
      </c>
      <c r="AI42" s="2">
        <f t="shared" si="25"/>
        <v>0.51500000000000001</v>
      </c>
      <c r="AL42" s="2">
        <f>AVERAGE(AL36:AL41)</f>
        <v>15.441666666666668</v>
      </c>
      <c r="AM42" s="2">
        <f t="shared" ref="AM42:BA42" si="26">AVERAGE(AM36:AM41)</f>
        <v>15.473333333333334</v>
      </c>
      <c r="AN42" s="2">
        <f t="shared" si="26"/>
        <v>45.236666666666672</v>
      </c>
      <c r="AO42" s="2">
        <f t="shared" si="26"/>
        <v>21.628333333333334</v>
      </c>
      <c r="AP42" s="2">
        <f t="shared" si="26"/>
        <v>16.185000000000002</v>
      </c>
      <c r="AQ42" s="2">
        <f t="shared" si="26"/>
        <v>48.008333333333333</v>
      </c>
      <c r="AR42" s="2">
        <f t="shared" si="26"/>
        <v>23.618333333333329</v>
      </c>
      <c r="AS42" s="2">
        <f t="shared" si="26"/>
        <v>43.368333333333332</v>
      </c>
      <c r="AT42" s="2">
        <f t="shared" si="26"/>
        <v>49.986666666666672</v>
      </c>
      <c r="AU42" s="2">
        <f t="shared" si="26"/>
        <v>49.949999999999996</v>
      </c>
      <c r="AV42" s="2">
        <f t="shared" si="26"/>
        <v>45.236666666666672</v>
      </c>
      <c r="AW42" s="2">
        <f t="shared" si="26"/>
        <v>54.733333333333327</v>
      </c>
      <c r="AX42" s="2">
        <f t="shared" si="26"/>
        <v>49.984999999999992</v>
      </c>
      <c r="AY42" s="2">
        <f t="shared" si="26"/>
        <v>10.323333333333332</v>
      </c>
      <c r="AZ42" s="2">
        <f t="shared" si="26"/>
        <v>49.986666666666672</v>
      </c>
      <c r="BA42" s="2">
        <f t="shared" si="26"/>
        <v>6.8333333333333315E-2</v>
      </c>
    </row>
    <row r="45" spans="1:53" x14ac:dyDescent="0.25">
      <c r="A45" s="1" t="s">
        <v>18</v>
      </c>
      <c r="B45">
        <v>10.54</v>
      </c>
      <c r="C45">
        <v>10.62</v>
      </c>
      <c r="D45">
        <v>27.7</v>
      </c>
      <c r="E45">
        <v>14.48</v>
      </c>
      <c r="F45">
        <v>10.26</v>
      </c>
      <c r="G45">
        <v>26.61</v>
      </c>
      <c r="H45">
        <v>14.81</v>
      </c>
      <c r="I45">
        <v>47.88</v>
      </c>
      <c r="J45">
        <v>50.98</v>
      </c>
      <c r="K45">
        <v>51.57</v>
      </c>
      <c r="L45">
        <v>27.7</v>
      </c>
      <c r="M45">
        <v>74.260000000000005</v>
      </c>
      <c r="N45">
        <f>(L45+M45)/2</f>
        <v>50.980000000000004</v>
      </c>
      <c r="O45">
        <v>46.56</v>
      </c>
      <c r="P45">
        <v>50.98</v>
      </c>
      <c r="Q45">
        <v>1.3</v>
      </c>
      <c r="S45" s="1" t="s">
        <v>56</v>
      </c>
      <c r="T45">
        <v>10.25</v>
      </c>
      <c r="U45">
        <v>10.11</v>
      </c>
      <c r="V45">
        <v>38.659999999999997</v>
      </c>
      <c r="W45">
        <v>14.81</v>
      </c>
      <c r="X45">
        <v>9.1199999999999992</v>
      </c>
      <c r="Y45">
        <v>34.46</v>
      </c>
      <c r="Z45">
        <v>14.43</v>
      </c>
      <c r="AA45">
        <v>43.85</v>
      </c>
      <c r="AB45">
        <v>50.48</v>
      </c>
      <c r="AC45">
        <v>50.86</v>
      </c>
      <c r="AD45">
        <v>38.659999999999997</v>
      </c>
      <c r="AE45">
        <v>62.3</v>
      </c>
      <c r="AF45">
        <f>(AD45+AE45)/2</f>
        <v>50.48</v>
      </c>
      <c r="AG45">
        <v>23.64</v>
      </c>
      <c r="AH45">
        <v>50.48</v>
      </c>
      <c r="AI45">
        <v>0.46</v>
      </c>
      <c r="AK45" s="1" t="s">
        <v>59</v>
      </c>
      <c r="AL45">
        <v>10</v>
      </c>
      <c r="AM45">
        <v>9.7799999999999994</v>
      </c>
      <c r="AN45">
        <v>37.61</v>
      </c>
      <c r="AO45">
        <v>15.22</v>
      </c>
      <c r="AP45">
        <v>10.039999999999999</v>
      </c>
      <c r="AQ45">
        <v>38.67</v>
      </c>
      <c r="AR45">
        <v>15.94</v>
      </c>
      <c r="AS45">
        <v>44.01</v>
      </c>
      <c r="AT45">
        <v>49.5</v>
      </c>
      <c r="AU45">
        <v>49.69</v>
      </c>
      <c r="AV45">
        <v>37.61</v>
      </c>
      <c r="AW45">
        <v>61.39</v>
      </c>
      <c r="AX45">
        <f>(AV45+AW45)/2</f>
        <v>49.5</v>
      </c>
      <c r="AY45">
        <v>23.77</v>
      </c>
      <c r="AZ45">
        <v>49.5</v>
      </c>
      <c r="BA45">
        <v>-0.64</v>
      </c>
    </row>
    <row r="46" spans="1:53" x14ac:dyDescent="0.25">
      <c r="A46" s="1"/>
      <c r="B46">
        <v>10.32</v>
      </c>
      <c r="C46">
        <v>10.18</v>
      </c>
      <c r="D46">
        <v>41.31</v>
      </c>
      <c r="E46">
        <v>15.93</v>
      </c>
      <c r="F46">
        <v>10.19</v>
      </c>
      <c r="G46">
        <v>41.4</v>
      </c>
      <c r="H46">
        <v>16.350000000000001</v>
      </c>
      <c r="I46">
        <v>43.77</v>
      </c>
      <c r="J46">
        <v>50.38</v>
      </c>
      <c r="K46">
        <v>50.65</v>
      </c>
      <c r="L46">
        <v>41.31</v>
      </c>
      <c r="M46">
        <v>59.45</v>
      </c>
      <c r="N46">
        <f t="shared" ref="N46:N50" si="27">(L46+M46)/2</f>
        <v>50.38</v>
      </c>
      <c r="O46">
        <v>18.14</v>
      </c>
      <c r="P46">
        <v>50.38</v>
      </c>
      <c r="Q46">
        <v>0.48</v>
      </c>
      <c r="T46">
        <v>10.24</v>
      </c>
      <c r="U46">
        <v>10.28</v>
      </c>
      <c r="V46">
        <v>46.94</v>
      </c>
      <c r="W46">
        <v>16.32</v>
      </c>
      <c r="X46">
        <v>10.01</v>
      </c>
      <c r="Y46">
        <v>45.62</v>
      </c>
      <c r="Z46">
        <v>16.420000000000002</v>
      </c>
      <c r="AA46">
        <v>42.1</v>
      </c>
      <c r="AB46">
        <v>50.77</v>
      </c>
      <c r="AC46">
        <v>50.77</v>
      </c>
      <c r="AD46">
        <v>46.94</v>
      </c>
      <c r="AE46">
        <v>54.6</v>
      </c>
      <c r="AF46">
        <f t="shared" ref="AF46:AF50" si="28">(AD46+AE46)/2</f>
        <v>50.769999999999996</v>
      </c>
      <c r="AG46">
        <v>7.65</v>
      </c>
      <c r="AH46">
        <v>50.77</v>
      </c>
      <c r="AI46">
        <v>0.87</v>
      </c>
      <c r="AL46">
        <v>10.14</v>
      </c>
      <c r="AM46">
        <v>10.14</v>
      </c>
      <c r="AN46">
        <v>53.26</v>
      </c>
      <c r="AO46">
        <v>16.73</v>
      </c>
      <c r="AP46">
        <v>10.26</v>
      </c>
      <c r="AQ46">
        <v>53.97</v>
      </c>
      <c r="AR46">
        <v>17.25</v>
      </c>
      <c r="AS46">
        <v>39.479999999999997</v>
      </c>
      <c r="AT46">
        <v>50.39</v>
      </c>
      <c r="AU46">
        <v>50.58</v>
      </c>
      <c r="AV46">
        <v>53.26</v>
      </c>
      <c r="AW46">
        <v>47.52</v>
      </c>
      <c r="AX46">
        <f t="shared" ref="AX46:AX50" si="29">(AV46+AW46)/2</f>
        <v>50.39</v>
      </c>
      <c r="AY46">
        <v>5.75</v>
      </c>
      <c r="AZ46">
        <v>50.39</v>
      </c>
      <c r="BA46">
        <v>0.48</v>
      </c>
    </row>
    <row r="47" spans="1:53" x14ac:dyDescent="0.25">
      <c r="A47" s="1"/>
      <c r="B47">
        <v>23.24</v>
      </c>
      <c r="C47">
        <v>23.09</v>
      </c>
      <c r="D47">
        <v>48.53</v>
      </c>
      <c r="E47">
        <v>30.75</v>
      </c>
      <c r="F47">
        <v>23.6</v>
      </c>
      <c r="G47">
        <v>49.95</v>
      </c>
      <c r="H47">
        <v>32.049999999999997</v>
      </c>
      <c r="I47">
        <v>46.23</v>
      </c>
      <c r="J47">
        <v>50.26</v>
      </c>
      <c r="K47">
        <v>50.1</v>
      </c>
      <c r="L47">
        <v>48.53</v>
      </c>
      <c r="M47">
        <v>52</v>
      </c>
      <c r="N47">
        <f t="shared" si="27"/>
        <v>50.265000000000001</v>
      </c>
      <c r="O47">
        <v>3.48</v>
      </c>
      <c r="P47">
        <v>50.26</v>
      </c>
      <c r="Q47">
        <v>0.5</v>
      </c>
      <c r="T47">
        <v>23.35</v>
      </c>
      <c r="U47">
        <v>23.15</v>
      </c>
      <c r="V47">
        <v>42.44</v>
      </c>
      <c r="W47">
        <v>28.87</v>
      </c>
      <c r="X47">
        <v>22.72</v>
      </c>
      <c r="Y47">
        <v>41.29</v>
      </c>
      <c r="Z47">
        <v>29.31</v>
      </c>
      <c r="AA47">
        <v>47.69</v>
      </c>
      <c r="AB47">
        <v>50.68</v>
      </c>
      <c r="AC47">
        <v>50.6</v>
      </c>
      <c r="AD47">
        <v>42.44</v>
      </c>
      <c r="AE47">
        <v>58.91</v>
      </c>
      <c r="AF47">
        <f t="shared" si="28"/>
        <v>50.674999999999997</v>
      </c>
      <c r="AG47">
        <v>16.47</v>
      </c>
      <c r="AH47">
        <v>50.68</v>
      </c>
      <c r="AI47">
        <v>1.02</v>
      </c>
      <c r="AL47">
        <v>23.43</v>
      </c>
      <c r="AM47">
        <v>23.34</v>
      </c>
      <c r="AN47">
        <v>49.73</v>
      </c>
      <c r="AO47">
        <v>30.9</v>
      </c>
      <c r="AP47">
        <v>22.93</v>
      </c>
      <c r="AQ47">
        <v>49.17</v>
      </c>
      <c r="AR47">
        <v>31.28</v>
      </c>
      <c r="AS47">
        <v>46.3</v>
      </c>
      <c r="AT47">
        <v>50.68</v>
      </c>
      <c r="AU47">
        <v>50.95</v>
      </c>
      <c r="AV47">
        <v>49.73</v>
      </c>
      <c r="AW47">
        <v>51.63</v>
      </c>
      <c r="AX47">
        <f t="shared" si="29"/>
        <v>50.68</v>
      </c>
      <c r="AY47">
        <v>1.89</v>
      </c>
      <c r="AZ47">
        <v>50.68</v>
      </c>
      <c r="BA47">
        <v>1.29</v>
      </c>
    </row>
    <row r="48" spans="1:53" x14ac:dyDescent="0.25">
      <c r="A48" s="1"/>
      <c r="B48">
        <v>10.49</v>
      </c>
      <c r="C48">
        <v>10.37</v>
      </c>
      <c r="D48">
        <v>44.63</v>
      </c>
      <c r="E48">
        <v>16.53</v>
      </c>
      <c r="F48">
        <v>10.59</v>
      </c>
      <c r="G48">
        <v>45.9</v>
      </c>
      <c r="H48">
        <v>17.21</v>
      </c>
      <c r="I48">
        <v>43.17</v>
      </c>
      <c r="J48">
        <v>50.76</v>
      </c>
      <c r="K48">
        <v>50.97</v>
      </c>
      <c r="L48">
        <v>44.63</v>
      </c>
      <c r="M48">
        <v>56.88</v>
      </c>
      <c r="N48">
        <f t="shared" si="27"/>
        <v>50.755000000000003</v>
      </c>
      <c r="O48">
        <v>12.25</v>
      </c>
      <c r="P48">
        <v>50.76</v>
      </c>
      <c r="Q48">
        <v>1.03</v>
      </c>
      <c r="T48">
        <v>10.44</v>
      </c>
      <c r="U48">
        <v>10.220000000000001</v>
      </c>
      <c r="V48">
        <v>53.52</v>
      </c>
      <c r="W48">
        <v>16.8</v>
      </c>
      <c r="X48">
        <v>10.27</v>
      </c>
      <c r="Y48">
        <v>53.24</v>
      </c>
      <c r="Z48">
        <v>17.22</v>
      </c>
      <c r="AA48">
        <v>39.78</v>
      </c>
      <c r="AB48">
        <v>50.91</v>
      </c>
      <c r="AC48">
        <v>51.38</v>
      </c>
      <c r="AD48">
        <v>53.52</v>
      </c>
      <c r="AE48">
        <v>48.3</v>
      </c>
      <c r="AF48">
        <f t="shared" si="28"/>
        <v>50.91</v>
      </c>
      <c r="AG48">
        <v>5.23</v>
      </c>
      <c r="AH48">
        <v>50.91</v>
      </c>
      <c r="AI48">
        <v>0.91</v>
      </c>
      <c r="AL48">
        <v>10.25</v>
      </c>
      <c r="AM48">
        <v>10.130000000000001</v>
      </c>
      <c r="AN48">
        <v>52.55</v>
      </c>
      <c r="AO48">
        <v>16.71</v>
      </c>
      <c r="AP48">
        <v>10.36</v>
      </c>
      <c r="AQ48">
        <v>53.11</v>
      </c>
      <c r="AR48">
        <v>17.34</v>
      </c>
      <c r="AS48">
        <v>40.01</v>
      </c>
      <c r="AT48">
        <v>50.69</v>
      </c>
      <c r="AU48">
        <v>50.83</v>
      </c>
      <c r="AV48">
        <v>52.55</v>
      </c>
      <c r="AW48">
        <v>48.83</v>
      </c>
      <c r="AX48">
        <f t="shared" si="29"/>
        <v>50.69</v>
      </c>
      <c r="AY48">
        <v>3.72</v>
      </c>
      <c r="AZ48">
        <v>50.69</v>
      </c>
      <c r="BA48">
        <v>0.57999999999999996</v>
      </c>
    </row>
    <row r="49" spans="1:70" x14ac:dyDescent="0.25">
      <c r="B49">
        <v>23.44</v>
      </c>
      <c r="C49">
        <v>23.18</v>
      </c>
      <c r="D49">
        <v>48.95</v>
      </c>
      <c r="E49">
        <v>31.02</v>
      </c>
      <c r="F49">
        <v>23.6</v>
      </c>
      <c r="G49">
        <v>49.79</v>
      </c>
      <c r="H49">
        <v>32.020000000000003</v>
      </c>
      <c r="I49">
        <v>46.7</v>
      </c>
      <c r="J49">
        <v>50.63</v>
      </c>
      <c r="K49">
        <v>50.69</v>
      </c>
      <c r="L49">
        <v>48.95</v>
      </c>
      <c r="M49">
        <v>52.3</v>
      </c>
      <c r="N49">
        <f t="shared" si="27"/>
        <v>50.625</v>
      </c>
      <c r="O49">
        <v>3.35</v>
      </c>
      <c r="P49">
        <v>50.63</v>
      </c>
      <c r="Q49">
        <v>1.03</v>
      </c>
      <c r="T49">
        <v>22.85</v>
      </c>
      <c r="U49">
        <v>22.71</v>
      </c>
      <c r="V49">
        <v>48.68</v>
      </c>
      <c r="W49">
        <v>29.99</v>
      </c>
      <c r="X49">
        <v>22.18</v>
      </c>
      <c r="Y49">
        <v>47.7</v>
      </c>
      <c r="Z49">
        <v>30.28</v>
      </c>
      <c r="AA49">
        <v>45.47</v>
      </c>
      <c r="AB49">
        <v>49.87</v>
      </c>
      <c r="AC49">
        <v>49.95</v>
      </c>
      <c r="AD49">
        <v>48.68</v>
      </c>
      <c r="AE49">
        <v>51.05</v>
      </c>
      <c r="AF49">
        <f t="shared" si="28"/>
        <v>49.864999999999995</v>
      </c>
      <c r="AG49">
        <v>2.37</v>
      </c>
      <c r="AH49">
        <v>49.87</v>
      </c>
      <c r="AI49">
        <v>-0.18</v>
      </c>
      <c r="AL49">
        <v>23.45</v>
      </c>
      <c r="AM49">
        <v>23.2</v>
      </c>
      <c r="AN49">
        <v>50.88</v>
      </c>
      <c r="AO49">
        <v>31.21</v>
      </c>
      <c r="AP49">
        <v>23.14</v>
      </c>
      <c r="AQ49">
        <v>50.81</v>
      </c>
      <c r="AR49">
        <v>31.8</v>
      </c>
      <c r="AS49">
        <v>46.06</v>
      </c>
      <c r="AT49">
        <v>50.62</v>
      </c>
      <c r="AU49">
        <v>50.64</v>
      </c>
      <c r="AV49">
        <v>50.88</v>
      </c>
      <c r="AW49">
        <v>50.36</v>
      </c>
      <c r="AX49">
        <f t="shared" si="29"/>
        <v>50.620000000000005</v>
      </c>
      <c r="AY49">
        <v>0.52</v>
      </c>
      <c r="AZ49">
        <v>50.62</v>
      </c>
      <c r="BA49">
        <v>1.05</v>
      </c>
    </row>
    <row r="50" spans="1:70" x14ac:dyDescent="0.25">
      <c r="B50">
        <v>17.559999999999999</v>
      </c>
      <c r="C50">
        <v>16.98</v>
      </c>
      <c r="D50">
        <v>53.01</v>
      </c>
      <c r="E50">
        <v>24.41</v>
      </c>
      <c r="F50">
        <v>17.55</v>
      </c>
      <c r="G50">
        <v>54.89</v>
      </c>
      <c r="H50">
        <v>26.6</v>
      </c>
      <c r="I50">
        <v>43.09</v>
      </c>
      <c r="J50">
        <v>51.15</v>
      </c>
      <c r="K50">
        <v>51.56</v>
      </c>
      <c r="L50">
        <v>53.01</v>
      </c>
      <c r="M50">
        <v>49.29</v>
      </c>
      <c r="N50">
        <f t="shared" si="27"/>
        <v>51.15</v>
      </c>
      <c r="O50">
        <v>3.72</v>
      </c>
      <c r="P50">
        <v>51.15</v>
      </c>
      <c r="Q50">
        <v>1.71</v>
      </c>
      <c r="T50">
        <v>17.22</v>
      </c>
      <c r="U50">
        <v>16.18</v>
      </c>
      <c r="V50">
        <v>46.94</v>
      </c>
      <c r="W50">
        <v>21.96</v>
      </c>
      <c r="X50">
        <v>15.74</v>
      </c>
      <c r="Y50">
        <v>43.63</v>
      </c>
      <c r="Z50">
        <v>23.13</v>
      </c>
      <c r="AA50">
        <v>43.59</v>
      </c>
      <c r="AB50">
        <v>50.77</v>
      </c>
      <c r="AC50">
        <v>51.56</v>
      </c>
      <c r="AD50">
        <v>46.94</v>
      </c>
      <c r="AE50">
        <v>54.61</v>
      </c>
      <c r="AF50">
        <f t="shared" si="28"/>
        <v>50.774999999999999</v>
      </c>
      <c r="AG50">
        <v>7.67</v>
      </c>
      <c r="AH50">
        <v>50.77</v>
      </c>
      <c r="AI50">
        <v>0.44</v>
      </c>
      <c r="AL50">
        <v>16.84</v>
      </c>
      <c r="AM50">
        <v>16.37</v>
      </c>
      <c r="AN50">
        <v>48.92</v>
      </c>
      <c r="AO50">
        <v>23.27</v>
      </c>
      <c r="AP50">
        <v>16.690000000000001</v>
      </c>
      <c r="AQ50">
        <v>50.68</v>
      </c>
      <c r="AR50">
        <v>25.11</v>
      </c>
      <c r="AS50">
        <v>43</v>
      </c>
      <c r="AT50">
        <v>49.65</v>
      </c>
      <c r="AU50">
        <v>50.04</v>
      </c>
      <c r="AV50">
        <v>48.92</v>
      </c>
      <c r="AW50">
        <v>50.39</v>
      </c>
      <c r="AX50">
        <f t="shared" si="29"/>
        <v>49.655000000000001</v>
      </c>
      <c r="AY50">
        <v>1.46</v>
      </c>
      <c r="AZ50">
        <v>49.65</v>
      </c>
      <c r="BA50">
        <v>-0.2</v>
      </c>
    </row>
    <row r="51" spans="1:70" x14ac:dyDescent="0.25">
      <c r="B51" s="2">
        <f>AVERAGE(B45:B50)</f>
        <v>15.931666666666667</v>
      </c>
      <c r="C51" s="2">
        <f t="shared" ref="C51:Q51" si="30">AVERAGE(C45:C50)</f>
        <v>15.736666666666666</v>
      </c>
      <c r="D51" s="2">
        <f t="shared" si="30"/>
        <v>44.021666666666668</v>
      </c>
      <c r="E51" s="2">
        <f t="shared" si="30"/>
        <v>22.186666666666667</v>
      </c>
      <c r="F51" s="2">
        <f t="shared" si="30"/>
        <v>15.965000000000002</v>
      </c>
      <c r="G51" s="2">
        <f t="shared" si="30"/>
        <v>44.756666666666661</v>
      </c>
      <c r="H51" s="2">
        <f t="shared" si="30"/>
        <v>23.173333333333332</v>
      </c>
      <c r="I51" s="2">
        <f t="shared" si="30"/>
        <v>45.140000000000008</v>
      </c>
      <c r="J51" s="2">
        <f t="shared" si="30"/>
        <v>50.693333333333328</v>
      </c>
      <c r="K51" s="2">
        <f t="shared" si="30"/>
        <v>50.923333333333325</v>
      </c>
      <c r="L51" s="2">
        <f t="shared" si="30"/>
        <v>44.021666666666668</v>
      </c>
      <c r="M51" s="2">
        <f t="shared" si="30"/>
        <v>57.363333333333337</v>
      </c>
      <c r="N51" s="2">
        <f t="shared" si="30"/>
        <v>50.692499999999995</v>
      </c>
      <c r="O51" s="2">
        <f t="shared" si="30"/>
        <v>14.583333333333334</v>
      </c>
      <c r="P51" s="2">
        <f t="shared" si="30"/>
        <v>50.693333333333328</v>
      </c>
      <c r="Q51" s="2">
        <f t="shared" si="30"/>
        <v>1.0083333333333335</v>
      </c>
      <c r="T51" s="2">
        <f>AVERAGE(T45:T50)</f>
        <v>15.725</v>
      </c>
      <c r="U51" s="2">
        <f t="shared" ref="U51:AI51" si="31">AVERAGE(U45:U50)</f>
        <v>15.441666666666668</v>
      </c>
      <c r="V51" s="2">
        <f t="shared" si="31"/>
        <v>46.196666666666665</v>
      </c>
      <c r="W51" s="2">
        <f t="shared" si="31"/>
        <v>21.458333333333332</v>
      </c>
      <c r="X51" s="2">
        <f t="shared" si="31"/>
        <v>15.006666666666662</v>
      </c>
      <c r="Y51" s="2">
        <f t="shared" si="31"/>
        <v>44.323333333333331</v>
      </c>
      <c r="Z51" s="2">
        <f t="shared" si="31"/>
        <v>21.798333333333332</v>
      </c>
      <c r="AA51" s="2">
        <f t="shared" si="31"/>
        <v>43.74666666666667</v>
      </c>
      <c r="AB51" s="2">
        <f t="shared" si="31"/>
        <v>50.580000000000005</v>
      </c>
      <c r="AC51" s="2">
        <f t="shared" si="31"/>
        <v>50.853333333333332</v>
      </c>
      <c r="AD51" s="2">
        <f t="shared" si="31"/>
        <v>46.196666666666665</v>
      </c>
      <c r="AE51" s="2">
        <f t="shared" si="31"/>
        <v>54.961666666666673</v>
      </c>
      <c r="AF51" s="2">
        <f t="shared" si="31"/>
        <v>50.579166666666659</v>
      </c>
      <c r="AG51" s="2">
        <f t="shared" si="31"/>
        <v>10.504999999999999</v>
      </c>
      <c r="AH51" s="2">
        <f t="shared" si="31"/>
        <v>50.580000000000005</v>
      </c>
      <c r="AI51" s="2">
        <f t="shared" si="31"/>
        <v>0.58666666666666667</v>
      </c>
      <c r="AL51" s="2">
        <f>AVERAGE(AL45:AL50)</f>
        <v>15.685</v>
      </c>
      <c r="AM51" s="2">
        <f t="shared" ref="AM51:BA51" si="32">AVERAGE(AM45:AM50)</f>
        <v>15.493333333333334</v>
      </c>
      <c r="AN51" s="2">
        <f t="shared" si="32"/>
        <v>48.824999999999996</v>
      </c>
      <c r="AO51" s="2">
        <f t="shared" si="32"/>
        <v>22.340000000000003</v>
      </c>
      <c r="AP51" s="2">
        <f t="shared" si="32"/>
        <v>15.569999999999999</v>
      </c>
      <c r="AQ51" s="2">
        <f t="shared" si="32"/>
        <v>49.401666666666671</v>
      </c>
      <c r="AR51" s="2">
        <f t="shared" si="32"/>
        <v>23.12</v>
      </c>
      <c r="AS51" s="2">
        <f t="shared" si="32"/>
        <v>43.143333333333338</v>
      </c>
      <c r="AT51" s="2">
        <f t="shared" si="32"/>
        <v>50.254999999999995</v>
      </c>
      <c r="AU51" s="2">
        <f t="shared" si="32"/>
        <v>50.455000000000005</v>
      </c>
      <c r="AV51" s="2">
        <f t="shared" si="32"/>
        <v>48.824999999999996</v>
      </c>
      <c r="AW51" s="2">
        <f t="shared" si="32"/>
        <v>51.686666666666667</v>
      </c>
      <c r="AX51" s="2">
        <f t="shared" si="32"/>
        <v>50.255833333333328</v>
      </c>
      <c r="AY51" s="2">
        <f t="shared" si="32"/>
        <v>6.1850000000000014</v>
      </c>
      <c r="AZ51" s="2">
        <f t="shared" si="32"/>
        <v>50.254999999999995</v>
      </c>
      <c r="BA51" s="2">
        <f t="shared" si="32"/>
        <v>0.42666666666666658</v>
      </c>
    </row>
    <row r="54" spans="1:70" x14ac:dyDescent="0.25">
      <c r="A54" s="1" t="s">
        <v>27</v>
      </c>
      <c r="B54">
        <v>6.11</v>
      </c>
      <c r="C54">
        <v>10</v>
      </c>
      <c r="D54">
        <v>100</v>
      </c>
      <c r="E54">
        <v>17.93</v>
      </c>
      <c r="F54">
        <v>10</v>
      </c>
      <c r="G54">
        <v>100</v>
      </c>
      <c r="H54">
        <v>18.18</v>
      </c>
      <c r="I54">
        <v>8.9700000000000006</v>
      </c>
      <c r="J54">
        <v>50</v>
      </c>
      <c r="K54">
        <v>50</v>
      </c>
      <c r="L54">
        <v>100</v>
      </c>
      <c r="M54">
        <v>0</v>
      </c>
      <c r="N54">
        <f>(L54+M54)/2</f>
        <v>50</v>
      </c>
      <c r="O54">
        <v>100</v>
      </c>
      <c r="P54">
        <v>50</v>
      </c>
      <c r="Q54">
        <v>0</v>
      </c>
      <c r="S54" s="1" t="s">
        <v>40</v>
      </c>
      <c r="T54">
        <v>12.67</v>
      </c>
      <c r="U54">
        <v>13.35</v>
      </c>
      <c r="V54">
        <v>42.33</v>
      </c>
      <c r="W54">
        <v>19.88</v>
      </c>
      <c r="X54">
        <v>13.28</v>
      </c>
      <c r="Y54">
        <v>43.03</v>
      </c>
      <c r="Z54">
        <v>20.29</v>
      </c>
      <c r="AA54">
        <v>49.13</v>
      </c>
      <c r="AB54">
        <v>55.51</v>
      </c>
      <c r="AC54">
        <v>58.5</v>
      </c>
      <c r="AD54">
        <v>42.33</v>
      </c>
      <c r="AE54">
        <v>68.7</v>
      </c>
      <c r="AF54">
        <f>(AD54+AE54)/2</f>
        <v>55.515000000000001</v>
      </c>
      <c r="AG54">
        <v>26.37</v>
      </c>
      <c r="AH54">
        <v>55.51</v>
      </c>
      <c r="AI54">
        <v>7.21</v>
      </c>
      <c r="AK54" s="1" t="s">
        <v>53</v>
      </c>
      <c r="AL54">
        <v>8.08</v>
      </c>
      <c r="AM54">
        <v>100</v>
      </c>
      <c r="AN54">
        <v>0</v>
      </c>
      <c r="AO54">
        <v>0</v>
      </c>
      <c r="AP54">
        <v>100</v>
      </c>
      <c r="AQ54">
        <v>0</v>
      </c>
      <c r="AR54">
        <v>0</v>
      </c>
      <c r="AS54">
        <v>47.35</v>
      </c>
      <c r="AT54">
        <v>50</v>
      </c>
      <c r="AU54">
        <v>49.97</v>
      </c>
      <c r="AV54">
        <v>0</v>
      </c>
      <c r="AW54">
        <v>100</v>
      </c>
      <c r="AX54">
        <f>(AV54+AW54)/2</f>
        <v>50</v>
      </c>
      <c r="AY54">
        <v>100</v>
      </c>
      <c r="AZ54">
        <v>50</v>
      </c>
      <c r="BA54">
        <v>0</v>
      </c>
      <c r="BP54" s="1"/>
      <c r="BQ54" s="1"/>
      <c r="BR54" s="1"/>
    </row>
    <row r="55" spans="1:70" x14ac:dyDescent="0.25">
      <c r="B55">
        <v>11.69</v>
      </c>
      <c r="C55">
        <v>10</v>
      </c>
      <c r="D55">
        <v>99.97</v>
      </c>
      <c r="E55">
        <v>17.940000000000001</v>
      </c>
      <c r="F55">
        <v>10</v>
      </c>
      <c r="G55">
        <v>99.97</v>
      </c>
      <c r="H55">
        <v>18.18</v>
      </c>
      <c r="I55">
        <v>9.01</v>
      </c>
      <c r="J55">
        <v>50</v>
      </c>
      <c r="K55">
        <v>55.61</v>
      </c>
      <c r="L55">
        <v>99.97</v>
      </c>
      <c r="M55">
        <v>0.04</v>
      </c>
      <c r="N55">
        <f t="shared" ref="N55:N59" si="33">(L55+M55)/2</f>
        <v>50.005000000000003</v>
      </c>
      <c r="O55">
        <v>99.93</v>
      </c>
      <c r="P55">
        <v>50</v>
      </c>
      <c r="Q55">
        <v>0.19</v>
      </c>
      <c r="T55">
        <v>13.92</v>
      </c>
      <c r="U55">
        <v>16.809999999999999</v>
      </c>
      <c r="V55">
        <v>19.940000000000001</v>
      </c>
      <c r="W55">
        <v>16.73</v>
      </c>
      <c r="X55">
        <v>19.260000000000002</v>
      </c>
      <c r="Y55">
        <v>22.19</v>
      </c>
      <c r="Z55">
        <v>20.62</v>
      </c>
      <c r="AA55">
        <v>53.47</v>
      </c>
      <c r="AB55">
        <v>54.73</v>
      </c>
      <c r="AC55">
        <v>60.24</v>
      </c>
      <c r="AD55">
        <v>19.940000000000001</v>
      </c>
      <c r="AE55">
        <v>89.53</v>
      </c>
      <c r="AF55">
        <f t="shared" ref="AF55:AF59" si="34">(AD55+AE55)/2</f>
        <v>54.734999999999999</v>
      </c>
      <c r="AG55">
        <v>69.59</v>
      </c>
      <c r="AH55">
        <v>54.73</v>
      </c>
      <c r="AI55">
        <v>8.3699999999999992</v>
      </c>
      <c r="AL55">
        <v>11.22</v>
      </c>
      <c r="AM55">
        <v>12.41</v>
      </c>
      <c r="AN55">
        <v>0.06</v>
      </c>
      <c r="AO55">
        <v>25.11</v>
      </c>
      <c r="AP55">
        <v>10.199999999999999</v>
      </c>
      <c r="AQ55">
        <v>7.0000000000000007E-2</v>
      </c>
      <c r="AR55">
        <v>0.14000000000000001</v>
      </c>
      <c r="AS55">
        <v>47.39</v>
      </c>
      <c r="AT55">
        <v>49.99</v>
      </c>
      <c r="AU55">
        <v>52.8</v>
      </c>
      <c r="AV55">
        <v>0.06</v>
      </c>
      <c r="AW55">
        <v>99.93</v>
      </c>
      <c r="AX55">
        <f t="shared" ref="AX55:AX59" si="35">(AV55+AW55)/2</f>
        <v>49.995000000000005</v>
      </c>
      <c r="AY55">
        <v>99.87</v>
      </c>
      <c r="AZ55">
        <v>49.99</v>
      </c>
      <c r="BA55">
        <v>0.01</v>
      </c>
      <c r="BP55" s="1"/>
      <c r="BQ55" s="1"/>
      <c r="BR55" s="1"/>
    </row>
    <row r="56" spans="1:70" x14ac:dyDescent="0.25">
      <c r="B56">
        <v>25.01</v>
      </c>
      <c r="C56">
        <v>24.64</v>
      </c>
      <c r="D56">
        <v>74.48</v>
      </c>
      <c r="E56">
        <v>33.47</v>
      </c>
      <c r="F56">
        <v>21.52</v>
      </c>
      <c r="G56">
        <v>67.760000000000005</v>
      </c>
      <c r="H56">
        <v>32.67</v>
      </c>
      <c r="I56">
        <v>33.020000000000003</v>
      </c>
      <c r="J56">
        <v>51.99</v>
      </c>
      <c r="K56">
        <v>53.9</v>
      </c>
      <c r="L56">
        <v>74.48</v>
      </c>
      <c r="M56">
        <v>29.49</v>
      </c>
      <c r="N56">
        <f t="shared" si="33"/>
        <v>51.984999999999999</v>
      </c>
      <c r="O56">
        <v>44.99</v>
      </c>
      <c r="P56">
        <v>51.99</v>
      </c>
      <c r="Q56">
        <v>3.84</v>
      </c>
      <c r="T56">
        <v>31.94</v>
      </c>
      <c r="U56">
        <v>32.369999999999997</v>
      </c>
      <c r="V56">
        <v>39.04</v>
      </c>
      <c r="W56">
        <v>33.75</v>
      </c>
      <c r="X56">
        <v>34.31</v>
      </c>
      <c r="Y56">
        <v>42.82</v>
      </c>
      <c r="Z56">
        <v>38.1</v>
      </c>
      <c r="AA56">
        <v>55.44</v>
      </c>
      <c r="AB56">
        <v>57.02</v>
      </c>
      <c r="AC56">
        <v>61.34</v>
      </c>
      <c r="AD56">
        <v>39.04</v>
      </c>
      <c r="AE56">
        <v>74.989999999999995</v>
      </c>
      <c r="AF56">
        <f t="shared" si="34"/>
        <v>57.015000000000001</v>
      </c>
      <c r="AG56">
        <v>35.950000000000003</v>
      </c>
      <c r="AH56">
        <v>57.02</v>
      </c>
      <c r="AI56">
        <v>13.76</v>
      </c>
      <c r="AL56">
        <v>26.3</v>
      </c>
      <c r="AM56">
        <v>29.4</v>
      </c>
      <c r="AN56">
        <v>26.16</v>
      </c>
      <c r="AO56">
        <v>19.71</v>
      </c>
      <c r="AP56">
        <v>31.98</v>
      </c>
      <c r="AQ56">
        <v>33.21</v>
      </c>
      <c r="AR56">
        <v>32.58</v>
      </c>
      <c r="AS56">
        <v>48</v>
      </c>
      <c r="AT56">
        <v>51.75</v>
      </c>
      <c r="AU56">
        <v>55.26</v>
      </c>
      <c r="AV56">
        <v>26.16</v>
      </c>
      <c r="AW56">
        <v>77.349999999999994</v>
      </c>
      <c r="AX56">
        <f t="shared" si="35"/>
        <v>51.754999999999995</v>
      </c>
      <c r="AY56">
        <v>51.18</v>
      </c>
      <c r="AZ56">
        <v>51.75</v>
      </c>
      <c r="BA56">
        <v>3.79</v>
      </c>
      <c r="BP56" s="1"/>
      <c r="BQ56" s="1"/>
      <c r="BR56" s="1"/>
    </row>
    <row r="57" spans="1:70" x14ac:dyDescent="0.25">
      <c r="B57">
        <v>11.42</v>
      </c>
      <c r="C57">
        <v>10</v>
      </c>
      <c r="D57">
        <v>99.98</v>
      </c>
      <c r="E57">
        <v>17.940000000000001</v>
      </c>
      <c r="F57">
        <v>10</v>
      </c>
      <c r="G57">
        <v>99.99</v>
      </c>
      <c r="H57">
        <v>18.18</v>
      </c>
      <c r="I57">
        <v>8.99</v>
      </c>
      <c r="J57">
        <v>50</v>
      </c>
      <c r="K57">
        <v>54.62</v>
      </c>
      <c r="L57">
        <v>99.98</v>
      </c>
      <c r="M57">
        <v>0.02</v>
      </c>
      <c r="N57">
        <f t="shared" si="33"/>
        <v>50</v>
      </c>
      <c r="O57">
        <v>99.96</v>
      </c>
      <c r="P57">
        <v>50</v>
      </c>
      <c r="Q57">
        <v>0.1</v>
      </c>
      <c r="T57">
        <v>13.98</v>
      </c>
      <c r="U57">
        <v>16.12</v>
      </c>
      <c r="V57">
        <v>22.21</v>
      </c>
      <c r="W57">
        <v>18.2</v>
      </c>
      <c r="X57">
        <v>17.87</v>
      </c>
      <c r="Y57">
        <v>24.29</v>
      </c>
      <c r="Z57">
        <v>20.6</v>
      </c>
      <c r="AA57">
        <v>53.72</v>
      </c>
      <c r="AB57">
        <v>54.86</v>
      </c>
      <c r="AC57">
        <v>59.33</v>
      </c>
      <c r="AD57">
        <v>22.21</v>
      </c>
      <c r="AE57">
        <v>87.5</v>
      </c>
      <c r="AF57">
        <f t="shared" si="34"/>
        <v>54.855000000000004</v>
      </c>
      <c r="AG57">
        <v>65.290000000000006</v>
      </c>
      <c r="AH57">
        <v>54.86</v>
      </c>
      <c r="AI57">
        <v>8.33</v>
      </c>
      <c r="AL57">
        <v>10.71</v>
      </c>
      <c r="AM57">
        <v>39.39</v>
      </c>
      <c r="AN57">
        <v>5.72</v>
      </c>
      <c r="AO57">
        <v>4.99</v>
      </c>
      <c r="AP57">
        <v>13.37</v>
      </c>
      <c r="AQ57">
        <v>5.85</v>
      </c>
      <c r="AR57">
        <v>8.14</v>
      </c>
      <c r="AS57">
        <v>48.86</v>
      </c>
      <c r="AT57">
        <v>50.75</v>
      </c>
      <c r="AU57">
        <v>51.02</v>
      </c>
      <c r="AV57">
        <v>5.72</v>
      </c>
      <c r="AW57">
        <v>95.78</v>
      </c>
      <c r="AX57">
        <f t="shared" si="35"/>
        <v>50.75</v>
      </c>
      <c r="AY57">
        <v>90.06</v>
      </c>
      <c r="AZ57">
        <v>50.75</v>
      </c>
      <c r="BA57">
        <v>1.66</v>
      </c>
      <c r="BP57" s="1"/>
      <c r="BQ57" s="1"/>
      <c r="BR57" s="1"/>
    </row>
    <row r="58" spans="1:70" x14ac:dyDescent="0.25">
      <c r="B58">
        <v>24.69</v>
      </c>
      <c r="C58">
        <v>22.83</v>
      </c>
      <c r="D58">
        <v>54.12</v>
      </c>
      <c r="E58">
        <v>20.25</v>
      </c>
      <c r="F58">
        <v>18.45</v>
      </c>
      <c r="G58">
        <v>43.87</v>
      </c>
      <c r="H58">
        <v>25.98</v>
      </c>
      <c r="I58">
        <v>30.4</v>
      </c>
      <c r="J58">
        <v>50.05</v>
      </c>
      <c r="K58">
        <v>53.38</v>
      </c>
      <c r="L58">
        <v>54.12</v>
      </c>
      <c r="M58">
        <v>45.99</v>
      </c>
      <c r="N58">
        <f t="shared" si="33"/>
        <v>50.055</v>
      </c>
      <c r="O58">
        <v>8.14</v>
      </c>
      <c r="P58">
        <v>50.05</v>
      </c>
      <c r="Q58">
        <v>0.31</v>
      </c>
      <c r="T58">
        <v>30.89</v>
      </c>
      <c r="U58">
        <v>33.549999999999997</v>
      </c>
      <c r="V58">
        <v>25.71</v>
      </c>
      <c r="W58">
        <v>28.01</v>
      </c>
      <c r="X58">
        <v>34.32</v>
      </c>
      <c r="Y58">
        <v>25.9</v>
      </c>
      <c r="Z58">
        <v>29.52</v>
      </c>
      <c r="AA58">
        <v>55.07</v>
      </c>
      <c r="AB58">
        <v>55.5</v>
      </c>
      <c r="AC58">
        <v>61.5</v>
      </c>
      <c r="AD58">
        <v>25.71</v>
      </c>
      <c r="AE58">
        <v>85.29</v>
      </c>
      <c r="AF58">
        <f t="shared" si="34"/>
        <v>55.5</v>
      </c>
      <c r="AG58">
        <v>59.58</v>
      </c>
      <c r="AH58">
        <v>55.5</v>
      </c>
      <c r="AI58">
        <v>11.89</v>
      </c>
      <c r="AL58">
        <v>25.22</v>
      </c>
      <c r="AM58">
        <v>34.33</v>
      </c>
      <c r="AN58">
        <v>6.06</v>
      </c>
      <c r="AO58">
        <v>32.909999999999997</v>
      </c>
      <c r="AP58">
        <v>33.979999999999997</v>
      </c>
      <c r="AQ58">
        <v>7.34</v>
      </c>
      <c r="AR58">
        <v>12.07</v>
      </c>
      <c r="AS58">
        <v>46.71</v>
      </c>
      <c r="AT58">
        <v>50.79</v>
      </c>
      <c r="AU58">
        <v>53.95</v>
      </c>
      <c r="AV58">
        <v>6.06</v>
      </c>
      <c r="AW58">
        <v>95.53</v>
      </c>
      <c r="AX58">
        <f t="shared" si="35"/>
        <v>50.795000000000002</v>
      </c>
      <c r="AY58">
        <v>89.47</v>
      </c>
      <c r="AZ58">
        <v>50.79</v>
      </c>
      <c r="BA58">
        <v>2.08</v>
      </c>
      <c r="BP58" s="1"/>
      <c r="BQ58" s="1"/>
      <c r="BR58" s="1"/>
    </row>
    <row r="59" spans="1:70" x14ac:dyDescent="0.25">
      <c r="B59">
        <v>18.059999999999999</v>
      </c>
      <c r="C59">
        <v>16.98</v>
      </c>
      <c r="D59">
        <v>52.31</v>
      </c>
      <c r="E59">
        <v>22.68</v>
      </c>
      <c r="F59">
        <v>19.760000000000002</v>
      </c>
      <c r="G59">
        <v>61.13</v>
      </c>
      <c r="H59">
        <v>29.86</v>
      </c>
      <c r="I59">
        <v>37.81</v>
      </c>
      <c r="J59">
        <v>51.22</v>
      </c>
      <c r="K59">
        <v>53.81</v>
      </c>
      <c r="L59">
        <v>52.31</v>
      </c>
      <c r="M59">
        <v>50.14</v>
      </c>
      <c r="N59">
        <f t="shared" si="33"/>
        <v>51.225000000000001</v>
      </c>
      <c r="O59">
        <v>2.17</v>
      </c>
      <c r="P59">
        <v>51.22</v>
      </c>
      <c r="Q59">
        <v>2.46</v>
      </c>
      <c r="T59">
        <v>26.89</v>
      </c>
      <c r="U59">
        <v>27.41</v>
      </c>
      <c r="V59">
        <v>36.229999999999997</v>
      </c>
      <c r="W59">
        <v>29.71</v>
      </c>
      <c r="X59">
        <v>30.73</v>
      </c>
      <c r="Y59">
        <v>41.43</v>
      </c>
      <c r="Z59">
        <v>35.29</v>
      </c>
      <c r="AA59">
        <v>56.74</v>
      </c>
      <c r="AB59">
        <v>58.7</v>
      </c>
      <c r="AC59">
        <v>64.88</v>
      </c>
      <c r="AD59">
        <v>36.229999999999997</v>
      </c>
      <c r="AE59">
        <v>81.180000000000007</v>
      </c>
      <c r="AF59">
        <f t="shared" si="34"/>
        <v>58.704999999999998</v>
      </c>
      <c r="AG59">
        <v>44.95</v>
      </c>
      <c r="AH59">
        <v>58.7</v>
      </c>
      <c r="AI59">
        <v>15.68</v>
      </c>
      <c r="AL59">
        <v>19.079999999999998</v>
      </c>
      <c r="AM59">
        <v>47.73</v>
      </c>
      <c r="AN59">
        <v>25.99</v>
      </c>
      <c r="AO59">
        <v>16.55</v>
      </c>
      <c r="AP59">
        <v>27.28</v>
      </c>
      <c r="AQ59">
        <v>36.67</v>
      </c>
      <c r="AR59">
        <v>31.28</v>
      </c>
      <c r="AS59">
        <v>48.56</v>
      </c>
      <c r="AT59">
        <v>52.57</v>
      </c>
      <c r="AU59">
        <v>54.92</v>
      </c>
      <c r="AV59">
        <v>25.99</v>
      </c>
      <c r="AW59">
        <v>79.150000000000006</v>
      </c>
      <c r="AX59">
        <f t="shared" si="35"/>
        <v>52.57</v>
      </c>
      <c r="AY59">
        <v>53.16</v>
      </c>
      <c r="AZ59">
        <v>52.57</v>
      </c>
      <c r="BA59">
        <v>4.76</v>
      </c>
      <c r="BP59" s="1"/>
      <c r="BQ59" s="1"/>
      <c r="BR59" s="1"/>
    </row>
    <row r="60" spans="1:70" x14ac:dyDescent="0.25">
      <c r="B60" s="2">
        <f>AVERAGE(B54:B59)</f>
        <v>16.163333333333334</v>
      </c>
      <c r="C60" s="2">
        <f t="shared" ref="C60:Q60" si="36">AVERAGE(C54:C59)</f>
        <v>15.741666666666667</v>
      </c>
      <c r="D60" s="2">
        <f t="shared" si="36"/>
        <v>80.143333333333331</v>
      </c>
      <c r="E60" s="2">
        <f t="shared" si="36"/>
        <v>21.701666666666668</v>
      </c>
      <c r="F60" s="2">
        <f t="shared" si="36"/>
        <v>14.955</v>
      </c>
      <c r="G60" s="2">
        <f t="shared" si="36"/>
        <v>78.786666666666676</v>
      </c>
      <c r="H60" s="2">
        <f t="shared" si="36"/>
        <v>23.841666666666669</v>
      </c>
      <c r="I60" s="2">
        <f t="shared" si="36"/>
        <v>21.366666666666664</v>
      </c>
      <c r="J60" s="2">
        <f t="shared" si="36"/>
        <v>50.543333333333329</v>
      </c>
      <c r="K60" s="2">
        <f t="shared" si="36"/>
        <v>53.553333333333335</v>
      </c>
      <c r="L60" s="2">
        <f t="shared" si="36"/>
        <v>80.143333333333331</v>
      </c>
      <c r="M60" s="2">
        <f t="shared" si="36"/>
        <v>20.946666666666665</v>
      </c>
      <c r="N60" s="2">
        <f t="shared" si="36"/>
        <v>50.545000000000009</v>
      </c>
      <c r="O60" s="2">
        <f t="shared" si="36"/>
        <v>59.198333333333331</v>
      </c>
      <c r="P60" s="2">
        <f t="shared" si="36"/>
        <v>50.543333333333329</v>
      </c>
      <c r="Q60" s="2">
        <f t="shared" si="36"/>
        <v>1.1499999999999999</v>
      </c>
      <c r="T60" s="2">
        <f>AVERAGE(T54:T59)</f>
        <v>21.715000000000003</v>
      </c>
      <c r="U60" s="2">
        <f t="shared" ref="U60:AI60" si="37">AVERAGE(U54:U59)</f>
        <v>23.268333333333331</v>
      </c>
      <c r="V60" s="2">
        <f t="shared" si="37"/>
        <v>30.91</v>
      </c>
      <c r="W60" s="2">
        <f t="shared" si="37"/>
        <v>24.38</v>
      </c>
      <c r="X60" s="2">
        <f t="shared" si="37"/>
        <v>24.961666666666662</v>
      </c>
      <c r="Y60" s="2">
        <f t="shared" si="37"/>
        <v>33.276666666666664</v>
      </c>
      <c r="Z60" s="2">
        <f t="shared" si="37"/>
        <v>27.403333333333332</v>
      </c>
      <c r="AA60" s="2">
        <f t="shared" si="37"/>
        <v>53.928333333333335</v>
      </c>
      <c r="AB60" s="2">
        <f t="shared" si="37"/>
        <v>56.053333333333335</v>
      </c>
      <c r="AC60" s="2">
        <f t="shared" si="37"/>
        <v>60.965000000000003</v>
      </c>
      <c r="AD60" s="2">
        <f t="shared" si="37"/>
        <v>30.91</v>
      </c>
      <c r="AE60" s="2">
        <f t="shared" si="37"/>
        <v>81.198333333333338</v>
      </c>
      <c r="AF60" s="2">
        <f t="shared" si="37"/>
        <v>56.054166666666667</v>
      </c>
      <c r="AG60" s="2">
        <f t="shared" si="37"/>
        <v>50.288333333333334</v>
      </c>
      <c r="AH60" s="2">
        <f t="shared" si="37"/>
        <v>56.053333333333335</v>
      </c>
      <c r="AI60" s="2">
        <f t="shared" si="37"/>
        <v>10.873333333333333</v>
      </c>
      <c r="AL60" s="2">
        <f>AVERAGE(AL54:AL59)</f>
        <v>16.768333333333334</v>
      </c>
      <c r="AM60" s="2">
        <f t="shared" ref="AM60:BA60" si="38">AVERAGE(AM54:AM59)</f>
        <v>43.876666666666665</v>
      </c>
      <c r="AN60" s="2">
        <f t="shared" si="38"/>
        <v>10.664999999999999</v>
      </c>
      <c r="AO60" s="2">
        <f t="shared" si="38"/>
        <v>16.544999999999998</v>
      </c>
      <c r="AP60" s="2">
        <f t="shared" si="38"/>
        <v>36.134999999999998</v>
      </c>
      <c r="AQ60" s="2">
        <f t="shared" si="38"/>
        <v>13.856666666666667</v>
      </c>
      <c r="AR60" s="2">
        <f t="shared" si="38"/>
        <v>14.035000000000002</v>
      </c>
      <c r="AS60" s="2">
        <f t="shared" si="38"/>
        <v>47.811666666666667</v>
      </c>
      <c r="AT60" s="2">
        <f t="shared" si="38"/>
        <v>50.975000000000001</v>
      </c>
      <c r="AU60" s="2">
        <f t="shared" si="38"/>
        <v>52.986666666666672</v>
      </c>
      <c r="AV60" s="2">
        <f t="shared" si="38"/>
        <v>10.664999999999999</v>
      </c>
      <c r="AW60" s="2">
        <f t="shared" si="38"/>
        <v>91.289999999999978</v>
      </c>
      <c r="AX60" s="2">
        <f t="shared" si="38"/>
        <v>50.977499999999999</v>
      </c>
      <c r="AY60" s="2">
        <f t="shared" si="38"/>
        <v>80.623333333333335</v>
      </c>
      <c r="AZ60" s="2">
        <f t="shared" si="38"/>
        <v>50.975000000000001</v>
      </c>
      <c r="BA60" s="2">
        <f t="shared" si="38"/>
        <v>2.0500000000000003</v>
      </c>
      <c r="BP60" s="2"/>
      <c r="BQ60" s="2"/>
      <c r="BR60" s="2"/>
    </row>
    <row r="61" spans="1:70" x14ac:dyDescent="0.25">
      <c r="BP61" s="1"/>
      <c r="BQ61" s="1"/>
      <c r="BR61" s="1"/>
    </row>
    <row r="62" spans="1:70" x14ac:dyDescent="0.25">
      <c r="BP62" s="1"/>
      <c r="BQ62" s="1"/>
      <c r="BR62" s="1"/>
    </row>
    <row r="63" spans="1:70" x14ac:dyDescent="0.25">
      <c r="A63" s="1" t="s">
        <v>28</v>
      </c>
      <c r="B63">
        <v>13.7</v>
      </c>
      <c r="C63">
        <v>13</v>
      </c>
      <c r="D63">
        <v>54.24</v>
      </c>
      <c r="E63">
        <v>20.9</v>
      </c>
      <c r="F63">
        <v>14.1</v>
      </c>
      <c r="G63">
        <v>60.46</v>
      </c>
      <c r="H63">
        <v>22.86</v>
      </c>
      <c r="I63">
        <v>45.31</v>
      </c>
      <c r="J63">
        <v>56.26</v>
      </c>
      <c r="K63">
        <v>60.06</v>
      </c>
      <c r="L63">
        <v>54.24</v>
      </c>
      <c r="M63">
        <v>58.28</v>
      </c>
      <c r="N63">
        <f>(L63+M63)/2</f>
        <v>56.260000000000005</v>
      </c>
      <c r="O63">
        <v>4.04</v>
      </c>
      <c r="P63">
        <v>56.26</v>
      </c>
      <c r="Q63">
        <v>7.71</v>
      </c>
      <c r="S63" s="1" t="s">
        <v>41</v>
      </c>
      <c r="T63">
        <v>13.35</v>
      </c>
      <c r="U63">
        <v>13.82</v>
      </c>
      <c r="V63">
        <v>54.81</v>
      </c>
      <c r="W63">
        <v>21.64</v>
      </c>
      <c r="X63">
        <v>13.74</v>
      </c>
      <c r="Y63">
        <v>54.52</v>
      </c>
      <c r="Z63">
        <v>21.95</v>
      </c>
      <c r="AA63">
        <v>47.83</v>
      </c>
      <c r="AB63">
        <v>58.36</v>
      </c>
      <c r="AC63">
        <v>60.54</v>
      </c>
      <c r="AD63">
        <v>54.81</v>
      </c>
      <c r="AE63">
        <v>61.9</v>
      </c>
      <c r="AF63">
        <f>(AD63+AE63)/2</f>
        <v>58.355000000000004</v>
      </c>
      <c r="AG63">
        <v>7.09</v>
      </c>
      <c r="AH63">
        <v>58.36</v>
      </c>
      <c r="AI63">
        <v>10.06</v>
      </c>
      <c r="AK63" s="1" t="s">
        <v>54</v>
      </c>
      <c r="AL63">
        <v>13.34</v>
      </c>
      <c r="AM63">
        <v>13.35</v>
      </c>
      <c r="AN63">
        <v>53.79</v>
      </c>
      <c r="AO63">
        <v>20.97</v>
      </c>
      <c r="AP63">
        <v>13.56</v>
      </c>
      <c r="AQ63">
        <v>53.61</v>
      </c>
      <c r="AR63">
        <v>21.64</v>
      </c>
      <c r="AS63">
        <v>47.54</v>
      </c>
      <c r="AT63">
        <v>57.87</v>
      </c>
      <c r="AU63">
        <v>60.41</v>
      </c>
      <c r="AV63">
        <v>53.79</v>
      </c>
      <c r="AW63">
        <v>61.95</v>
      </c>
      <c r="AX63">
        <f>(AV63+AW63)/2</f>
        <v>57.870000000000005</v>
      </c>
      <c r="AY63">
        <v>8.16</v>
      </c>
      <c r="AZ63">
        <v>57.87</v>
      </c>
      <c r="BA63">
        <v>9.31</v>
      </c>
      <c r="BP63" s="1">
        <f>(O63+AG63+AY63)/3</f>
        <v>6.43</v>
      </c>
      <c r="BQ63" s="1">
        <f t="shared" ref="BQ63:BQ68" si="39">(P63+AH63+AZ63)/3</f>
        <v>57.49666666666667</v>
      </c>
      <c r="BR63" s="1">
        <f t="shared" ref="BR63:BR68" si="40">(Q63+AI63+BA63)/3</f>
        <v>9.0266666666666655</v>
      </c>
    </row>
    <row r="64" spans="1:70" x14ac:dyDescent="0.25">
      <c r="B64">
        <v>14.53</v>
      </c>
      <c r="C64">
        <v>15.88</v>
      </c>
      <c r="D64">
        <v>27.33</v>
      </c>
      <c r="E64">
        <v>19.43</v>
      </c>
      <c r="F64">
        <v>18.739999999999998</v>
      </c>
      <c r="G64">
        <v>30.44</v>
      </c>
      <c r="H64">
        <v>23.2</v>
      </c>
      <c r="I64">
        <v>53.76</v>
      </c>
      <c r="J64">
        <v>56.22</v>
      </c>
      <c r="K64">
        <v>61.13</v>
      </c>
      <c r="L64">
        <v>27.33</v>
      </c>
      <c r="M64">
        <v>85.11</v>
      </c>
      <c r="N64">
        <f t="shared" ref="N64:N68" si="41">(L64+M64)/2</f>
        <v>56.22</v>
      </c>
      <c r="O64">
        <v>57.78</v>
      </c>
      <c r="P64">
        <v>56.22</v>
      </c>
      <c r="Q64">
        <v>9.52</v>
      </c>
      <c r="T64">
        <v>13.63</v>
      </c>
      <c r="U64">
        <v>16.37</v>
      </c>
      <c r="V64">
        <v>27.39</v>
      </c>
      <c r="W64">
        <v>19.63</v>
      </c>
      <c r="X64">
        <v>17.739999999999998</v>
      </c>
      <c r="Y64">
        <v>29.08</v>
      </c>
      <c r="Z64">
        <v>22.03</v>
      </c>
      <c r="AA64">
        <v>53.78</v>
      </c>
      <c r="AB64">
        <v>56.15</v>
      </c>
      <c r="AC64">
        <v>60.94</v>
      </c>
      <c r="AD64">
        <v>27.39</v>
      </c>
      <c r="AE64">
        <v>84.92</v>
      </c>
      <c r="AF64">
        <f t="shared" ref="AF64:AF68" si="42">(AD64+AE64)/2</f>
        <v>56.155000000000001</v>
      </c>
      <c r="AG64">
        <v>57.53</v>
      </c>
      <c r="AH64">
        <v>56.15</v>
      </c>
      <c r="AI64">
        <v>9.67</v>
      </c>
      <c r="AL64">
        <v>14.2</v>
      </c>
      <c r="AM64">
        <v>17.2</v>
      </c>
      <c r="AN64">
        <v>23.86</v>
      </c>
      <c r="AO64">
        <v>18.010000000000002</v>
      </c>
      <c r="AP64">
        <v>18.899999999999999</v>
      </c>
      <c r="AQ64">
        <v>25.5</v>
      </c>
      <c r="AR64">
        <v>21.71</v>
      </c>
      <c r="AS64">
        <v>53.67</v>
      </c>
      <c r="AT64">
        <v>55.8</v>
      </c>
      <c r="AU64">
        <v>61.38</v>
      </c>
      <c r="AV64">
        <v>23.86</v>
      </c>
      <c r="AW64">
        <v>87.74</v>
      </c>
      <c r="AX64">
        <f t="shared" ref="AX64:AX68" si="43">(AV64+AW64)/2</f>
        <v>55.8</v>
      </c>
      <c r="AY64">
        <v>63.88</v>
      </c>
      <c r="AZ64">
        <v>55.8</v>
      </c>
      <c r="BA64">
        <v>9.58</v>
      </c>
      <c r="BP64" s="1">
        <f t="shared" ref="BP64:BP68" si="44">(O64+AG64+AY64)/3</f>
        <v>59.73</v>
      </c>
      <c r="BQ64" s="1">
        <f t="shared" si="39"/>
        <v>56.056666666666672</v>
      </c>
      <c r="BR64" s="1">
        <f t="shared" si="40"/>
        <v>9.5899999999999981</v>
      </c>
    </row>
    <row r="65" spans="1:70" x14ac:dyDescent="0.25">
      <c r="B65">
        <v>31.26</v>
      </c>
      <c r="C65">
        <v>30.52</v>
      </c>
      <c r="D65">
        <v>43.2</v>
      </c>
      <c r="E65">
        <v>34.74</v>
      </c>
      <c r="F65">
        <v>33.200000000000003</v>
      </c>
      <c r="G65">
        <v>47.14</v>
      </c>
      <c r="H65">
        <v>38.96</v>
      </c>
      <c r="I65">
        <v>55.1</v>
      </c>
      <c r="J65">
        <v>57.17</v>
      </c>
      <c r="K65">
        <v>61.48</v>
      </c>
      <c r="L65">
        <v>43.2</v>
      </c>
      <c r="M65">
        <v>71.14</v>
      </c>
      <c r="N65">
        <f t="shared" si="41"/>
        <v>57.17</v>
      </c>
      <c r="O65">
        <v>27.94</v>
      </c>
      <c r="P65">
        <v>57.17</v>
      </c>
      <c r="Q65">
        <v>13.03</v>
      </c>
      <c r="T65">
        <v>31.22</v>
      </c>
      <c r="U65">
        <v>31.7</v>
      </c>
      <c r="V65">
        <v>41.06</v>
      </c>
      <c r="W65">
        <v>35.19</v>
      </c>
      <c r="X65">
        <v>33.76</v>
      </c>
      <c r="Y65">
        <v>44.37</v>
      </c>
      <c r="Z65">
        <v>38.35</v>
      </c>
      <c r="AA65">
        <v>56.08</v>
      </c>
      <c r="AB65">
        <v>57.32</v>
      </c>
      <c r="AC65">
        <v>62.25</v>
      </c>
      <c r="AD65">
        <v>41.06</v>
      </c>
      <c r="AE65">
        <v>73.58</v>
      </c>
      <c r="AF65">
        <f t="shared" si="42"/>
        <v>57.32</v>
      </c>
      <c r="AG65">
        <v>32.520000000000003</v>
      </c>
      <c r="AH65">
        <v>57.32</v>
      </c>
      <c r="AI65">
        <v>13.68</v>
      </c>
      <c r="AL65">
        <v>31.63</v>
      </c>
      <c r="AM65">
        <v>31.78</v>
      </c>
      <c r="AN65">
        <v>42.99</v>
      </c>
      <c r="AO65">
        <v>34.729999999999997</v>
      </c>
      <c r="AP65">
        <v>33.81</v>
      </c>
      <c r="AQ65">
        <v>47.63</v>
      </c>
      <c r="AR65">
        <v>39.54</v>
      </c>
      <c r="AS65">
        <v>55.09</v>
      </c>
      <c r="AT65">
        <v>57.24</v>
      </c>
      <c r="AU65">
        <v>61.88</v>
      </c>
      <c r="AV65">
        <v>42.99</v>
      </c>
      <c r="AW65">
        <v>71.489999999999995</v>
      </c>
      <c r="AX65">
        <f t="shared" si="43"/>
        <v>57.239999999999995</v>
      </c>
      <c r="AY65">
        <v>28.5</v>
      </c>
      <c r="AZ65">
        <v>57.24</v>
      </c>
      <c r="BA65">
        <v>13.77</v>
      </c>
      <c r="BP65" s="1">
        <f t="shared" si="44"/>
        <v>29.653333333333336</v>
      </c>
      <c r="BQ65" s="1">
        <f t="shared" si="39"/>
        <v>57.243333333333339</v>
      </c>
      <c r="BR65" s="1">
        <f t="shared" si="40"/>
        <v>13.493333333333334</v>
      </c>
    </row>
    <row r="66" spans="1:70" x14ac:dyDescent="0.25">
      <c r="B66">
        <v>13.75</v>
      </c>
      <c r="C66">
        <v>40.090000000000003</v>
      </c>
      <c r="D66">
        <v>15.57</v>
      </c>
      <c r="E66">
        <v>14.84</v>
      </c>
      <c r="F66">
        <v>21.52</v>
      </c>
      <c r="G66">
        <v>18.68</v>
      </c>
      <c r="H66">
        <v>20</v>
      </c>
      <c r="I66">
        <v>53.17</v>
      </c>
      <c r="J66">
        <v>53.88</v>
      </c>
      <c r="K66">
        <v>58.92</v>
      </c>
      <c r="L66">
        <v>15.57</v>
      </c>
      <c r="M66">
        <v>92.2</v>
      </c>
      <c r="N66">
        <f t="shared" si="41"/>
        <v>53.885000000000005</v>
      </c>
      <c r="O66">
        <v>76.63</v>
      </c>
      <c r="P66">
        <v>53.88</v>
      </c>
      <c r="Q66">
        <v>7.4</v>
      </c>
      <c r="T66">
        <v>13.11</v>
      </c>
      <c r="U66">
        <v>39.36</v>
      </c>
      <c r="V66">
        <v>16.2</v>
      </c>
      <c r="W66">
        <v>14.75</v>
      </c>
      <c r="X66">
        <v>19.57</v>
      </c>
      <c r="Y66">
        <v>18.82</v>
      </c>
      <c r="Z66">
        <v>19.190000000000001</v>
      </c>
      <c r="AA66">
        <v>52.87</v>
      </c>
      <c r="AB66">
        <v>53.72</v>
      </c>
      <c r="AC66">
        <v>58.71</v>
      </c>
      <c r="AD66">
        <v>16.2</v>
      </c>
      <c r="AE66">
        <v>91.24</v>
      </c>
      <c r="AF66">
        <f t="shared" si="42"/>
        <v>53.72</v>
      </c>
      <c r="AG66">
        <v>75.040000000000006</v>
      </c>
      <c r="AH66">
        <v>53.72</v>
      </c>
      <c r="AI66">
        <v>6.87</v>
      </c>
      <c r="AL66">
        <v>13.82</v>
      </c>
      <c r="AM66">
        <v>39.96</v>
      </c>
      <c r="AN66">
        <v>15.64</v>
      </c>
      <c r="AO66">
        <v>14.59</v>
      </c>
      <c r="AP66">
        <v>20.010000000000002</v>
      </c>
      <c r="AQ66">
        <v>17.63</v>
      </c>
      <c r="AR66">
        <v>18.739999999999998</v>
      </c>
      <c r="AS66">
        <v>52.99</v>
      </c>
      <c r="AT66">
        <v>53.84</v>
      </c>
      <c r="AU66">
        <v>59.81</v>
      </c>
      <c r="AV66">
        <v>15.64</v>
      </c>
      <c r="AW66">
        <v>92.05</v>
      </c>
      <c r="AX66">
        <f t="shared" si="43"/>
        <v>53.844999999999999</v>
      </c>
      <c r="AY66">
        <v>76.41</v>
      </c>
      <c r="AZ66">
        <v>53.84</v>
      </c>
      <c r="BA66">
        <v>7.25</v>
      </c>
      <c r="BP66" s="1">
        <f t="shared" si="44"/>
        <v>76.026666666666671</v>
      </c>
      <c r="BQ66" s="1">
        <f t="shared" si="39"/>
        <v>53.813333333333333</v>
      </c>
      <c r="BR66" s="1">
        <f t="shared" si="40"/>
        <v>7.1733333333333329</v>
      </c>
    </row>
    <row r="67" spans="1:70" x14ac:dyDescent="0.25">
      <c r="B67">
        <v>28.7</v>
      </c>
      <c r="C67">
        <v>39.979999999999997</v>
      </c>
      <c r="D67">
        <v>15.39</v>
      </c>
      <c r="E67">
        <v>30.89</v>
      </c>
      <c r="F67">
        <v>37.24</v>
      </c>
      <c r="G67">
        <v>15.83</v>
      </c>
      <c r="H67">
        <v>22.22</v>
      </c>
      <c r="I67">
        <v>51.52</v>
      </c>
      <c r="J67">
        <v>53.69</v>
      </c>
      <c r="K67">
        <v>58.97</v>
      </c>
      <c r="L67">
        <v>15.39</v>
      </c>
      <c r="M67">
        <v>91.99</v>
      </c>
      <c r="N67">
        <f t="shared" si="41"/>
        <v>53.69</v>
      </c>
      <c r="O67">
        <v>76.599999999999994</v>
      </c>
      <c r="P67">
        <v>53.69</v>
      </c>
      <c r="Q67">
        <v>8.36</v>
      </c>
      <c r="T67">
        <v>29.65</v>
      </c>
      <c r="U67">
        <v>43.53</v>
      </c>
      <c r="V67">
        <v>14.42</v>
      </c>
      <c r="W67">
        <v>17.21</v>
      </c>
      <c r="X67">
        <v>37.72</v>
      </c>
      <c r="Y67">
        <v>14.27</v>
      </c>
      <c r="Z67">
        <v>20.71</v>
      </c>
      <c r="AA67">
        <v>51.11</v>
      </c>
      <c r="AB67">
        <v>53.72</v>
      </c>
      <c r="AC67">
        <v>59.67</v>
      </c>
      <c r="AD67">
        <v>14.42</v>
      </c>
      <c r="AE67">
        <v>93.02</v>
      </c>
      <c r="AF67">
        <f t="shared" si="42"/>
        <v>53.72</v>
      </c>
      <c r="AG67">
        <v>78.599999999999994</v>
      </c>
      <c r="AH67">
        <v>53.72</v>
      </c>
      <c r="AI67">
        <v>8.83</v>
      </c>
      <c r="AL67">
        <v>29.49</v>
      </c>
      <c r="AM67">
        <v>42.03</v>
      </c>
      <c r="AN67">
        <v>13.92</v>
      </c>
      <c r="AO67">
        <v>17.37</v>
      </c>
      <c r="AP67">
        <v>38.090000000000003</v>
      </c>
      <c r="AQ67">
        <v>14.27</v>
      </c>
      <c r="AR67">
        <v>20.76</v>
      </c>
      <c r="AS67">
        <v>51.2</v>
      </c>
      <c r="AT67">
        <v>53.49</v>
      </c>
      <c r="AU67">
        <v>59.98</v>
      </c>
      <c r="AV67">
        <v>13.92</v>
      </c>
      <c r="AW67">
        <v>93.07</v>
      </c>
      <c r="AX67">
        <f t="shared" si="43"/>
        <v>53.494999999999997</v>
      </c>
      <c r="AY67">
        <v>79.14</v>
      </c>
      <c r="AZ67">
        <v>53.49</v>
      </c>
      <c r="BA67">
        <v>8.43</v>
      </c>
      <c r="BP67" s="1">
        <f t="shared" si="44"/>
        <v>78.11333333333333</v>
      </c>
      <c r="BQ67" s="1">
        <f t="shared" si="39"/>
        <v>53.633333333333333</v>
      </c>
      <c r="BR67" s="1">
        <f t="shared" si="40"/>
        <v>8.5399999999999991</v>
      </c>
    </row>
    <row r="68" spans="1:70" x14ac:dyDescent="0.25">
      <c r="B68">
        <v>20.99</v>
      </c>
      <c r="C68">
        <v>31.99</v>
      </c>
      <c r="D68">
        <v>26.09</v>
      </c>
      <c r="E68">
        <v>21.87</v>
      </c>
      <c r="F68">
        <v>28.71</v>
      </c>
      <c r="G68">
        <v>36.270000000000003</v>
      </c>
      <c r="H68">
        <v>32.049999999999997</v>
      </c>
      <c r="I68">
        <v>52.2</v>
      </c>
      <c r="J68">
        <v>53.48</v>
      </c>
      <c r="K68">
        <v>58.15</v>
      </c>
      <c r="L68">
        <v>26.09</v>
      </c>
      <c r="M68">
        <v>80.87</v>
      </c>
      <c r="N68">
        <f t="shared" si="41"/>
        <v>53.480000000000004</v>
      </c>
      <c r="O68">
        <v>54.79</v>
      </c>
      <c r="P68">
        <v>53.48</v>
      </c>
      <c r="Q68">
        <v>7.33</v>
      </c>
      <c r="T68">
        <v>21.84</v>
      </c>
      <c r="U68">
        <v>31.69</v>
      </c>
      <c r="V68">
        <v>26.41</v>
      </c>
      <c r="W68">
        <v>30.97</v>
      </c>
      <c r="X68">
        <v>30.31</v>
      </c>
      <c r="Y68">
        <v>36.65</v>
      </c>
      <c r="Z68">
        <v>33.18</v>
      </c>
      <c r="AA68">
        <v>52.97</v>
      </c>
      <c r="AB68">
        <v>54.21</v>
      </c>
      <c r="AC68">
        <v>59.2</v>
      </c>
      <c r="AD68">
        <v>26.41</v>
      </c>
      <c r="AE68">
        <v>82.01</v>
      </c>
      <c r="AF68">
        <f t="shared" si="42"/>
        <v>54.21</v>
      </c>
      <c r="AG68">
        <v>55.6</v>
      </c>
      <c r="AH68">
        <v>54.21</v>
      </c>
      <c r="AI68">
        <v>8.73</v>
      </c>
      <c r="AL68">
        <v>22.3</v>
      </c>
      <c r="AM68">
        <v>31.09</v>
      </c>
      <c r="AN68">
        <v>27.2</v>
      </c>
      <c r="AO68">
        <v>31.35</v>
      </c>
      <c r="AP68">
        <v>30.31</v>
      </c>
      <c r="AQ68">
        <v>37.119999999999997</v>
      </c>
      <c r="AR68">
        <v>33.369999999999997</v>
      </c>
      <c r="AS68">
        <v>53.11</v>
      </c>
      <c r="AT68">
        <v>54.53</v>
      </c>
      <c r="AU68">
        <v>59.6</v>
      </c>
      <c r="AV68">
        <v>27.2</v>
      </c>
      <c r="AW68">
        <v>81.849999999999994</v>
      </c>
      <c r="AX68">
        <f t="shared" si="43"/>
        <v>54.524999999999999</v>
      </c>
      <c r="AY68">
        <v>54.65</v>
      </c>
      <c r="AZ68">
        <v>54.53</v>
      </c>
      <c r="BA68">
        <v>8.9499999999999993</v>
      </c>
      <c r="BP68" s="1">
        <f t="shared" si="44"/>
        <v>55.013333333333328</v>
      </c>
      <c r="BQ68" s="1">
        <f t="shared" si="39"/>
        <v>54.073333333333331</v>
      </c>
      <c r="BR68" s="1">
        <f t="shared" si="40"/>
        <v>8.3366666666666678</v>
      </c>
    </row>
    <row r="69" spans="1:70" x14ac:dyDescent="0.25">
      <c r="B69" s="2">
        <f>AVERAGE(B63:B68)</f>
        <v>20.488333333333333</v>
      </c>
      <c r="C69" s="2">
        <f t="shared" ref="C69:Q69" si="45">AVERAGE(C63:C68)</f>
        <v>28.576666666666668</v>
      </c>
      <c r="D69" s="2">
        <f t="shared" si="45"/>
        <v>30.303333333333338</v>
      </c>
      <c r="E69" s="2">
        <f t="shared" si="45"/>
        <v>23.778333333333332</v>
      </c>
      <c r="F69" s="2">
        <f t="shared" si="45"/>
        <v>25.584999999999997</v>
      </c>
      <c r="G69" s="2">
        <f t="shared" si="45"/>
        <v>34.803333333333342</v>
      </c>
      <c r="H69" s="2">
        <f t="shared" si="45"/>
        <v>26.548333333333336</v>
      </c>
      <c r="I69" s="2">
        <f t="shared" si="45"/>
        <v>51.843333333333327</v>
      </c>
      <c r="J69" s="2">
        <f t="shared" si="45"/>
        <v>55.116666666666667</v>
      </c>
      <c r="K69" s="2">
        <f t="shared" si="45"/>
        <v>59.784999999999989</v>
      </c>
      <c r="L69" s="2">
        <f t="shared" si="45"/>
        <v>30.303333333333338</v>
      </c>
      <c r="M69" s="2">
        <f t="shared" si="45"/>
        <v>79.931666666666658</v>
      </c>
      <c r="N69" s="2">
        <f t="shared" si="45"/>
        <v>55.117500000000007</v>
      </c>
      <c r="O69" s="2">
        <f t="shared" si="45"/>
        <v>49.629999999999995</v>
      </c>
      <c r="P69" s="2">
        <f t="shared" si="45"/>
        <v>55.116666666666667</v>
      </c>
      <c r="Q69" s="2">
        <f t="shared" si="45"/>
        <v>8.8916666666666657</v>
      </c>
      <c r="T69" s="2">
        <f>AVERAGE(T63:T68)</f>
        <v>20.466666666666669</v>
      </c>
      <c r="U69" s="2">
        <f t="shared" ref="U69:AI69" si="46">AVERAGE(U63:U68)</f>
        <v>29.411666666666665</v>
      </c>
      <c r="V69" s="2">
        <f t="shared" si="46"/>
        <v>30.048333333333332</v>
      </c>
      <c r="W69" s="2">
        <f t="shared" si="46"/>
        <v>23.231666666666666</v>
      </c>
      <c r="X69" s="2">
        <f t="shared" si="46"/>
        <v>25.473333333333333</v>
      </c>
      <c r="Y69" s="2">
        <f t="shared" si="46"/>
        <v>32.951666666666668</v>
      </c>
      <c r="Z69" s="2">
        <f t="shared" si="46"/>
        <v>25.901666666666671</v>
      </c>
      <c r="AA69" s="2">
        <f t="shared" si="46"/>
        <v>52.44</v>
      </c>
      <c r="AB69" s="2">
        <f t="shared" si="46"/>
        <v>55.579999999999991</v>
      </c>
      <c r="AC69" s="2">
        <f t="shared" si="46"/>
        <v>60.218333333333334</v>
      </c>
      <c r="AD69" s="2">
        <f t="shared" si="46"/>
        <v>30.048333333333332</v>
      </c>
      <c r="AE69" s="2">
        <f t="shared" si="46"/>
        <v>81.111666666666665</v>
      </c>
      <c r="AF69" s="2">
        <f t="shared" si="46"/>
        <v>55.579999999999991</v>
      </c>
      <c r="AG69" s="2">
        <f t="shared" si="46"/>
        <v>51.063333333333333</v>
      </c>
      <c r="AH69" s="2">
        <f t="shared" si="46"/>
        <v>55.579999999999991</v>
      </c>
      <c r="AI69" s="2">
        <f t="shared" si="46"/>
        <v>9.6399999999999988</v>
      </c>
      <c r="AL69" s="2">
        <f>AVERAGE(AL63:AL68)</f>
        <v>20.796666666666667</v>
      </c>
      <c r="AM69" s="2">
        <f t="shared" ref="AM69:BA69" si="47">AVERAGE(AM63:AM68)</f>
        <v>29.234999999999999</v>
      </c>
      <c r="AN69" s="2">
        <f t="shared" si="47"/>
        <v>29.566666666666666</v>
      </c>
      <c r="AO69" s="2">
        <f t="shared" si="47"/>
        <v>22.83666666666667</v>
      </c>
      <c r="AP69" s="2">
        <f t="shared" si="47"/>
        <v>25.78</v>
      </c>
      <c r="AQ69" s="2">
        <f t="shared" si="47"/>
        <v>32.626666666666672</v>
      </c>
      <c r="AR69" s="2">
        <f t="shared" si="47"/>
        <v>25.959999999999997</v>
      </c>
      <c r="AS69" s="2">
        <f t="shared" si="47"/>
        <v>52.266666666666673</v>
      </c>
      <c r="AT69" s="2">
        <f t="shared" si="47"/>
        <v>55.461666666666666</v>
      </c>
      <c r="AU69" s="2">
        <f t="shared" si="47"/>
        <v>60.51</v>
      </c>
      <c r="AV69" s="2">
        <f t="shared" si="47"/>
        <v>29.566666666666666</v>
      </c>
      <c r="AW69" s="2">
        <f t="shared" si="47"/>
        <v>81.358333333333334</v>
      </c>
      <c r="AX69" s="2">
        <f t="shared" si="47"/>
        <v>55.462499999999999</v>
      </c>
      <c r="AY69" s="2">
        <f t="shared" si="47"/>
        <v>51.789999999999992</v>
      </c>
      <c r="AZ69" s="2">
        <f t="shared" si="47"/>
        <v>55.461666666666666</v>
      </c>
      <c r="BA69" s="2">
        <f t="shared" si="47"/>
        <v>9.548333333333332</v>
      </c>
      <c r="BP69" s="2">
        <f>AVERAGE(BP63:BP68)</f>
        <v>50.827777777777776</v>
      </c>
      <c r="BQ69" s="2">
        <f t="shared" ref="BQ69:BR69" si="48">AVERAGE(BQ63:BQ68)</f>
        <v>55.386111111111113</v>
      </c>
      <c r="BR69" s="2">
        <f t="shared" si="48"/>
        <v>9.36</v>
      </c>
    </row>
    <row r="72" spans="1:70" x14ac:dyDescent="0.25">
      <c r="A72" s="1" t="s">
        <v>29</v>
      </c>
      <c r="B72">
        <v>14.19</v>
      </c>
      <c r="C72">
        <v>14.1</v>
      </c>
      <c r="D72">
        <v>50.79</v>
      </c>
      <c r="E72">
        <v>21.42</v>
      </c>
      <c r="F72">
        <v>14.13</v>
      </c>
      <c r="G72">
        <v>50.33</v>
      </c>
      <c r="H72">
        <v>22.07</v>
      </c>
      <c r="I72">
        <v>49.14</v>
      </c>
      <c r="J72">
        <v>58.43</v>
      </c>
      <c r="K72">
        <v>61.25</v>
      </c>
      <c r="L72">
        <v>50.79</v>
      </c>
      <c r="M72">
        <v>66.08</v>
      </c>
      <c r="N72">
        <f>(L72+M72)/2</f>
        <v>58.435000000000002</v>
      </c>
      <c r="O72">
        <v>15.29</v>
      </c>
      <c r="P72">
        <v>58.43</v>
      </c>
      <c r="Q72">
        <v>10.42</v>
      </c>
      <c r="S72" s="1" t="s">
        <v>42</v>
      </c>
      <c r="T72">
        <v>13.32</v>
      </c>
      <c r="U72">
        <v>13.68</v>
      </c>
      <c r="V72">
        <v>50.38</v>
      </c>
      <c r="W72">
        <v>21.01</v>
      </c>
      <c r="X72">
        <v>13.1</v>
      </c>
      <c r="Y72">
        <v>49.52</v>
      </c>
      <c r="Z72">
        <v>20.72</v>
      </c>
      <c r="AA72">
        <v>47.92</v>
      </c>
      <c r="AB72">
        <v>56.94</v>
      </c>
      <c r="AC72">
        <v>59.89</v>
      </c>
      <c r="AD72">
        <v>50.38</v>
      </c>
      <c r="AE72">
        <v>63.5</v>
      </c>
      <c r="AF72">
        <f>(AD72+AE72)/2</f>
        <v>56.94</v>
      </c>
      <c r="AG72">
        <v>13.12</v>
      </c>
      <c r="AH72">
        <v>56.94</v>
      </c>
      <c r="AI72">
        <v>8.6300000000000008</v>
      </c>
      <c r="AK72" s="1" t="s">
        <v>49</v>
      </c>
      <c r="AL72">
        <v>14.55</v>
      </c>
      <c r="AM72">
        <v>13.93</v>
      </c>
      <c r="AN72">
        <v>50.97</v>
      </c>
      <c r="AO72">
        <v>20.94</v>
      </c>
      <c r="AP72">
        <v>12.92</v>
      </c>
      <c r="AQ72">
        <v>48.98</v>
      </c>
      <c r="AR72">
        <v>20.45</v>
      </c>
      <c r="AS72">
        <v>47.82</v>
      </c>
      <c r="AT72">
        <v>57.3</v>
      </c>
      <c r="AU72">
        <v>60.35</v>
      </c>
      <c r="AV72">
        <v>50.97</v>
      </c>
      <c r="AW72">
        <v>63.63</v>
      </c>
      <c r="AX72">
        <f>(AV72+AW72)/2</f>
        <v>57.3</v>
      </c>
      <c r="AY72">
        <v>12.67</v>
      </c>
      <c r="AZ72">
        <v>57.3</v>
      </c>
      <c r="BA72">
        <v>9.33</v>
      </c>
      <c r="BP72" s="1">
        <f>(O72+AG72+AY72)/3</f>
        <v>13.693333333333333</v>
      </c>
      <c r="BQ72" s="1">
        <f t="shared" ref="BQ72:BQ77" si="49">(P72+AH72+AZ72)/3</f>
        <v>57.556666666666672</v>
      </c>
      <c r="BR72" s="1">
        <f t="shared" ref="BR72:BR77" si="50">(Q72+AI72+BA72)/3</f>
        <v>9.4600000000000009</v>
      </c>
    </row>
    <row r="73" spans="1:70" x14ac:dyDescent="0.25">
      <c r="B73">
        <v>16.13</v>
      </c>
      <c r="C73">
        <v>17.75</v>
      </c>
      <c r="D73">
        <v>31.93</v>
      </c>
      <c r="E73">
        <v>22.07</v>
      </c>
      <c r="F73">
        <v>19.16</v>
      </c>
      <c r="G73">
        <v>33.25</v>
      </c>
      <c r="H73">
        <v>24.31</v>
      </c>
      <c r="I73">
        <v>54.96</v>
      </c>
      <c r="J73">
        <v>58.14</v>
      </c>
      <c r="K73">
        <v>63.01</v>
      </c>
      <c r="L73">
        <v>31.93</v>
      </c>
      <c r="M73">
        <v>84.35</v>
      </c>
      <c r="N73">
        <f t="shared" ref="N73:N77" si="51">(L73+M73)/2</f>
        <v>58.14</v>
      </c>
      <c r="O73">
        <v>52.41</v>
      </c>
      <c r="P73">
        <v>58.14</v>
      </c>
      <c r="Q73">
        <v>12.39</v>
      </c>
      <c r="T73">
        <v>16.34</v>
      </c>
      <c r="U73">
        <v>18.23</v>
      </c>
      <c r="V73">
        <v>30.25</v>
      </c>
      <c r="W73">
        <v>21.76</v>
      </c>
      <c r="X73">
        <v>18.48</v>
      </c>
      <c r="Y73">
        <v>30.59</v>
      </c>
      <c r="Z73">
        <v>23.04</v>
      </c>
      <c r="AA73">
        <v>54.98</v>
      </c>
      <c r="AB73">
        <v>57.66</v>
      </c>
      <c r="AC73">
        <v>62.5</v>
      </c>
      <c r="AD73">
        <v>30.25</v>
      </c>
      <c r="AE73">
        <v>85.07</v>
      </c>
      <c r="AF73">
        <f t="shared" ref="AF73:AF77" si="52">(AD73+AE73)/2</f>
        <v>57.66</v>
      </c>
      <c r="AG73">
        <v>54.82</v>
      </c>
      <c r="AH73">
        <v>57.66</v>
      </c>
      <c r="AI73">
        <v>12.2</v>
      </c>
      <c r="AL73">
        <v>15.84</v>
      </c>
      <c r="AM73">
        <v>16.739999999999998</v>
      </c>
      <c r="AN73">
        <v>39.69</v>
      </c>
      <c r="AO73">
        <v>22.66</v>
      </c>
      <c r="AP73">
        <v>16.46</v>
      </c>
      <c r="AQ73">
        <v>39.36</v>
      </c>
      <c r="AR73">
        <v>23.22</v>
      </c>
      <c r="AS73">
        <v>53.49</v>
      </c>
      <c r="AT73">
        <v>58.8</v>
      </c>
      <c r="AU73">
        <v>61.88</v>
      </c>
      <c r="AV73">
        <v>39.69</v>
      </c>
      <c r="AW73">
        <v>77.91</v>
      </c>
      <c r="AX73">
        <f t="shared" ref="AX73:AX77" si="53">(AV73+AW73)/2</f>
        <v>58.8</v>
      </c>
      <c r="AY73">
        <v>38.22</v>
      </c>
      <c r="AZ73">
        <v>58.8</v>
      </c>
      <c r="BA73">
        <v>12.37</v>
      </c>
      <c r="BP73" s="1">
        <f t="shared" ref="BP73:BP77" si="54">(O73+AG73+AY73)/3</f>
        <v>48.483333333333327</v>
      </c>
      <c r="BQ73" s="1">
        <f t="shared" si="49"/>
        <v>58.199999999999996</v>
      </c>
      <c r="BR73" s="1">
        <f t="shared" si="50"/>
        <v>12.32</v>
      </c>
    </row>
    <row r="74" spans="1:70" x14ac:dyDescent="0.25">
      <c r="B74">
        <v>30.94</v>
      </c>
      <c r="C74">
        <v>30.76</v>
      </c>
      <c r="D74">
        <v>45.79</v>
      </c>
      <c r="E74">
        <v>36.08</v>
      </c>
      <c r="F74">
        <v>32.46</v>
      </c>
      <c r="G74">
        <v>49.57</v>
      </c>
      <c r="H74">
        <v>39.24</v>
      </c>
      <c r="I74">
        <v>55</v>
      </c>
      <c r="J74">
        <v>57.21</v>
      </c>
      <c r="K74">
        <v>61.56</v>
      </c>
      <c r="L74">
        <v>45.79</v>
      </c>
      <c r="M74">
        <v>68.63</v>
      </c>
      <c r="N74">
        <f t="shared" si="51"/>
        <v>57.209999999999994</v>
      </c>
      <c r="O74">
        <v>22.84</v>
      </c>
      <c r="P74">
        <v>57.21</v>
      </c>
      <c r="Q74">
        <v>13.17</v>
      </c>
      <c r="T74">
        <v>32.58</v>
      </c>
      <c r="U74">
        <v>33.07</v>
      </c>
      <c r="V74">
        <v>44.78</v>
      </c>
      <c r="W74">
        <v>37.369999999999997</v>
      </c>
      <c r="X74">
        <v>33.96</v>
      </c>
      <c r="Y74">
        <v>47.21</v>
      </c>
      <c r="Z74">
        <v>39.5</v>
      </c>
      <c r="AA74">
        <v>56.88</v>
      </c>
      <c r="AB74">
        <v>58.56</v>
      </c>
      <c r="AC74">
        <v>62.69</v>
      </c>
      <c r="AD74">
        <v>44.78</v>
      </c>
      <c r="AE74">
        <v>72.34</v>
      </c>
      <c r="AF74">
        <f t="shared" si="52"/>
        <v>58.56</v>
      </c>
      <c r="AG74">
        <v>27.57</v>
      </c>
      <c r="AH74">
        <v>58.56</v>
      </c>
      <c r="AI74">
        <v>15.92</v>
      </c>
      <c r="AL74">
        <v>32.11</v>
      </c>
      <c r="AM74">
        <v>31.15</v>
      </c>
      <c r="AN74">
        <v>52.15</v>
      </c>
      <c r="AO74">
        <v>38.83</v>
      </c>
      <c r="AP74">
        <v>32.590000000000003</v>
      </c>
      <c r="AQ74">
        <v>55.08</v>
      </c>
      <c r="AR74">
        <v>40.950000000000003</v>
      </c>
      <c r="AS74">
        <v>55.8</v>
      </c>
      <c r="AT74">
        <v>58.85</v>
      </c>
      <c r="AU74">
        <v>62.63</v>
      </c>
      <c r="AV74">
        <v>52.15</v>
      </c>
      <c r="AW74">
        <v>65.56</v>
      </c>
      <c r="AX74">
        <f t="shared" si="53"/>
        <v>58.855000000000004</v>
      </c>
      <c r="AY74">
        <v>13.42</v>
      </c>
      <c r="AZ74">
        <v>58.85</v>
      </c>
      <c r="BA74">
        <v>15.48</v>
      </c>
      <c r="BP74" s="1">
        <f t="shared" si="54"/>
        <v>21.276666666666667</v>
      </c>
      <c r="BQ74" s="1">
        <f t="shared" si="49"/>
        <v>58.206666666666671</v>
      </c>
      <c r="BR74" s="1">
        <f t="shared" si="50"/>
        <v>14.856666666666667</v>
      </c>
    </row>
    <row r="75" spans="1:70" x14ac:dyDescent="0.25">
      <c r="B75">
        <v>15.24</v>
      </c>
      <c r="C75">
        <v>16.23</v>
      </c>
      <c r="D75">
        <v>32.92</v>
      </c>
      <c r="E75">
        <v>21.58</v>
      </c>
      <c r="F75">
        <v>17.739999999999998</v>
      </c>
      <c r="G75">
        <v>34.92</v>
      </c>
      <c r="H75">
        <v>23.53</v>
      </c>
      <c r="I75">
        <v>54.03</v>
      </c>
      <c r="J75">
        <v>57.38</v>
      </c>
      <c r="K75">
        <v>62.14</v>
      </c>
      <c r="L75">
        <v>32.92</v>
      </c>
      <c r="M75">
        <v>81.84</v>
      </c>
      <c r="N75">
        <f t="shared" si="51"/>
        <v>57.38</v>
      </c>
      <c r="O75">
        <v>48.92</v>
      </c>
      <c r="P75">
        <v>57.38</v>
      </c>
      <c r="Q75">
        <v>10.81</v>
      </c>
      <c r="T75">
        <v>16.190000000000001</v>
      </c>
      <c r="U75">
        <v>15.66</v>
      </c>
      <c r="V75">
        <v>41.8</v>
      </c>
      <c r="W75">
        <v>22.56</v>
      </c>
      <c r="X75">
        <v>16.78</v>
      </c>
      <c r="Y75">
        <v>44.18</v>
      </c>
      <c r="Z75">
        <v>24.32</v>
      </c>
      <c r="AA75">
        <v>52.75</v>
      </c>
      <c r="AB75">
        <v>58.62</v>
      </c>
      <c r="AC75">
        <v>62.38</v>
      </c>
      <c r="AD75">
        <v>41.8</v>
      </c>
      <c r="AE75">
        <v>75.45</v>
      </c>
      <c r="AF75">
        <f t="shared" si="52"/>
        <v>58.625</v>
      </c>
      <c r="AG75">
        <v>33.65</v>
      </c>
      <c r="AH75">
        <v>58.62</v>
      </c>
      <c r="AI75">
        <v>11.61</v>
      </c>
      <c r="AL75">
        <v>15.43</v>
      </c>
      <c r="AM75">
        <v>16.28</v>
      </c>
      <c r="AN75">
        <v>37.75</v>
      </c>
      <c r="AO75">
        <v>22.33</v>
      </c>
      <c r="AP75">
        <v>16.739999999999998</v>
      </c>
      <c r="AQ75">
        <v>38.75</v>
      </c>
      <c r="AR75">
        <v>23.38</v>
      </c>
      <c r="AS75">
        <v>53.52</v>
      </c>
      <c r="AT75">
        <v>58.14</v>
      </c>
      <c r="AU75">
        <v>62.03</v>
      </c>
      <c r="AV75">
        <v>37.75</v>
      </c>
      <c r="AW75">
        <v>78.53</v>
      </c>
      <c r="AX75">
        <f t="shared" si="53"/>
        <v>58.14</v>
      </c>
      <c r="AY75">
        <v>40.78</v>
      </c>
      <c r="AZ75">
        <v>58.14</v>
      </c>
      <c r="BA75">
        <v>11.52</v>
      </c>
      <c r="BP75" s="1">
        <f t="shared" si="54"/>
        <v>41.116666666666667</v>
      </c>
      <c r="BQ75" s="1">
        <f t="shared" si="49"/>
        <v>58.04666666666666</v>
      </c>
      <c r="BR75" s="1">
        <f t="shared" si="50"/>
        <v>11.313333333333333</v>
      </c>
    </row>
    <row r="76" spans="1:70" x14ac:dyDescent="0.25">
      <c r="B76">
        <v>29.75</v>
      </c>
      <c r="C76">
        <v>30.37</v>
      </c>
      <c r="D76">
        <v>35.22</v>
      </c>
      <c r="E76">
        <v>31.92</v>
      </c>
      <c r="F76">
        <v>32.19</v>
      </c>
      <c r="G76">
        <v>36.35</v>
      </c>
      <c r="H76">
        <v>34.14</v>
      </c>
      <c r="I76">
        <v>55.22</v>
      </c>
      <c r="J76">
        <v>56.19</v>
      </c>
      <c r="K76">
        <v>59.9</v>
      </c>
      <c r="L76">
        <v>35.22</v>
      </c>
      <c r="M76">
        <v>77.150000000000006</v>
      </c>
      <c r="N76">
        <f t="shared" si="51"/>
        <v>56.185000000000002</v>
      </c>
      <c r="O76">
        <v>41.94</v>
      </c>
      <c r="P76">
        <v>56.19</v>
      </c>
      <c r="Q76">
        <v>11.46</v>
      </c>
      <c r="T76">
        <v>30.85</v>
      </c>
      <c r="U76">
        <v>31.33</v>
      </c>
      <c r="V76">
        <v>40.21</v>
      </c>
      <c r="W76">
        <v>33.770000000000003</v>
      </c>
      <c r="X76">
        <v>32.229999999999997</v>
      </c>
      <c r="Y76">
        <v>40.4</v>
      </c>
      <c r="Z76">
        <v>35.85</v>
      </c>
      <c r="AA76">
        <v>55.64</v>
      </c>
      <c r="AB76">
        <v>57.59</v>
      </c>
      <c r="AC76">
        <v>60.76</v>
      </c>
      <c r="AD76">
        <v>40.21</v>
      </c>
      <c r="AE76">
        <v>74.98</v>
      </c>
      <c r="AF76">
        <f t="shared" si="52"/>
        <v>57.594999999999999</v>
      </c>
      <c r="AG76">
        <v>34.770000000000003</v>
      </c>
      <c r="AH76">
        <v>57.59</v>
      </c>
      <c r="AI76">
        <v>13.71</v>
      </c>
      <c r="AL76">
        <v>31.33</v>
      </c>
      <c r="AM76">
        <v>32.159999999999997</v>
      </c>
      <c r="AN76">
        <v>38.659999999999997</v>
      </c>
      <c r="AO76">
        <v>34.39</v>
      </c>
      <c r="AP76">
        <v>33.26</v>
      </c>
      <c r="AQ76">
        <v>38.86</v>
      </c>
      <c r="AR76">
        <v>35.840000000000003</v>
      </c>
      <c r="AS76">
        <v>56.57</v>
      </c>
      <c r="AT76">
        <v>57.8</v>
      </c>
      <c r="AU76">
        <v>61.76</v>
      </c>
      <c r="AV76">
        <v>38.659999999999997</v>
      </c>
      <c r="AW76">
        <v>76.95</v>
      </c>
      <c r="AX76">
        <f t="shared" si="53"/>
        <v>57.805</v>
      </c>
      <c r="AY76">
        <v>38.29</v>
      </c>
      <c r="AZ76">
        <v>57.8</v>
      </c>
      <c r="BA76">
        <v>14.3</v>
      </c>
      <c r="BP76" s="1">
        <f t="shared" si="54"/>
        <v>38.333333333333336</v>
      </c>
      <c r="BQ76" s="1">
        <f t="shared" si="49"/>
        <v>57.193333333333328</v>
      </c>
      <c r="BR76" s="1">
        <f t="shared" si="50"/>
        <v>13.156666666666666</v>
      </c>
    </row>
    <row r="77" spans="1:70" x14ac:dyDescent="0.25">
      <c r="B77">
        <v>25.59</v>
      </c>
      <c r="C77">
        <v>25.53</v>
      </c>
      <c r="D77">
        <v>43.91</v>
      </c>
      <c r="E77">
        <v>31.18</v>
      </c>
      <c r="F77">
        <v>29</v>
      </c>
      <c r="G77">
        <v>49.61</v>
      </c>
      <c r="H77">
        <v>36.6</v>
      </c>
      <c r="I77">
        <v>56.19</v>
      </c>
      <c r="J77">
        <v>59.82</v>
      </c>
      <c r="K77">
        <v>64.75</v>
      </c>
      <c r="L77">
        <v>43.91</v>
      </c>
      <c r="M77">
        <v>75.73</v>
      </c>
      <c r="N77">
        <f t="shared" si="51"/>
        <v>59.82</v>
      </c>
      <c r="O77">
        <v>31.82</v>
      </c>
      <c r="P77">
        <v>59.82</v>
      </c>
      <c r="Q77">
        <v>15.99</v>
      </c>
      <c r="T77">
        <v>26.86</v>
      </c>
      <c r="U77">
        <v>25.29</v>
      </c>
      <c r="V77">
        <v>45.03</v>
      </c>
      <c r="W77">
        <v>31.52</v>
      </c>
      <c r="X77">
        <v>29.1</v>
      </c>
      <c r="Y77">
        <v>52.13</v>
      </c>
      <c r="Z77">
        <v>37.35</v>
      </c>
      <c r="AA77">
        <v>56.15</v>
      </c>
      <c r="AB77">
        <v>59.84</v>
      </c>
      <c r="AC77">
        <v>65.38</v>
      </c>
      <c r="AD77">
        <v>45.03</v>
      </c>
      <c r="AE77">
        <v>74.64</v>
      </c>
      <c r="AF77">
        <f t="shared" si="52"/>
        <v>59.835000000000001</v>
      </c>
      <c r="AG77">
        <v>29.61</v>
      </c>
      <c r="AH77">
        <v>59.84</v>
      </c>
      <c r="AI77">
        <v>16.149999999999999</v>
      </c>
      <c r="AL77">
        <v>26.5</v>
      </c>
      <c r="AM77">
        <v>25.19</v>
      </c>
      <c r="AN77">
        <v>42.72</v>
      </c>
      <c r="AO77">
        <v>31.04</v>
      </c>
      <c r="AP77">
        <v>29.38</v>
      </c>
      <c r="AQ77">
        <v>49.61</v>
      </c>
      <c r="AR77">
        <v>36.909999999999997</v>
      </c>
      <c r="AS77">
        <v>56.31</v>
      </c>
      <c r="AT77">
        <v>59.41</v>
      </c>
      <c r="AU77">
        <v>65.33</v>
      </c>
      <c r="AV77">
        <v>42.72</v>
      </c>
      <c r="AW77">
        <v>76.11</v>
      </c>
      <c r="AX77">
        <f t="shared" si="53"/>
        <v>59.414999999999999</v>
      </c>
      <c r="AY77">
        <v>33.39</v>
      </c>
      <c r="AZ77">
        <v>59.41</v>
      </c>
      <c r="BA77">
        <v>15.58</v>
      </c>
      <c r="BP77" s="1">
        <f t="shared" si="54"/>
        <v>31.606666666666666</v>
      </c>
      <c r="BQ77" s="1">
        <f t="shared" si="49"/>
        <v>59.69</v>
      </c>
      <c r="BR77" s="1">
        <f t="shared" si="50"/>
        <v>15.906666666666666</v>
      </c>
    </row>
    <row r="78" spans="1:70" x14ac:dyDescent="0.25">
      <c r="B78" s="2">
        <f>AVERAGE(B72:B77)</f>
        <v>21.973333333333333</v>
      </c>
      <c r="C78" s="2">
        <f t="shared" ref="C78:Q78" si="55">AVERAGE(C72:C77)</f>
        <v>22.456666666666667</v>
      </c>
      <c r="D78" s="2">
        <f t="shared" si="55"/>
        <v>40.093333333333334</v>
      </c>
      <c r="E78" s="2">
        <f t="shared" si="55"/>
        <v>27.375</v>
      </c>
      <c r="F78" s="2">
        <f t="shared" si="55"/>
        <v>24.113333333333333</v>
      </c>
      <c r="G78" s="2">
        <f t="shared" si="55"/>
        <v>42.338333333333331</v>
      </c>
      <c r="H78" s="2">
        <f t="shared" si="55"/>
        <v>29.981666666666669</v>
      </c>
      <c r="I78" s="2">
        <f t="shared" si="55"/>
        <v>54.09</v>
      </c>
      <c r="J78" s="2">
        <f t="shared" si="55"/>
        <v>57.861666666666672</v>
      </c>
      <c r="K78" s="2">
        <f t="shared" si="55"/>
        <v>62.101666666666659</v>
      </c>
      <c r="L78" s="2">
        <f t="shared" si="55"/>
        <v>40.093333333333334</v>
      </c>
      <c r="M78" s="2">
        <f t="shared" si="55"/>
        <v>75.63</v>
      </c>
      <c r="N78" s="2">
        <f t="shared" si="55"/>
        <v>57.861666666666672</v>
      </c>
      <c r="O78" s="2">
        <f t="shared" si="55"/>
        <v>35.536666666666662</v>
      </c>
      <c r="P78" s="2">
        <f t="shared" si="55"/>
        <v>57.861666666666672</v>
      </c>
      <c r="Q78" s="2">
        <f t="shared" si="55"/>
        <v>12.373333333333335</v>
      </c>
      <c r="T78" s="2">
        <f>AVERAGE(T72:T77)</f>
        <v>22.689999999999998</v>
      </c>
      <c r="U78" s="2">
        <f t="shared" ref="U78:AI78" si="56">AVERAGE(U72:U77)</f>
        <v>22.876666666666665</v>
      </c>
      <c r="V78" s="2">
        <f t="shared" si="56"/>
        <v>42.074999999999996</v>
      </c>
      <c r="W78" s="2">
        <f t="shared" si="56"/>
        <v>27.998333333333335</v>
      </c>
      <c r="X78" s="2">
        <f t="shared" si="56"/>
        <v>23.941666666666663</v>
      </c>
      <c r="Y78" s="2">
        <f t="shared" si="56"/>
        <v>44.005000000000003</v>
      </c>
      <c r="Z78" s="2">
        <f t="shared" si="56"/>
        <v>30.129999999999995</v>
      </c>
      <c r="AA78" s="2">
        <f t="shared" si="56"/>
        <v>54.053333333333335</v>
      </c>
      <c r="AB78" s="2">
        <f t="shared" si="56"/>
        <v>58.201666666666675</v>
      </c>
      <c r="AC78" s="2">
        <f t="shared" si="56"/>
        <v>62.266666666666659</v>
      </c>
      <c r="AD78" s="2">
        <f t="shared" si="56"/>
        <v>42.074999999999996</v>
      </c>
      <c r="AE78" s="2">
        <f t="shared" si="56"/>
        <v>74.33</v>
      </c>
      <c r="AF78" s="2">
        <f t="shared" si="56"/>
        <v>58.202499999999993</v>
      </c>
      <c r="AG78" s="2">
        <f t="shared" si="56"/>
        <v>32.256666666666668</v>
      </c>
      <c r="AH78" s="2">
        <f t="shared" si="56"/>
        <v>58.201666666666675</v>
      </c>
      <c r="AI78" s="2">
        <f t="shared" si="56"/>
        <v>13.036666666666667</v>
      </c>
      <c r="AL78" s="2">
        <f>AVERAGE(AL72:AL77)</f>
        <v>22.626666666666665</v>
      </c>
      <c r="AM78" s="2">
        <f t="shared" ref="AM78:BA78" si="57">AVERAGE(AM72:AM77)</f>
        <v>22.574999999999999</v>
      </c>
      <c r="AN78" s="2">
        <f t="shared" si="57"/>
        <v>43.656666666666666</v>
      </c>
      <c r="AO78" s="2">
        <f t="shared" si="57"/>
        <v>28.364999999999998</v>
      </c>
      <c r="AP78" s="2">
        <f t="shared" si="57"/>
        <v>23.558333333333334</v>
      </c>
      <c r="AQ78" s="2">
        <f t="shared" si="57"/>
        <v>45.106666666666676</v>
      </c>
      <c r="AR78" s="2">
        <f t="shared" si="57"/>
        <v>30.125</v>
      </c>
      <c r="AS78" s="2">
        <f t="shared" si="57"/>
        <v>53.918333333333344</v>
      </c>
      <c r="AT78" s="2">
        <f t="shared" si="57"/>
        <v>58.383333333333326</v>
      </c>
      <c r="AU78" s="2">
        <f t="shared" si="57"/>
        <v>62.330000000000005</v>
      </c>
      <c r="AV78" s="2">
        <f t="shared" si="57"/>
        <v>43.656666666666666</v>
      </c>
      <c r="AW78" s="2">
        <f t="shared" si="57"/>
        <v>73.114999999999995</v>
      </c>
      <c r="AX78" s="2">
        <f t="shared" si="57"/>
        <v>58.385833333333331</v>
      </c>
      <c r="AY78" s="2">
        <f t="shared" si="57"/>
        <v>29.461666666666662</v>
      </c>
      <c r="AZ78" s="2">
        <f t="shared" si="57"/>
        <v>58.383333333333326</v>
      </c>
      <c r="BA78" s="2">
        <f t="shared" si="57"/>
        <v>13.096666666666666</v>
      </c>
      <c r="BP78" s="2">
        <f>AVERAGE(BP72:BP77)</f>
        <v>32.418333333333329</v>
      </c>
      <c r="BQ78" s="2">
        <f t="shared" ref="BQ78:BR78" si="58">AVERAGE(BQ72:BQ77)</f>
        <v>58.148888888888884</v>
      </c>
      <c r="BR78" s="2">
        <f t="shared" si="58"/>
        <v>12.835555555555556</v>
      </c>
    </row>
    <row r="81" spans="1:70" x14ac:dyDescent="0.25">
      <c r="A81" s="1" t="s">
        <v>30</v>
      </c>
      <c r="B81">
        <v>12.24</v>
      </c>
      <c r="C81">
        <v>12.07</v>
      </c>
      <c r="D81">
        <v>49.23</v>
      </c>
      <c r="E81">
        <v>18.920000000000002</v>
      </c>
      <c r="F81">
        <v>11.71</v>
      </c>
      <c r="G81">
        <v>49.68</v>
      </c>
      <c r="H81">
        <v>18.96</v>
      </c>
      <c r="I81">
        <v>44.85</v>
      </c>
      <c r="J81">
        <v>53.8</v>
      </c>
      <c r="K81">
        <v>55.55</v>
      </c>
      <c r="L81">
        <v>49.23</v>
      </c>
      <c r="M81">
        <v>58.37</v>
      </c>
      <c r="N81">
        <f>(L81+M81)/2</f>
        <v>53.8</v>
      </c>
      <c r="O81">
        <v>9.14</v>
      </c>
      <c r="P81">
        <v>53.8</v>
      </c>
      <c r="Q81">
        <v>4.8899999999999997</v>
      </c>
      <c r="S81" s="1" t="s">
        <v>43</v>
      </c>
      <c r="T81">
        <v>12.27</v>
      </c>
      <c r="U81">
        <v>12.97</v>
      </c>
      <c r="V81">
        <v>38.08</v>
      </c>
      <c r="W81">
        <v>18.91</v>
      </c>
      <c r="X81">
        <v>12.78</v>
      </c>
      <c r="Y81">
        <v>38.979999999999997</v>
      </c>
      <c r="Z81">
        <v>19.25</v>
      </c>
      <c r="AA81">
        <v>49.12</v>
      </c>
      <c r="AB81">
        <v>54.23</v>
      </c>
      <c r="AC81">
        <v>55.64</v>
      </c>
      <c r="AD81">
        <v>38.08</v>
      </c>
      <c r="AE81">
        <v>70.38</v>
      </c>
      <c r="AF81">
        <f>(AD81+AE81)/2</f>
        <v>54.23</v>
      </c>
      <c r="AG81">
        <v>32.299999999999997</v>
      </c>
      <c r="AH81">
        <v>54.23</v>
      </c>
      <c r="AI81">
        <v>5.83</v>
      </c>
      <c r="AK81" s="1" t="s">
        <v>50</v>
      </c>
      <c r="AL81">
        <v>11.62</v>
      </c>
      <c r="AM81">
        <v>12.36</v>
      </c>
      <c r="AN81">
        <v>47.8</v>
      </c>
      <c r="AO81">
        <v>19.16</v>
      </c>
      <c r="AP81">
        <v>12.05</v>
      </c>
      <c r="AQ81">
        <v>47.88</v>
      </c>
      <c r="AR81">
        <v>19.25</v>
      </c>
      <c r="AS81">
        <v>46.15</v>
      </c>
      <c r="AT81">
        <v>54.51</v>
      </c>
      <c r="AU81">
        <v>55.23</v>
      </c>
      <c r="AV81">
        <v>47.8</v>
      </c>
      <c r="AW81">
        <v>61.22</v>
      </c>
      <c r="AX81">
        <f>(AV81+AW81)/2</f>
        <v>54.51</v>
      </c>
      <c r="AY81">
        <v>13.42</v>
      </c>
      <c r="AZ81">
        <v>54.51</v>
      </c>
      <c r="BA81">
        <v>5.74</v>
      </c>
      <c r="BP81" s="1">
        <f>(O81+AG81+AY81)/3</f>
        <v>18.286666666666665</v>
      </c>
      <c r="BQ81" s="1">
        <f t="shared" ref="BQ81:BQ86" si="59">(P81+AH81+AZ81)/3</f>
        <v>54.18</v>
      </c>
      <c r="BR81" s="1">
        <f t="shared" ref="BR81:BR86" si="60">(Q81+AI81+BA81)/3</f>
        <v>5.4866666666666672</v>
      </c>
    </row>
    <row r="82" spans="1:70" x14ac:dyDescent="0.25">
      <c r="A82" s="1"/>
      <c r="B82">
        <v>12.39</v>
      </c>
      <c r="C82">
        <v>13.38</v>
      </c>
      <c r="D82">
        <v>32.909999999999997</v>
      </c>
      <c r="E82">
        <v>18.440000000000001</v>
      </c>
      <c r="F82">
        <v>13.43</v>
      </c>
      <c r="G82">
        <v>33.74</v>
      </c>
      <c r="H82">
        <v>19.22</v>
      </c>
      <c r="I82">
        <v>50.56</v>
      </c>
      <c r="J82">
        <v>54.37</v>
      </c>
      <c r="K82">
        <v>55.24</v>
      </c>
      <c r="L82">
        <v>32.909999999999997</v>
      </c>
      <c r="M82">
        <v>75.84</v>
      </c>
      <c r="N82">
        <f t="shared" ref="N82:N86" si="61">(L82+M82)/2</f>
        <v>54.375</v>
      </c>
      <c r="O82">
        <v>42.93</v>
      </c>
      <c r="P82">
        <v>54.37</v>
      </c>
      <c r="Q82">
        <v>6.22</v>
      </c>
      <c r="T82">
        <v>12.27</v>
      </c>
      <c r="U82">
        <v>13.59</v>
      </c>
      <c r="V82">
        <v>24</v>
      </c>
      <c r="W82">
        <v>16.91</v>
      </c>
      <c r="X82">
        <v>14.1</v>
      </c>
      <c r="Y82">
        <v>24.87</v>
      </c>
      <c r="Z82">
        <v>18</v>
      </c>
      <c r="AA82">
        <v>51.85</v>
      </c>
      <c r="AB82">
        <v>53.57</v>
      </c>
      <c r="AC82">
        <v>55.7</v>
      </c>
      <c r="AD82">
        <v>24</v>
      </c>
      <c r="AE82">
        <v>83.14</v>
      </c>
      <c r="AF82">
        <f t="shared" ref="AF82:AF86" si="62">(AD82+AE82)/2</f>
        <v>53.57</v>
      </c>
      <c r="AG82">
        <v>59.14</v>
      </c>
      <c r="AH82">
        <v>53.57</v>
      </c>
      <c r="AI82">
        <v>5.57</v>
      </c>
      <c r="AL82">
        <v>12.25</v>
      </c>
      <c r="AM82">
        <v>14.51</v>
      </c>
      <c r="AN82">
        <v>24.39</v>
      </c>
      <c r="AO82">
        <v>17.760000000000002</v>
      </c>
      <c r="AP82">
        <v>15.68</v>
      </c>
      <c r="AQ82">
        <v>25.79</v>
      </c>
      <c r="AR82">
        <v>19.5</v>
      </c>
      <c r="AS82">
        <v>52.68</v>
      </c>
      <c r="AT82">
        <v>54.45</v>
      </c>
      <c r="AU82">
        <v>53.92</v>
      </c>
      <c r="AV82">
        <v>24.39</v>
      </c>
      <c r="AW82">
        <v>84.51</v>
      </c>
      <c r="AX82">
        <f t="shared" ref="AX82:AX86" si="63">(AV82+AW82)/2</f>
        <v>54.45</v>
      </c>
      <c r="AY82">
        <v>60.12</v>
      </c>
      <c r="AZ82">
        <v>54.45</v>
      </c>
      <c r="BA82">
        <v>6.97</v>
      </c>
      <c r="BP82" s="1">
        <f t="shared" ref="BP82:BP86" si="64">(O82+AG82+AY82)/3</f>
        <v>54.063333333333333</v>
      </c>
      <c r="BQ82" s="1">
        <f t="shared" si="59"/>
        <v>54.129999999999995</v>
      </c>
      <c r="BR82" s="1">
        <f t="shared" si="60"/>
        <v>6.253333333333333</v>
      </c>
    </row>
    <row r="83" spans="1:70" x14ac:dyDescent="0.25">
      <c r="B83">
        <v>28.44</v>
      </c>
      <c r="C83">
        <v>28.21</v>
      </c>
      <c r="D83">
        <v>52.63</v>
      </c>
      <c r="E83">
        <v>35.81</v>
      </c>
      <c r="F83">
        <v>28.62</v>
      </c>
      <c r="G83">
        <v>55.82</v>
      </c>
      <c r="H83">
        <v>37.840000000000003</v>
      </c>
      <c r="I83">
        <v>50.59</v>
      </c>
      <c r="J83">
        <v>55.34</v>
      </c>
      <c r="K83">
        <v>57.18</v>
      </c>
      <c r="L83">
        <v>52.63</v>
      </c>
      <c r="M83">
        <v>58.05</v>
      </c>
      <c r="N83">
        <f t="shared" si="61"/>
        <v>55.34</v>
      </c>
      <c r="O83">
        <v>5.42</v>
      </c>
      <c r="P83">
        <v>55.34</v>
      </c>
      <c r="Q83">
        <v>9.57</v>
      </c>
      <c r="T83">
        <v>28.09</v>
      </c>
      <c r="U83">
        <v>28.4</v>
      </c>
      <c r="V83">
        <v>37.47</v>
      </c>
      <c r="W83">
        <v>32.11</v>
      </c>
      <c r="X83">
        <v>29.94</v>
      </c>
      <c r="Y83">
        <v>40.65</v>
      </c>
      <c r="Z83">
        <v>34.479999999999997</v>
      </c>
      <c r="AA83">
        <v>53.47</v>
      </c>
      <c r="AB83">
        <v>54.27</v>
      </c>
      <c r="AC83">
        <v>56.5</v>
      </c>
      <c r="AD83">
        <v>37.47</v>
      </c>
      <c r="AE83">
        <v>71.06</v>
      </c>
      <c r="AF83">
        <f t="shared" si="62"/>
        <v>54.265000000000001</v>
      </c>
      <c r="AG83">
        <v>33.590000000000003</v>
      </c>
      <c r="AH83">
        <v>54.27</v>
      </c>
      <c r="AI83">
        <v>8.16</v>
      </c>
      <c r="AL83">
        <v>28.24</v>
      </c>
      <c r="AM83">
        <v>28.96</v>
      </c>
      <c r="AN83">
        <v>34.89</v>
      </c>
      <c r="AO83">
        <v>31.49</v>
      </c>
      <c r="AP83">
        <v>31.23</v>
      </c>
      <c r="AQ83">
        <v>37.78</v>
      </c>
      <c r="AR83">
        <v>34.19</v>
      </c>
      <c r="AS83">
        <v>54.18</v>
      </c>
      <c r="AT83">
        <v>54.73</v>
      </c>
      <c r="AU83">
        <v>56.2</v>
      </c>
      <c r="AV83">
        <v>34.89</v>
      </c>
      <c r="AW83">
        <v>74.569999999999993</v>
      </c>
      <c r="AX83">
        <f t="shared" si="63"/>
        <v>54.73</v>
      </c>
      <c r="AY83">
        <v>39.68</v>
      </c>
      <c r="AZ83">
        <v>54.73</v>
      </c>
      <c r="BA83">
        <v>8.9600000000000009</v>
      </c>
      <c r="BP83" s="1">
        <f t="shared" si="64"/>
        <v>26.23</v>
      </c>
      <c r="BQ83" s="1">
        <f t="shared" si="59"/>
        <v>54.78</v>
      </c>
      <c r="BR83" s="1">
        <f t="shared" si="60"/>
        <v>8.8966666666666665</v>
      </c>
    </row>
    <row r="84" spans="1:70" x14ac:dyDescent="0.25">
      <c r="B84">
        <v>11.56</v>
      </c>
      <c r="C84">
        <v>12.26</v>
      </c>
      <c r="D84">
        <v>24.18</v>
      </c>
      <c r="E84">
        <v>15.9</v>
      </c>
      <c r="F84">
        <v>12.86</v>
      </c>
      <c r="G84">
        <v>24.9</v>
      </c>
      <c r="H84">
        <v>16.96</v>
      </c>
      <c r="I84">
        <v>50.75</v>
      </c>
      <c r="J84">
        <v>52.68</v>
      </c>
      <c r="K84">
        <v>54.42</v>
      </c>
      <c r="L84">
        <v>24.18</v>
      </c>
      <c r="M84">
        <v>81.19</v>
      </c>
      <c r="N84">
        <f t="shared" si="61"/>
        <v>52.685000000000002</v>
      </c>
      <c r="O84">
        <v>57.01</v>
      </c>
      <c r="P84">
        <v>52.68</v>
      </c>
      <c r="Q84">
        <v>3.91</v>
      </c>
      <c r="T84">
        <v>11.46</v>
      </c>
      <c r="U84">
        <v>12.53</v>
      </c>
      <c r="V84">
        <v>14.65</v>
      </c>
      <c r="W84">
        <v>12.82</v>
      </c>
      <c r="X84">
        <v>12.99</v>
      </c>
      <c r="Y84">
        <v>14.52</v>
      </c>
      <c r="Z84">
        <v>13.71</v>
      </c>
      <c r="AA84">
        <v>51.27</v>
      </c>
      <c r="AB84">
        <v>51.93</v>
      </c>
      <c r="AC84">
        <v>53.65</v>
      </c>
      <c r="AD84">
        <v>14.65</v>
      </c>
      <c r="AE84">
        <v>89.21</v>
      </c>
      <c r="AF84">
        <f t="shared" si="62"/>
        <v>51.93</v>
      </c>
      <c r="AG84">
        <v>74.56</v>
      </c>
      <c r="AH84">
        <v>51.93</v>
      </c>
      <c r="AI84">
        <v>3.32</v>
      </c>
      <c r="AL84">
        <v>11.44</v>
      </c>
      <c r="AM84">
        <v>12.97</v>
      </c>
      <c r="AN84">
        <v>19.899999999999999</v>
      </c>
      <c r="AO84">
        <v>15.23</v>
      </c>
      <c r="AP84">
        <v>13.26</v>
      </c>
      <c r="AQ84">
        <v>20.12</v>
      </c>
      <c r="AR84">
        <v>15.98</v>
      </c>
      <c r="AS84">
        <v>51.54</v>
      </c>
      <c r="AT84">
        <v>52.63</v>
      </c>
      <c r="AU84">
        <v>53.02</v>
      </c>
      <c r="AV84">
        <v>19.899999999999999</v>
      </c>
      <c r="AW84">
        <v>85.37</v>
      </c>
      <c r="AX84">
        <f t="shared" si="63"/>
        <v>52.635000000000005</v>
      </c>
      <c r="AY84">
        <v>65.459999999999994</v>
      </c>
      <c r="AZ84">
        <v>52.63</v>
      </c>
      <c r="BA84">
        <v>4.29</v>
      </c>
      <c r="BP84" s="1">
        <f t="shared" si="64"/>
        <v>65.676666666666662</v>
      </c>
      <c r="BQ84" s="1">
        <f t="shared" si="59"/>
        <v>52.413333333333334</v>
      </c>
      <c r="BR84" s="1">
        <f t="shared" si="60"/>
        <v>3.84</v>
      </c>
    </row>
    <row r="85" spans="1:70" x14ac:dyDescent="0.25">
      <c r="B85">
        <v>25.98</v>
      </c>
      <c r="C85">
        <v>25.66</v>
      </c>
      <c r="D85">
        <v>24.09</v>
      </c>
      <c r="E85">
        <v>24.07</v>
      </c>
      <c r="F85">
        <v>26.47</v>
      </c>
      <c r="G85">
        <v>23.83</v>
      </c>
      <c r="H85">
        <v>25.08</v>
      </c>
      <c r="I85">
        <v>51.62</v>
      </c>
      <c r="J85">
        <v>52.29</v>
      </c>
      <c r="K85">
        <v>54.48</v>
      </c>
      <c r="L85">
        <v>24.09</v>
      </c>
      <c r="M85">
        <v>80.48</v>
      </c>
      <c r="N85">
        <f t="shared" si="61"/>
        <v>52.285000000000004</v>
      </c>
      <c r="O85">
        <v>56.39</v>
      </c>
      <c r="P85">
        <v>52.29</v>
      </c>
      <c r="Q85">
        <v>4.24</v>
      </c>
      <c r="T85">
        <v>26.08</v>
      </c>
      <c r="U85">
        <v>27.09</v>
      </c>
      <c r="V85">
        <v>14.88</v>
      </c>
      <c r="W85">
        <v>18.53</v>
      </c>
      <c r="X85">
        <v>28.64</v>
      </c>
      <c r="Y85">
        <v>14.62</v>
      </c>
      <c r="Z85">
        <v>19.36</v>
      </c>
      <c r="AA85">
        <v>50.83</v>
      </c>
      <c r="AB85">
        <v>52.08</v>
      </c>
      <c r="AC85">
        <v>54.5</v>
      </c>
      <c r="AD85">
        <v>14.88</v>
      </c>
      <c r="AE85">
        <v>89.28</v>
      </c>
      <c r="AF85">
        <f t="shared" si="62"/>
        <v>52.08</v>
      </c>
      <c r="AG85">
        <v>74.400000000000006</v>
      </c>
      <c r="AH85">
        <v>52.08</v>
      </c>
      <c r="AI85">
        <v>4.62</v>
      </c>
      <c r="AL85">
        <v>26.33</v>
      </c>
      <c r="AM85">
        <v>26.53</v>
      </c>
      <c r="AN85">
        <v>19.98</v>
      </c>
      <c r="AO85">
        <v>21.94</v>
      </c>
      <c r="AP85">
        <v>26.75</v>
      </c>
      <c r="AQ85">
        <v>19.350000000000001</v>
      </c>
      <c r="AR85">
        <v>22.45</v>
      </c>
      <c r="AS85">
        <v>51.46</v>
      </c>
      <c r="AT85">
        <v>52.24</v>
      </c>
      <c r="AU85">
        <v>54.74</v>
      </c>
      <c r="AV85">
        <v>19.98</v>
      </c>
      <c r="AW85">
        <v>84.49</v>
      </c>
      <c r="AX85">
        <f t="shared" si="63"/>
        <v>52.234999999999999</v>
      </c>
      <c r="AY85">
        <v>64.510000000000005</v>
      </c>
      <c r="AZ85">
        <v>52.24</v>
      </c>
      <c r="BA85">
        <v>4.58</v>
      </c>
      <c r="BP85" s="1">
        <f t="shared" si="64"/>
        <v>65.100000000000009</v>
      </c>
      <c r="BQ85" s="1">
        <f t="shared" si="59"/>
        <v>52.20333333333334</v>
      </c>
      <c r="BR85" s="1">
        <f t="shared" si="60"/>
        <v>4.4799999999999995</v>
      </c>
    </row>
    <row r="86" spans="1:70" x14ac:dyDescent="0.25">
      <c r="B86">
        <v>21.73</v>
      </c>
      <c r="C86">
        <v>21.75</v>
      </c>
      <c r="D86">
        <v>32.08</v>
      </c>
      <c r="E86">
        <v>25.04</v>
      </c>
      <c r="F86">
        <v>24.28</v>
      </c>
      <c r="G86">
        <v>36.06</v>
      </c>
      <c r="H86">
        <v>29.02</v>
      </c>
      <c r="I86">
        <v>53.1</v>
      </c>
      <c r="J86">
        <v>54.76</v>
      </c>
      <c r="K86">
        <v>58.59</v>
      </c>
      <c r="L86">
        <v>32.08</v>
      </c>
      <c r="M86">
        <v>77.45</v>
      </c>
      <c r="N86">
        <f t="shared" si="61"/>
        <v>54.765000000000001</v>
      </c>
      <c r="O86">
        <v>45.37</v>
      </c>
      <c r="P86">
        <v>54.76</v>
      </c>
      <c r="Q86">
        <v>8.19</v>
      </c>
      <c r="T86">
        <v>20.48</v>
      </c>
      <c r="U86">
        <v>21.93</v>
      </c>
      <c r="V86">
        <v>22.93</v>
      </c>
      <c r="W86">
        <v>21.75</v>
      </c>
      <c r="X86">
        <v>25.67</v>
      </c>
      <c r="Y86">
        <v>27.36</v>
      </c>
      <c r="Z86">
        <v>26.49</v>
      </c>
      <c r="AA86">
        <v>52.96</v>
      </c>
      <c r="AB86">
        <v>53.34</v>
      </c>
      <c r="AC86">
        <v>57.92</v>
      </c>
      <c r="AD86">
        <v>22.93</v>
      </c>
      <c r="AE86">
        <v>83.75</v>
      </c>
      <c r="AF86">
        <f t="shared" si="62"/>
        <v>53.34</v>
      </c>
      <c r="AG86">
        <v>60.82</v>
      </c>
      <c r="AH86">
        <v>53.34</v>
      </c>
      <c r="AI86">
        <v>6.63</v>
      </c>
      <c r="AL86">
        <v>21.02</v>
      </c>
      <c r="AM86">
        <v>21.98</v>
      </c>
      <c r="AN86">
        <v>29.35</v>
      </c>
      <c r="AO86">
        <v>24.48</v>
      </c>
      <c r="AP86">
        <v>25.6</v>
      </c>
      <c r="AQ86">
        <v>35.130000000000003</v>
      </c>
      <c r="AR86">
        <v>29.62</v>
      </c>
      <c r="AS86">
        <v>53.27</v>
      </c>
      <c r="AT86">
        <v>54.28</v>
      </c>
      <c r="AU86">
        <v>58.41</v>
      </c>
      <c r="AV86">
        <v>29.35</v>
      </c>
      <c r="AW86">
        <v>79.2</v>
      </c>
      <c r="AX86">
        <f t="shared" si="63"/>
        <v>54.275000000000006</v>
      </c>
      <c r="AY86">
        <v>49.85</v>
      </c>
      <c r="AZ86">
        <v>54.28</v>
      </c>
      <c r="BA86">
        <v>7.86</v>
      </c>
      <c r="BP86" s="1">
        <f t="shared" si="64"/>
        <v>52.013333333333328</v>
      </c>
      <c r="BQ86" s="1">
        <f t="shared" si="59"/>
        <v>54.126666666666665</v>
      </c>
      <c r="BR86" s="1">
        <f t="shared" si="60"/>
        <v>7.56</v>
      </c>
    </row>
    <row r="87" spans="1:70" x14ac:dyDescent="0.25">
      <c r="A87" s="1"/>
      <c r="B87" s="2">
        <f>AVERAGE(B81:B86)</f>
        <v>18.723333333333336</v>
      </c>
      <c r="C87" s="2">
        <f t="shared" ref="C87:Q87" si="65">AVERAGE(C81:C86)</f>
        <v>18.888333333333332</v>
      </c>
      <c r="D87" s="2">
        <f t="shared" si="65"/>
        <v>35.853333333333332</v>
      </c>
      <c r="E87" s="2">
        <f t="shared" si="65"/>
        <v>23.03</v>
      </c>
      <c r="F87" s="2">
        <f t="shared" si="65"/>
        <v>19.561666666666667</v>
      </c>
      <c r="G87" s="2">
        <f t="shared" si="65"/>
        <v>37.338333333333338</v>
      </c>
      <c r="H87" s="2">
        <f t="shared" si="65"/>
        <v>24.513333333333335</v>
      </c>
      <c r="I87" s="2">
        <f t="shared" si="65"/>
        <v>50.245000000000005</v>
      </c>
      <c r="J87" s="2">
        <f t="shared" si="65"/>
        <v>53.873333333333335</v>
      </c>
      <c r="K87" s="2">
        <f t="shared" si="65"/>
        <v>55.910000000000004</v>
      </c>
      <c r="L87" s="2">
        <f t="shared" si="65"/>
        <v>35.853333333333332</v>
      </c>
      <c r="M87" s="2">
        <f t="shared" si="65"/>
        <v>71.896666666666661</v>
      </c>
      <c r="N87" s="2">
        <f t="shared" si="65"/>
        <v>53.875</v>
      </c>
      <c r="O87" s="2">
        <f t="shared" si="65"/>
        <v>36.043333333333329</v>
      </c>
      <c r="P87" s="2">
        <f t="shared" si="65"/>
        <v>53.873333333333335</v>
      </c>
      <c r="Q87" s="2">
        <f t="shared" si="65"/>
        <v>6.169999999999999</v>
      </c>
      <c r="T87" s="2">
        <f>AVERAGE(T81:T86)</f>
        <v>18.441666666666666</v>
      </c>
      <c r="U87" s="2">
        <f t="shared" ref="U87:AI87" si="66">AVERAGE(U81:U86)</f>
        <v>19.418333333333333</v>
      </c>
      <c r="V87" s="2">
        <f t="shared" si="66"/>
        <v>25.335000000000004</v>
      </c>
      <c r="W87" s="2">
        <f t="shared" si="66"/>
        <v>20.171666666666667</v>
      </c>
      <c r="X87" s="2">
        <f t="shared" si="66"/>
        <v>20.686666666666667</v>
      </c>
      <c r="Y87" s="2">
        <f t="shared" si="66"/>
        <v>26.833333333333332</v>
      </c>
      <c r="Z87" s="2">
        <f t="shared" si="66"/>
        <v>21.881666666666664</v>
      </c>
      <c r="AA87" s="2">
        <f t="shared" si="66"/>
        <v>51.583333333333336</v>
      </c>
      <c r="AB87" s="2">
        <f t="shared" si="66"/>
        <v>53.236666666666657</v>
      </c>
      <c r="AC87" s="2">
        <f t="shared" si="66"/>
        <v>55.651666666666671</v>
      </c>
      <c r="AD87" s="2">
        <f t="shared" si="66"/>
        <v>25.335000000000004</v>
      </c>
      <c r="AE87" s="2">
        <f t="shared" si="66"/>
        <v>81.136666666666656</v>
      </c>
      <c r="AF87" s="2">
        <f t="shared" si="66"/>
        <v>53.235833333333325</v>
      </c>
      <c r="AG87" s="2">
        <f t="shared" si="66"/>
        <v>55.801666666666669</v>
      </c>
      <c r="AH87" s="2">
        <f t="shared" si="66"/>
        <v>53.236666666666657</v>
      </c>
      <c r="AI87" s="2">
        <f t="shared" si="66"/>
        <v>5.6883333333333335</v>
      </c>
      <c r="AL87" s="2">
        <f>AVERAGE(AL81:AL86)</f>
        <v>18.483333333333331</v>
      </c>
      <c r="AM87" s="2">
        <f t="shared" ref="AM87:BA87" si="67">AVERAGE(AM81:AM86)</f>
        <v>19.551666666666666</v>
      </c>
      <c r="AN87" s="2">
        <f t="shared" si="67"/>
        <v>29.384999999999994</v>
      </c>
      <c r="AO87" s="2">
        <f t="shared" si="67"/>
        <v>21.676666666666666</v>
      </c>
      <c r="AP87" s="2">
        <f t="shared" si="67"/>
        <v>20.761666666666667</v>
      </c>
      <c r="AQ87" s="2">
        <f t="shared" si="67"/>
        <v>31.008333333333329</v>
      </c>
      <c r="AR87" s="2">
        <f t="shared" si="67"/>
        <v>23.498333333333335</v>
      </c>
      <c r="AS87" s="2">
        <f t="shared" si="67"/>
        <v>51.54666666666666</v>
      </c>
      <c r="AT87" s="2">
        <f t="shared" si="67"/>
        <v>53.806666666666672</v>
      </c>
      <c r="AU87" s="2">
        <f t="shared" si="67"/>
        <v>55.25333333333333</v>
      </c>
      <c r="AV87" s="2">
        <f t="shared" si="67"/>
        <v>29.384999999999994</v>
      </c>
      <c r="AW87" s="2">
        <f t="shared" si="67"/>
        <v>78.226666666666674</v>
      </c>
      <c r="AX87" s="2">
        <f t="shared" si="67"/>
        <v>53.805833333333339</v>
      </c>
      <c r="AY87" s="2">
        <f t="shared" si="67"/>
        <v>48.84</v>
      </c>
      <c r="AZ87" s="2">
        <f t="shared" si="67"/>
        <v>53.806666666666672</v>
      </c>
      <c r="BA87" s="2">
        <f t="shared" si="67"/>
        <v>6.3999999999999995</v>
      </c>
      <c r="BP87" s="2">
        <f>AVERAGE(BP81:BP86)</f>
        <v>46.895000000000003</v>
      </c>
      <c r="BQ87" s="2">
        <f t="shared" ref="BQ87:BR87" si="68">AVERAGE(BQ81:BQ86)</f>
        <v>53.638888888888886</v>
      </c>
      <c r="BR87" s="2">
        <f t="shared" si="68"/>
        <v>6.0861111111111112</v>
      </c>
    </row>
    <row r="90" spans="1:70" x14ac:dyDescent="0.25">
      <c r="A90" s="1" t="s">
        <v>31</v>
      </c>
      <c r="B90">
        <v>10.26</v>
      </c>
      <c r="C90">
        <v>10.36</v>
      </c>
      <c r="D90">
        <v>58.26</v>
      </c>
      <c r="E90">
        <v>15.18</v>
      </c>
      <c r="F90">
        <v>8.4600000000000009</v>
      </c>
      <c r="G90">
        <v>49.02</v>
      </c>
      <c r="H90">
        <v>14.43</v>
      </c>
      <c r="I90">
        <v>32.11</v>
      </c>
      <c r="J90">
        <v>50.21</v>
      </c>
      <c r="K90">
        <v>50.73</v>
      </c>
      <c r="L90">
        <v>58.26</v>
      </c>
      <c r="M90">
        <v>42.17</v>
      </c>
      <c r="N90">
        <f>(L90+M90)/2</f>
        <v>50.215000000000003</v>
      </c>
      <c r="O90">
        <v>16.09</v>
      </c>
      <c r="P90">
        <v>50.21</v>
      </c>
      <c r="Q90">
        <v>0.38</v>
      </c>
      <c r="S90" s="1" t="s">
        <v>44</v>
      </c>
      <c r="T90">
        <v>10.07</v>
      </c>
      <c r="U90">
        <v>9.58</v>
      </c>
      <c r="V90">
        <v>32.479999999999997</v>
      </c>
      <c r="W90">
        <v>14.14</v>
      </c>
      <c r="X90">
        <v>9.2799999999999994</v>
      </c>
      <c r="Y90">
        <v>31.05</v>
      </c>
      <c r="Z90">
        <v>14.29</v>
      </c>
      <c r="AA90">
        <v>45.15</v>
      </c>
      <c r="AB90">
        <v>49.44</v>
      </c>
      <c r="AC90">
        <v>49.6</v>
      </c>
      <c r="AD90">
        <v>32.479999999999997</v>
      </c>
      <c r="AE90">
        <v>66.39</v>
      </c>
      <c r="AF90">
        <f>(AD90+AE90)/2</f>
        <v>49.435000000000002</v>
      </c>
      <c r="AG90">
        <v>33.909999999999997</v>
      </c>
      <c r="AH90">
        <v>49.44</v>
      </c>
      <c r="AI90">
        <v>-0.82</v>
      </c>
      <c r="AK90" s="1" t="s">
        <v>51</v>
      </c>
      <c r="AL90">
        <v>10.44</v>
      </c>
      <c r="AM90">
        <v>10.119999999999999</v>
      </c>
      <c r="AN90">
        <v>57.14</v>
      </c>
      <c r="AO90">
        <v>16.53</v>
      </c>
      <c r="AP90">
        <v>9.6199999999999992</v>
      </c>
      <c r="AQ90">
        <v>54.72</v>
      </c>
      <c r="AR90">
        <v>16.36</v>
      </c>
      <c r="AS90">
        <v>37.06</v>
      </c>
      <c r="AT90">
        <v>50.16</v>
      </c>
      <c r="AU90">
        <v>50.53</v>
      </c>
      <c r="AV90">
        <v>57.14</v>
      </c>
      <c r="AW90">
        <v>43.19</v>
      </c>
      <c r="AX90">
        <f>(AV90+AW90)/2</f>
        <v>50.164999999999999</v>
      </c>
      <c r="AY90">
        <v>13.95</v>
      </c>
      <c r="AZ90">
        <v>50.16</v>
      </c>
      <c r="BA90">
        <v>0.28999999999999998</v>
      </c>
      <c r="BP90" s="1"/>
      <c r="BQ90" s="1"/>
      <c r="BR90" s="1"/>
    </row>
    <row r="91" spans="1:70" x14ac:dyDescent="0.25">
      <c r="B91">
        <v>10.14</v>
      </c>
      <c r="C91">
        <v>9.7799999999999994</v>
      </c>
      <c r="D91">
        <v>59.97</v>
      </c>
      <c r="E91">
        <v>16.73</v>
      </c>
      <c r="F91">
        <v>11.45</v>
      </c>
      <c r="G91">
        <v>69.2</v>
      </c>
      <c r="H91">
        <v>19.64</v>
      </c>
      <c r="I91">
        <v>34.130000000000003</v>
      </c>
      <c r="J91">
        <v>49.8</v>
      </c>
      <c r="K91">
        <v>49.3</v>
      </c>
      <c r="L91">
        <v>59.97</v>
      </c>
      <c r="M91">
        <v>39.630000000000003</v>
      </c>
      <c r="N91">
        <f t="shared" ref="N91:N95" si="69">(L91+M91)/2</f>
        <v>49.8</v>
      </c>
      <c r="O91">
        <v>20.34</v>
      </c>
      <c r="P91">
        <v>49.8</v>
      </c>
      <c r="Q91">
        <v>-0.01</v>
      </c>
      <c r="T91">
        <v>9.9</v>
      </c>
      <c r="U91">
        <v>9.9700000000000006</v>
      </c>
      <c r="V91">
        <v>39.65</v>
      </c>
      <c r="W91">
        <v>14.89</v>
      </c>
      <c r="X91">
        <v>11.76</v>
      </c>
      <c r="Y91">
        <v>47.93</v>
      </c>
      <c r="Z91">
        <v>18.89</v>
      </c>
      <c r="AA91">
        <v>41.21</v>
      </c>
      <c r="AB91">
        <v>49.39</v>
      </c>
      <c r="AC91">
        <v>48.84</v>
      </c>
      <c r="AD91">
        <v>39.65</v>
      </c>
      <c r="AE91">
        <v>59.12</v>
      </c>
      <c r="AF91">
        <f t="shared" ref="AF91:AF95" si="70">(AD91+AE91)/2</f>
        <v>49.384999999999998</v>
      </c>
      <c r="AG91">
        <v>19.47</v>
      </c>
      <c r="AH91">
        <v>49.39</v>
      </c>
      <c r="AI91">
        <v>-0.75</v>
      </c>
      <c r="AL91">
        <v>10.16</v>
      </c>
      <c r="AM91">
        <v>9.92</v>
      </c>
      <c r="AN91">
        <v>58.42</v>
      </c>
      <c r="AO91">
        <v>15.38</v>
      </c>
      <c r="AP91">
        <v>8.73</v>
      </c>
      <c r="AQ91">
        <v>50.99</v>
      </c>
      <c r="AR91">
        <v>14.91</v>
      </c>
      <c r="AS91">
        <v>32.64</v>
      </c>
      <c r="AT91">
        <v>50.06</v>
      </c>
      <c r="AU91">
        <v>49.71</v>
      </c>
      <c r="AV91">
        <v>58.42</v>
      </c>
      <c r="AW91">
        <v>41.69</v>
      </c>
      <c r="AX91">
        <f t="shared" ref="AX91:AX95" si="71">(AV91+AW91)/2</f>
        <v>50.055</v>
      </c>
      <c r="AY91">
        <v>16.73</v>
      </c>
      <c r="AZ91">
        <v>50.06</v>
      </c>
      <c r="BA91">
        <v>0.18</v>
      </c>
      <c r="BP91" s="1"/>
      <c r="BQ91" s="1"/>
      <c r="BR91" s="1"/>
    </row>
    <row r="92" spans="1:70" x14ac:dyDescent="0.25">
      <c r="B92">
        <v>23.86</v>
      </c>
      <c r="C92">
        <v>23.52</v>
      </c>
      <c r="D92">
        <v>59.85</v>
      </c>
      <c r="E92">
        <v>32.26</v>
      </c>
      <c r="F92">
        <v>23.44</v>
      </c>
      <c r="G92">
        <v>59.98</v>
      </c>
      <c r="H92">
        <v>33.71</v>
      </c>
      <c r="I92">
        <v>41.84</v>
      </c>
      <c r="J92">
        <v>51.12</v>
      </c>
      <c r="K92">
        <v>51.55</v>
      </c>
      <c r="L92">
        <v>59.85</v>
      </c>
      <c r="M92">
        <v>42.4</v>
      </c>
      <c r="N92">
        <f t="shared" si="69"/>
        <v>51.125</v>
      </c>
      <c r="O92">
        <v>17.45</v>
      </c>
      <c r="P92">
        <v>51.12</v>
      </c>
      <c r="Q92">
        <v>2.23</v>
      </c>
      <c r="T92">
        <v>22.41</v>
      </c>
      <c r="U92">
        <v>22.43</v>
      </c>
      <c r="V92">
        <v>45.57</v>
      </c>
      <c r="W92">
        <v>27.75</v>
      </c>
      <c r="X92">
        <v>22.64</v>
      </c>
      <c r="Y92">
        <v>46.34</v>
      </c>
      <c r="Z92">
        <v>30.42</v>
      </c>
      <c r="AA92">
        <v>43.79</v>
      </c>
      <c r="AB92">
        <v>49.33</v>
      </c>
      <c r="AC92">
        <v>49.28</v>
      </c>
      <c r="AD92">
        <v>45.57</v>
      </c>
      <c r="AE92">
        <v>53.09</v>
      </c>
      <c r="AF92">
        <f t="shared" si="70"/>
        <v>49.33</v>
      </c>
      <c r="AG92">
        <v>7.52</v>
      </c>
      <c r="AH92">
        <v>49.33</v>
      </c>
      <c r="AI92">
        <v>-1.0900000000000001</v>
      </c>
      <c r="AL92">
        <v>22.69</v>
      </c>
      <c r="AM92">
        <v>22.85</v>
      </c>
      <c r="AN92">
        <v>59.83</v>
      </c>
      <c r="AO92">
        <v>30.81</v>
      </c>
      <c r="AP92">
        <v>22.91</v>
      </c>
      <c r="AQ92">
        <v>60.02</v>
      </c>
      <c r="AR92">
        <v>33.159999999999997</v>
      </c>
      <c r="AS92">
        <v>38.94</v>
      </c>
      <c r="AT92">
        <v>50.19</v>
      </c>
      <c r="AU92">
        <v>49.87</v>
      </c>
      <c r="AV92">
        <v>59.83</v>
      </c>
      <c r="AW92">
        <v>40.56</v>
      </c>
      <c r="AX92">
        <f t="shared" si="71"/>
        <v>50.195</v>
      </c>
      <c r="AY92">
        <v>19.28</v>
      </c>
      <c r="AZ92">
        <v>50.19</v>
      </c>
      <c r="BA92">
        <v>0.46</v>
      </c>
      <c r="BP92" s="1"/>
      <c r="BQ92" s="1"/>
      <c r="BR92" s="1"/>
    </row>
    <row r="93" spans="1:70" x14ac:dyDescent="0.25">
      <c r="B93">
        <v>10.01</v>
      </c>
      <c r="C93">
        <v>10.24</v>
      </c>
      <c r="D93">
        <v>50.98</v>
      </c>
      <c r="E93">
        <v>14.16</v>
      </c>
      <c r="F93">
        <v>12.69</v>
      </c>
      <c r="G93">
        <v>65.06</v>
      </c>
      <c r="H93">
        <v>21.24</v>
      </c>
      <c r="I93">
        <v>31.79</v>
      </c>
      <c r="J93">
        <v>49.85</v>
      </c>
      <c r="K93">
        <v>50.2</v>
      </c>
      <c r="L93">
        <v>50.98</v>
      </c>
      <c r="M93">
        <v>48.73</v>
      </c>
      <c r="N93">
        <f t="shared" si="69"/>
        <v>49.854999999999997</v>
      </c>
      <c r="O93">
        <v>2.2599999999999998</v>
      </c>
      <c r="P93">
        <v>49.85</v>
      </c>
      <c r="Q93">
        <v>-0.35</v>
      </c>
      <c r="T93">
        <v>9.92</v>
      </c>
      <c r="U93">
        <v>9.67</v>
      </c>
      <c r="V93">
        <v>44.23</v>
      </c>
      <c r="W93">
        <v>15.67</v>
      </c>
      <c r="X93">
        <v>12.02</v>
      </c>
      <c r="Y93">
        <v>54.33</v>
      </c>
      <c r="Z93">
        <v>19.68</v>
      </c>
      <c r="AA93">
        <v>40.299999999999997</v>
      </c>
      <c r="AB93">
        <v>49.47</v>
      </c>
      <c r="AC93">
        <v>49.02</v>
      </c>
      <c r="AD93">
        <v>44.23</v>
      </c>
      <c r="AE93">
        <v>54.71</v>
      </c>
      <c r="AF93">
        <f t="shared" si="70"/>
        <v>49.47</v>
      </c>
      <c r="AG93">
        <v>10.47</v>
      </c>
      <c r="AH93">
        <v>49.47</v>
      </c>
      <c r="AI93">
        <v>-0.74</v>
      </c>
      <c r="AL93">
        <v>10.17</v>
      </c>
      <c r="AM93">
        <v>10.11</v>
      </c>
      <c r="AN93">
        <v>78.94</v>
      </c>
      <c r="AO93">
        <v>17.2</v>
      </c>
      <c r="AP93">
        <v>9.27</v>
      </c>
      <c r="AQ93">
        <v>73.16</v>
      </c>
      <c r="AR93">
        <v>16.46</v>
      </c>
      <c r="AS93">
        <v>24.13</v>
      </c>
      <c r="AT93">
        <v>50.07</v>
      </c>
      <c r="AU93">
        <v>49.97</v>
      </c>
      <c r="AV93">
        <v>78.94</v>
      </c>
      <c r="AW93">
        <v>21.2</v>
      </c>
      <c r="AX93">
        <f t="shared" si="71"/>
        <v>50.07</v>
      </c>
      <c r="AY93">
        <v>57.74</v>
      </c>
      <c r="AZ93">
        <v>50.07</v>
      </c>
      <c r="BA93">
        <v>0.03</v>
      </c>
      <c r="BP93" s="1"/>
      <c r="BQ93" s="1"/>
      <c r="BR93" s="1"/>
    </row>
    <row r="94" spans="1:70" x14ac:dyDescent="0.25">
      <c r="B94">
        <v>22.64</v>
      </c>
      <c r="C94">
        <v>23</v>
      </c>
      <c r="D94">
        <v>45.69</v>
      </c>
      <c r="E94">
        <v>24.82</v>
      </c>
      <c r="F94">
        <v>24.81</v>
      </c>
      <c r="G94">
        <v>49.1</v>
      </c>
      <c r="H94">
        <v>32.96</v>
      </c>
      <c r="I94">
        <v>39.99</v>
      </c>
      <c r="J94">
        <v>50.5</v>
      </c>
      <c r="K94">
        <v>49.97</v>
      </c>
      <c r="L94">
        <v>45.69</v>
      </c>
      <c r="M94">
        <v>55.31</v>
      </c>
      <c r="N94">
        <f t="shared" si="69"/>
        <v>50.5</v>
      </c>
      <c r="O94">
        <v>9.6199999999999992</v>
      </c>
      <c r="P94">
        <v>50.5</v>
      </c>
      <c r="Q94">
        <v>0.91</v>
      </c>
      <c r="T94">
        <v>22.63</v>
      </c>
      <c r="U94">
        <v>22.66</v>
      </c>
      <c r="V94">
        <v>50.39</v>
      </c>
      <c r="W94">
        <v>29.73</v>
      </c>
      <c r="X94">
        <v>24.07</v>
      </c>
      <c r="Y94">
        <v>53.28</v>
      </c>
      <c r="Z94">
        <v>33.159999999999997</v>
      </c>
      <c r="AA94">
        <v>43.63</v>
      </c>
      <c r="AB94">
        <v>50.01</v>
      </c>
      <c r="AC94">
        <v>49.59</v>
      </c>
      <c r="AD94">
        <v>50.39</v>
      </c>
      <c r="AE94">
        <v>49.62</v>
      </c>
      <c r="AF94">
        <f t="shared" si="70"/>
        <v>50.004999999999995</v>
      </c>
      <c r="AG94">
        <v>0.77</v>
      </c>
      <c r="AH94">
        <v>50.01</v>
      </c>
      <c r="AI94">
        <v>-0.1</v>
      </c>
      <c r="AL94">
        <v>22.63</v>
      </c>
      <c r="AM94">
        <v>21.8</v>
      </c>
      <c r="AN94">
        <v>59.14</v>
      </c>
      <c r="AO94">
        <v>28.87</v>
      </c>
      <c r="AP94">
        <v>21.03</v>
      </c>
      <c r="AQ94">
        <v>55.37</v>
      </c>
      <c r="AR94">
        <v>30.49</v>
      </c>
      <c r="AS94">
        <v>37.479999999999997</v>
      </c>
      <c r="AT94">
        <v>49.51</v>
      </c>
      <c r="AU94">
        <v>49.71</v>
      </c>
      <c r="AV94">
        <v>59.14</v>
      </c>
      <c r="AW94">
        <v>39.89</v>
      </c>
      <c r="AX94">
        <f t="shared" si="71"/>
        <v>49.515000000000001</v>
      </c>
      <c r="AY94">
        <v>19.25</v>
      </c>
      <c r="AZ94">
        <v>49.51</v>
      </c>
      <c r="BA94">
        <v>-1.35</v>
      </c>
      <c r="BP94" s="1"/>
      <c r="BQ94" s="1"/>
      <c r="BR94" s="1"/>
    </row>
    <row r="95" spans="1:70" x14ac:dyDescent="0.25">
      <c r="B95">
        <v>16.420000000000002</v>
      </c>
      <c r="C95">
        <v>15.55</v>
      </c>
      <c r="D95">
        <v>51.32</v>
      </c>
      <c r="E95">
        <v>21.33</v>
      </c>
      <c r="F95">
        <v>20.059999999999999</v>
      </c>
      <c r="G95">
        <v>64.23</v>
      </c>
      <c r="H95">
        <v>30.57</v>
      </c>
      <c r="I95">
        <v>36.450000000000003</v>
      </c>
      <c r="J95">
        <v>49.34</v>
      </c>
      <c r="K95">
        <v>49.38</v>
      </c>
      <c r="L95">
        <v>51.32</v>
      </c>
      <c r="M95">
        <v>47.36</v>
      </c>
      <c r="N95">
        <f t="shared" si="69"/>
        <v>49.34</v>
      </c>
      <c r="O95">
        <v>3.97</v>
      </c>
      <c r="P95">
        <v>49.34</v>
      </c>
      <c r="Q95">
        <v>-1.56</v>
      </c>
      <c r="T95">
        <v>16.34</v>
      </c>
      <c r="U95">
        <v>15.86</v>
      </c>
      <c r="V95">
        <v>49.01</v>
      </c>
      <c r="W95">
        <v>22.34</v>
      </c>
      <c r="X95">
        <v>16.899999999999999</v>
      </c>
      <c r="Y95">
        <v>51.35</v>
      </c>
      <c r="Z95">
        <v>25.43</v>
      </c>
      <c r="AA95">
        <v>41.02</v>
      </c>
      <c r="AB95">
        <v>49.47</v>
      </c>
      <c r="AC95">
        <v>48.87</v>
      </c>
      <c r="AD95">
        <v>49.01</v>
      </c>
      <c r="AE95">
        <v>49.94</v>
      </c>
      <c r="AF95">
        <f t="shared" si="70"/>
        <v>49.474999999999994</v>
      </c>
      <c r="AG95">
        <v>0.93</v>
      </c>
      <c r="AH95">
        <v>49.47</v>
      </c>
      <c r="AI95">
        <v>-0.99</v>
      </c>
      <c r="AL95">
        <v>16.16</v>
      </c>
      <c r="AM95">
        <v>15.31</v>
      </c>
      <c r="AN95">
        <v>56.75</v>
      </c>
      <c r="AO95">
        <v>22.6</v>
      </c>
      <c r="AP95">
        <v>16.489999999999998</v>
      </c>
      <c r="AQ95">
        <v>59.15</v>
      </c>
      <c r="AR95">
        <v>25.79</v>
      </c>
      <c r="AS95">
        <v>36.409999999999997</v>
      </c>
      <c r="AT95">
        <v>48.83</v>
      </c>
      <c r="AU95">
        <v>48.57</v>
      </c>
      <c r="AV95">
        <v>56.75</v>
      </c>
      <c r="AW95">
        <v>40.9</v>
      </c>
      <c r="AX95">
        <f t="shared" si="71"/>
        <v>48.825000000000003</v>
      </c>
      <c r="AY95">
        <v>15.85</v>
      </c>
      <c r="AZ95">
        <v>48.83</v>
      </c>
      <c r="BA95">
        <v>-1.79</v>
      </c>
      <c r="BP95" s="1"/>
      <c r="BQ95" s="1"/>
      <c r="BR95" s="1"/>
    </row>
    <row r="96" spans="1:70" x14ac:dyDescent="0.25">
      <c r="B96" s="2">
        <f>AVERAGE(B90:B95)</f>
        <v>15.555</v>
      </c>
      <c r="C96" s="2">
        <f t="shared" ref="C96:Q96" si="72">AVERAGE(C90:C95)</f>
        <v>15.408333333333333</v>
      </c>
      <c r="D96" s="2">
        <f t="shared" si="72"/>
        <v>54.344999999999999</v>
      </c>
      <c r="E96" s="2">
        <f t="shared" si="72"/>
        <v>20.746666666666666</v>
      </c>
      <c r="F96" s="2">
        <f t="shared" si="72"/>
        <v>16.818333333333332</v>
      </c>
      <c r="G96" s="2">
        <f t="shared" si="72"/>
        <v>59.431666666666672</v>
      </c>
      <c r="H96" s="2">
        <f t="shared" si="72"/>
        <v>25.424999999999997</v>
      </c>
      <c r="I96" s="2">
        <f t="shared" si="72"/>
        <v>36.051666666666669</v>
      </c>
      <c r="J96" s="2">
        <f t="shared" si="72"/>
        <v>50.136666666666663</v>
      </c>
      <c r="K96" s="2">
        <f t="shared" si="72"/>
        <v>50.188333333333333</v>
      </c>
      <c r="L96" s="2">
        <f t="shared" si="72"/>
        <v>54.344999999999999</v>
      </c>
      <c r="M96" s="2">
        <f t="shared" si="72"/>
        <v>45.933333333333337</v>
      </c>
      <c r="N96" s="2">
        <f t="shared" si="72"/>
        <v>50.139166666666661</v>
      </c>
      <c r="O96" s="2">
        <f t="shared" si="72"/>
        <v>11.621666666666664</v>
      </c>
      <c r="P96" s="2">
        <f t="shared" si="72"/>
        <v>50.136666666666663</v>
      </c>
      <c r="Q96" s="2">
        <f t="shared" si="72"/>
        <v>0.26666666666666666</v>
      </c>
      <c r="T96" s="2">
        <f>AVERAGE(T90:T95)</f>
        <v>15.211666666666666</v>
      </c>
      <c r="U96" s="2">
        <f t="shared" ref="U96:AI96" si="73">AVERAGE(U90:U95)</f>
        <v>15.028333333333334</v>
      </c>
      <c r="V96" s="2">
        <f t="shared" si="73"/>
        <v>43.555</v>
      </c>
      <c r="W96" s="2">
        <f t="shared" si="73"/>
        <v>20.753333333333334</v>
      </c>
      <c r="X96" s="2">
        <f t="shared" si="73"/>
        <v>16.111666666666668</v>
      </c>
      <c r="Y96" s="2">
        <f t="shared" si="73"/>
        <v>47.38</v>
      </c>
      <c r="Z96" s="2">
        <f t="shared" si="73"/>
        <v>23.645</v>
      </c>
      <c r="AA96" s="2">
        <f t="shared" si="73"/>
        <v>42.516666666666666</v>
      </c>
      <c r="AB96" s="2">
        <f t="shared" si="73"/>
        <v>49.518333333333338</v>
      </c>
      <c r="AC96" s="2">
        <f t="shared" si="73"/>
        <v>49.199999999999996</v>
      </c>
      <c r="AD96" s="2">
        <f t="shared" si="73"/>
        <v>43.555</v>
      </c>
      <c r="AE96" s="2">
        <f t="shared" si="73"/>
        <v>55.478333333333332</v>
      </c>
      <c r="AF96" s="2">
        <f t="shared" si="73"/>
        <v>49.516666666666659</v>
      </c>
      <c r="AG96" s="2">
        <f t="shared" si="73"/>
        <v>12.178333333333333</v>
      </c>
      <c r="AH96" s="2">
        <f t="shared" si="73"/>
        <v>49.518333333333338</v>
      </c>
      <c r="AI96" s="2">
        <f t="shared" si="73"/>
        <v>-0.74833333333333341</v>
      </c>
      <c r="AL96" s="2">
        <f>AVERAGE(AL90:AL95)</f>
        <v>15.375</v>
      </c>
      <c r="AM96" s="2">
        <f t="shared" ref="AM96:BA96" si="74">AVERAGE(AM90:AM95)</f>
        <v>15.018333333333333</v>
      </c>
      <c r="AN96" s="2">
        <f t="shared" si="74"/>
        <v>61.703333333333326</v>
      </c>
      <c r="AO96" s="2">
        <f t="shared" si="74"/>
        <v>21.898333333333337</v>
      </c>
      <c r="AP96" s="2">
        <f t="shared" si="74"/>
        <v>14.674999999999999</v>
      </c>
      <c r="AQ96" s="2">
        <f t="shared" si="74"/>
        <v>58.901666666666664</v>
      </c>
      <c r="AR96" s="2">
        <f t="shared" si="74"/>
        <v>22.861666666666665</v>
      </c>
      <c r="AS96" s="2">
        <f t="shared" si="74"/>
        <v>34.443333333333335</v>
      </c>
      <c r="AT96" s="2">
        <f t="shared" si="74"/>
        <v>49.803333333333335</v>
      </c>
      <c r="AU96" s="2">
        <f t="shared" si="74"/>
        <v>49.726666666666667</v>
      </c>
      <c r="AV96" s="2">
        <f t="shared" si="74"/>
        <v>61.703333333333326</v>
      </c>
      <c r="AW96" s="2">
        <f t="shared" si="74"/>
        <v>37.904999999999994</v>
      </c>
      <c r="AX96" s="2">
        <f t="shared" si="74"/>
        <v>49.804166666666667</v>
      </c>
      <c r="AY96" s="2">
        <f t="shared" si="74"/>
        <v>23.8</v>
      </c>
      <c r="AZ96" s="2">
        <f t="shared" si="74"/>
        <v>49.803333333333335</v>
      </c>
      <c r="BA96" s="2">
        <f t="shared" si="74"/>
        <v>-0.36333333333333334</v>
      </c>
      <c r="BP96" s="2"/>
      <c r="BQ96" s="2"/>
      <c r="BR96" s="2"/>
    </row>
    <row r="99" spans="1:70" x14ac:dyDescent="0.25">
      <c r="A99" s="1" t="s">
        <v>32</v>
      </c>
      <c r="B99">
        <v>13.75</v>
      </c>
      <c r="C99">
        <v>14.27</v>
      </c>
      <c r="D99">
        <v>51.98</v>
      </c>
      <c r="E99">
        <v>21.94</v>
      </c>
      <c r="F99">
        <v>14.14</v>
      </c>
      <c r="G99">
        <v>51.99</v>
      </c>
      <c r="H99">
        <v>22.24</v>
      </c>
      <c r="I99">
        <v>49.06</v>
      </c>
      <c r="J99">
        <v>58.46</v>
      </c>
      <c r="K99">
        <v>61.23</v>
      </c>
      <c r="L99">
        <v>51.98</v>
      </c>
      <c r="M99">
        <v>64.94</v>
      </c>
      <c r="N99">
        <f>(L99+M99)/2</f>
        <v>58.459999999999994</v>
      </c>
      <c r="O99">
        <v>12.96</v>
      </c>
      <c r="P99">
        <v>58.46</v>
      </c>
      <c r="Q99">
        <v>10.5</v>
      </c>
      <c r="S99" s="1" t="s">
        <v>46</v>
      </c>
      <c r="T99">
        <v>13.67</v>
      </c>
      <c r="U99">
        <v>13.83</v>
      </c>
      <c r="V99">
        <v>51.11</v>
      </c>
      <c r="W99">
        <v>21.44</v>
      </c>
      <c r="X99">
        <v>13.97</v>
      </c>
      <c r="Y99">
        <v>52.68</v>
      </c>
      <c r="Z99">
        <v>22.08</v>
      </c>
      <c r="AA99">
        <v>48.35</v>
      </c>
      <c r="AB99">
        <v>57.45</v>
      </c>
      <c r="AC99">
        <v>60.17</v>
      </c>
      <c r="AD99">
        <v>51.11</v>
      </c>
      <c r="AE99">
        <v>63.78</v>
      </c>
      <c r="AF99">
        <f>(AD99+AE99)/2</f>
        <v>57.445</v>
      </c>
      <c r="AG99">
        <v>12.67</v>
      </c>
      <c r="AH99">
        <v>57.45</v>
      </c>
      <c r="AI99">
        <v>9.35</v>
      </c>
      <c r="AK99" s="1" t="s">
        <v>52</v>
      </c>
      <c r="AL99">
        <v>14.22</v>
      </c>
      <c r="AM99">
        <v>14.28</v>
      </c>
      <c r="AN99">
        <v>58.87</v>
      </c>
      <c r="AO99">
        <v>21.89</v>
      </c>
      <c r="AP99">
        <v>13.13</v>
      </c>
      <c r="AQ99">
        <v>56.37</v>
      </c>
      <c r="AR99">
        <v>21.3</v>
      </c>
      <c r="AS99">
        <v>46.45</v>
      </c>
      <c r="AT99">
        <v>58.85</v>
      </c>
      <c r="AU99">
        <v>61.77</v>
      </c>
      <c r="AV99">
        <v>58.87</v>
      </c>
      <c r="AW99">
        <v>58.82</v>
      </c>
      <c r="AX99">
        <f>(AV99+AW99)/2</f>
        <v>58.844999999999999</v>
      </c>
      <c r="AY99">
        <v>0.05</v>
      </c>
      <c r="AZ99">
        <v>58.85</v>
      </c>
      <c r="BA99">
        <v>11.07</v>
      </c>
      <c r="BP99" s="1">
        <f>(O99+AG99+AY99)/3</f>
        <v>8.56</v>
      </c>
      <c r="BQ99" s="1">
        <f t="shared" ref="BQ99:BQ104" si="75">(P99+AH99+AZ99)/3</f>
        <v>58.25333333333333</v>
      </c>
      <c r="BR99" s="1">
        <f t="shared" ref="BR99:BR104" si="76">(Q99+AI99+BA99)/3</f>
        <v>10.306666666666667</v>
      </c>
    </row>
    <row r="100" spans="1:70" x14ac:dyDescent="0.25">
      <c r="B100">
        <v>14.75</v>
      </c>
      <c r="C100">
        <v>14.98</v>
      </c>
      <c r="D100">
        <v>53.25</v>
      </c>
      <c r="E100">
        <v>22.27</v>
      </c>
      <c r="F100">
        <v>13.7</v>
      </c>
      <c r="G100">
        <v>51.22</v>
      </c>
      <c r="H100">
        <v>21.61</v>
      </c>
      <c r="I100">
        <v>48.89</v>
      </c>
      <c r="J100">
        <v>58.86</v>
      </c>
      <c r="K100">
        <v>61.43</v>
      </c>
      <c r="L100">
        <v>53.25</v>
      </c>
      <c r="M100">
        <v>64.48</v>
      </c>
      <c r="N100">
        <f t="shared" ref="N100:N104" si="77">(L100+M100)/2</f>
        <v>58.865000000000002</v>
      </c>
      <c r="O100">
        <v>11.23</v>
      </c>
      <c r="P100">
        <v>58.86</v>
      </c>
      <c r="Q100">
        <v>11.39</v>
      </c>
      <c r="T100">
        <v>14.88</v>
      </c>
      <c r="U100">
        <v>13.84</v>
      </c>
      <c r="V100">
        <v>52.84</v>
      </c>
      <c r="W100">
        <v>21.58</v>
      </c>
      <c r="X100">
        <v>14.36</v>
      </c>
      <c r="Y100">
        <v>54.74</v>
      </c>
      <c r="Z100">
        <v>22.75</v>
      </c>
      <c r="AA100">
        <v>48.34</v>
      </c>
      <c r="AB100">
        <v>58.21</v>
      </c>
      <c r="AC100">
        <v>60.94</v>
      </c>
      <c r="AD100">
        <v>52.84</v>
      </c>
      <c r="AE100">
        <v>63.58</v>
      </c>
      <c r="AF100">
        <f t="shared" ref="AF100:AF104" si="78">(AD100+AE100)/2</f>
        <v>58.21</v>
      </c>
      <c r="AG100">
        <v>10.74</v>
      </c>
      <c r="AH100">
        <v>58.21</v>
      </c>
      <c r="AI100">
        <v>10.15</v>
      </c>
      <c r="AL100">
        <v>14.92</v>
      </c>
      <c r="AM100">
        <v>14.94</v>
      </c>
      <c r="AN100">
        <v>61.37</v>
      </c>
      <c r="AO100">
        <v>22.79</v>
      </c>
      <c r="AP100">
        <v>12.94</v>
      </c>
      <c r="AQ100">
        <v>57.23</v>
      </c>
      <c r="AR100">
        <v>21.11</v>
      </c>
      <c r="AS100">
        <v>46.17</v>
      </c>
      <c r="AT100">
        <v>59.55</v>
      </c>
      <c r="AU100">
        <v>62.02</v>
      </c>
      <c r="AV100">
        <v>61.37</v>
      </c>
      <c r="AW100">
        <v>57.74</v>
      </c>
      <c r="AX100">
        <f t="shared" ref="AX100:AX104" si="79">(AV100+AW100)/2</f>
        <v>59.555</v>
      </c>
      <c r="AY100">
        <v>3.64</v>
      </c>
      <c r="AZ100">
        <v>59.55</v>
      </c>
      <c r="BA100">
        <v>12.07</v>
      </c>
      <c r="BP100" s="1">
        <f t="shared" ref="BP100:BP104" si="80">(O100+AG100+AY100)/3</f>
        <v>8.5366666666666671</v>
      </c>
      <c r="BQ100" s="1">
        <f t="shared" si="75"/>
        <v>58.873333333333335</v>
      </c>
      <c r="BR100" s="1">
        <f t="shared" si="76"/>
        <v>11.203333333333333</v>
      </c>
    </row>
    <row r="101" spans="1:70" x14ac:dyDescent="0.25">
      <c r="B101">
        <v>31.38</v>
      </c>
      <c r="C101">
        <v>29.95</v>
      </c>
      <c r="D101">
        <v>57.67</v>
      </c>
      <c r="E101">
        <v>38.71</v>
      </c>
      <c r="F101">
        <v>30.1</v>
      </c>
      <c r="G101">
        <v>57.44</v>
      </c>
      <c r="H101">
        <v>39.5</v>
      </c>
      <c r="I101">
        <v>54.25</v>
      </c>
      <c r="J101">
        <v>59.15</v>
      </c>
      <c r="K101">
        <v>62.18</v>
      </c>
      <c r="L101">
        <v>57.67</v>
      </c>
      <c r="M101">
        <v>60.63</v>
      </c>
      <c r="N101">
        <f t="shared" si="77"/>
        <v>59.150000000000006</v>
      </c>
      <c r="O101">
        <v>2.96</v>
      </c>
      <c r="P101">
        <v>59.15</v>
      </c>
      <c r="Q101">
        <v>15.15</v>
      </c>
      <c r="T101">
        <v>30.44</v>
      </c>
      <c r="U101">
        <v>28.37</v>
      </c>
      <c r="V101">
        <v>58.65</v>
      </c>
      <c r="W101">
        <v>37.68</v>
      </c>
      <c r="X101">
        <v>29.13</v>
      </c>
      <c r="Y101">
        <v>59.46</v>
      </c>
      <c r="Z101">
        <v>39.1</v>
      </c>
      <c r="AA101">
        <v>52.38</v>
      </c>
      <c r="AB101">
        <v>57.86</v>
      </c>
      <c r="AC101">
        <v>60.72</v>
      </c>
      <c r="AD101">
        <v>58.65</v>
      </c>
      <c r="AE101">
        <v>57.06</v>
      </c>
      <c r="AF101">
        <f t="shared" si="78"/>
        <v>57.855000000000004</v>
      </c>
      <c r="AG101">
        <v>1.59</v>
      </c>
      <c r="AH101">
        <v>57.86</v>
      </c>
      <c r="AI101">
        <v>13.05</v>
      </c>
      <c r="AL101">
        <v>31.62</v>
      </c>
      <c r="AM101">
        <v>29.72</v>
      </c>
      <c r="AN101">
        <v>59.89</v>
      </c>
      <c r="AO101">
        <v>38.020000000000003</v>
      </c>
      <c r="AP101">
        <v>28.33</v>
      </c>
      <c r="AQ101">
        <v>57.31</v>
      </c>
      <c r="AR101">
        <v>37.909999999999997</v>
      </c>
      <c r="AS101">
        <v>52.58</v>
      </c>
      <c r="AT101">
        <v>58.96</v>
      </c>
      <c r="AU101">
        <v>61.99</v>
      </c>
      <c r="AV101">
        <v>59.89</v>
      </c>
      <c r="AW101">
        <v>58.03</v>
      </c>
      <c r="AX101">
        <f t="shared" si="79"/>
        <v>58.96</v>
      </c>
      <c r="AY101">
        <v>1.87</v>
      </c>
      <c r="AZ101">
        <v>58.96</v>
      </c>
      <c r="BA101">
        <v>15</v>
      </c>
      <c r="BP101" s="1">
        <f t="shared" si="80"/>
        <v>2.14</v>
      </c>
      <c r="BQ101" s="1">
        <f t="shared" si="75"/>
        <v>58.656666666666666</v>
      </c>
      <c r="BR101" s="1">
        <f t="shared" si="76"/>
        <v>14.4</v>
      </c>
    </row>
    <row r="102" spans="1:70" x14ac:dyDescent="0.25">
      <c r="B102">
        <v>13.7</v>
      </c>
      <c r="C102">
        <v>14.53</v>
      </c>
      <c r="D102">
        <v>47.75</v>
      </c>
      <c r="E102">
        <v>21.76</v>
      </c>
      <c r="F102">
        <v>14.55</v>
      </c>
      <c r="G102">
        <v>48.11</v>
      </c>
      <c r="H102">
        <v>22.34</v>
      </c>
      <c r="I102">
        <v>50.2</v>
      </c>
      <c r="J102">
        <v>58.18</v>
      </c>
      <c r="K102">
        <v>60.67</v>
      </c>
      <c r="L102">
        <v>47.75</v>
      </c>
      <c r="M102">
        <v>68.62</v>
      </c>
      <c r="N102">
        <f t="shared" si="77"/>
        <v>58.185000000000002</v>
      </c>
      <c r="O102">
        <v>20.87</v>
      </c>
      <c r="P102">
        <v>58.18</v>
      </c>
      <c r="Q102">
        <v>10.41</v>
      </c>
      <c r="T102">
        <v>14.51</v>
      </c>
      <c r="U102">
        <v>14.1</v>
      </c>
      <c r="V102">
        <v>59.19</v>
      </c>
      <c r="W102">
        <v>21.72</v>
      </c>
      <c r="X102">
        <v>12.61</v>
      </c>
      <c r="Y102">
        <v>55.39</v>
      </c>
      <c r="Z102">
        <v>20.55</v>
      </c>
      <c r="AA102">
        <v>45.78</v>
      </c>
      <c r="AB102">
        <v>58.51</v>
      </c>
      <c r="AC102">
        <v>60.87</v>
      </c>
      <c r="AD102">
        <v>59.19</v>
      </c>
      <c r="AE102">
        <v>57.82</v>
      </c>
      <c r="AF102">
        <f t="shared" si="78"/>
        <v>58.504999999999995</v>
      </c>
      <c r="AG102">
        <v>1.37</v>
      </c>
      <c r="AH102">
        <v>58.51</v>
      </c>
      <c r="AI102">
        <v>10.54</v>
      </c>
      <c r="AL102">
        <v>15.51</v>
      </c>
      <c r="AM102">
        <v>14.69</v>
      </c>
      <c r="AN102">
        <v>47.82</v>
      </c>
      <c r="AO102">
        <v>21.53</v>
      </c>
      <c r="AP102">
        <v>14.89</v>
      </c>
      <c r="AQ102">
        <v>48.23</v>
      </c>
      <c r="AR102">
        <v>22.75</v>
      </c>
      <c r="AS102">
        <v>50.1</v>
      </c>
      <c r="AT102">
        <v>58.6</v>
      </c>
      <c r="AU102">
        <v>61.3</v>
      </c>
      <c r="AV102">
        <v>47.82</v>
      </c>
      <c r="AW102">
        <v>69.38</v>
      </c>
      <c r="AX102">
        <f t="shared" si="79"/>
        <v>58.599999999999994</v>
      </c>
      <c r="AY102">
        <v>21.56</v>
      </c>
      <c r="AZ102">
        <v>58.6</v>
      </c>
      <c r="BA102">
        <v>11.01</v>
      </c>
      <c r="BP102" s="1">
        <f t="shared" si="80"/>
        <v>14.6</v>
      </c>
      <c r="BQ102" s="1">
        <f t="shared" si="75"/>
        <v>58.43</v>
      </c>
      <c r="BR102" s="1">
        <f t="shared" si="76"/>
        <v>10.653333333333334</v>
      </c>
    </row>
    <row r="103" spans="1:70" x14ac:dyDescent="0.25">
      <c r="B103">
        <v>28.53</v>
      </c>
      <c r="C103">
        <v>29.08</v>
      </c>
      <c r="D103">
        <v>51.23</v>
      </c>
      <c r="E103">
        <v>36.18</v>
      </c>
      <c r="F103">
        <v>28.99</v>
      </c>
      <c r="G103">
        <v>51.12</v>
      </c>
      <c r="H103">
        <v>37</v>
      </c>
      <c r="I103">
        <v>53.37</v>
      </c>
      <c r="J103">
        <v>57.12</v>
      </c>
      <c r="K103">
        <v>59.5</v>
      </c>
      <c r="L103">
        <v>51.23</v>
      </c>
      <c r="M103">
        <v>63.01</v>
      </c>
      <c r="N103">
        <f t="shared" si="77"/>
        <v>57.12</v>
      </c>
      <c r="O103">
        <v>11.78</v>
      </c>
      <c r="P103">
        <v>57.12</v>
      </c>
      <c r="Q103">
        <v>12.04</v>
      </c>
      <c r="T103">
        <v>28.51</v>
      </c>
      <c r="U103">
        <v>28.08</v>
      </c>
      <c r="V103">
        <v>53.71</v>
      </c>
      <c r="W103">
        <v>34.869999999999997</v>
      </c>
      <c r="X103">
        <v>26.37</v>
      </c>
      <c r="Y103">
        <v>50.19</v>
      </c>
      <c r="Z103">
        <v>34.58</v>
      </c>
      <c r="AA103">
        <v>51.18</v>
      </c>
      <c r="AB103">
        <v>56.66</v>
      </c>
      <c r="AC103">
        <v>59.12</v>
      </c>
      <c r="AD103">
        <v>53.71</v>
      </c>
      <c r="AE103">
        <v>59.6</v>
      </c>
      <c r="AF103">
        <f t="shared" si="78"/>
        <v>56.655000000000001</v>
      </c>
      <c r="AG103">
        <v>5.9</v>
      </c>
      <c r="AH103">
        <v>56.66</v>
      </c>
      <c r="AI103">
        <v>11.08</v>
      </c>
      <c r="AL103">
        <v>29.94</v>
      </c>
      <c r="AM103">
        <v>28.25</v>
      </c>
      <c r="AN103">
        <v>44.22</v>
      </c>
      <c r="AO103">
        <v>33.020000000000003</v>
      </c>
      <c r="AP103">
        <v>29.01</v>
      </c>
      <c r="AQ103">
        <v>44.01</v>
      </c>
      <c r="AR103">
        <v>34.97</v>
      </c>
      <c r="AS103">
        <v>53.15</v>
      </c>
      <c r="AT103">
        <v>56.27</v>
      </c>
      <c r="AU103">
        <v>59.57</v>
      </c>
      <c r="AV103">
        <v>44.22</v>
      </c>
      <c r="AW103">
        <v>68.31</v>
      </c>
      <c r="AX103">
        <f t="shared" si="79"/>
        <v>56.265000000000001</v>
      </c>
      <c r="AY103">
        <v>24.09</v>
      </c>
      <c r="AZ103">
        <v>56.27</v>
      </c>
      <c r="BA103">
        <v>10.75</v>
      </c>
      <c r="BP103" s="1">
        <f t="shared" si="80"/>
        <v>13.923333333333332</v>
      </c>
      <c r="BQ103" s="1">
        <f t="shared" si="75"/>
        <v>56.683333333333337</v>
      </c>
      <c r="BR103" s="1">
        <f t="shared" si="76"/>
        <v>11.29</v>
      </c>
    </row>
    <row r="104" spans="1:70" x14ac:dyDescent="0.25">
      <c r="B104">
        <v>25.77</v>
      </c>
      <c r="C104">
        <v>24.62</v>
      </c>
      <c r="D104">
        <v>55.31</v>
      </c>
      <c r="E104">
        <v>32.01</v>
      </c>
      <c r="F104">
        <v>24.86</v>
      </c>
      <c r="G104">
        <v>57.73</v>
      </c>
      <c r="H104">
        <v>34.75</v>
      </c>
      <c r="I104">
        <v>53.68</v>
      </c>
      <c r="J104">
        <v>60.69</v>
      </c>
      <c r="K104">
        <v>64.8</v>
      </c>
      <c r="L104">
        <v>55.31</v>
      </c>
      <c r="M104">
        <v>66.069999999999993</v>
      </c>
      <c r="N104">
        <f t="shared" si="77"/>
        <v>60.69</v>
      </c>
      <c r="O104">
        <v>10.77</v>
      </c>
      <c r="P104">
        <v>60.69</v>
      </c>
      <c r="Q104">
        <v>16.55</v>
      </c>
      <c r="T104">
        <v>23.97</v>
      </c>
      <c r="U104">
        <v>23.4</v>
      </c>
      <c r="V104">
        <v>53.63</v>
      </c>
      <c r="W104">
        <v>30.45</v>
      </c>
      <c r="X104">
        <v>23.61</v>
      </c>
      <c r="Y104">
        <v>55.44</v>
      </c>
      <c r="Z104">
        <v>33.119999999999997</v>
      </c>
      <c r="AA104">
        <v>52.26</v>
      </c>
      <c r="AB104">
        <v>59.34</v>
      </c>
      <c r="AC104">
        <v>63.81</v>
      </c>
      <c r="AD104">
        <v>53.63</v>
      </c>
      <c r="AE104">
        <v>65.06</v>
      </c>
      <c r="AF104">
        <f t="shared" si="78"/>
        <v>59.344999999999999</v>
      </c>
      <c r="AG104">
        <v>11.43</v>
      </c>
      <c r="AH104">
        <v>59.34</v>
      </c>
      <c r="AI104">
        <v>14.42</v>
      </c>
      <c r="AL104">
        <v>25.88</v>
      </c>
      <c r="AM104">
        <v>24.51</v>
      </c>
      <c r="AN104">
        <v>48.55</v>
      </c>
      <c r="AO104">
        <v>31.09</v>
      </c>
      <c r="AP104">
        <v>26.95</v>
      </c>
      <c r="AQ104">
        <v>53.12</v>
      </c>
      <c r="AR104">
        <v>35.76</v>
      </c>
      <c r="AS104">
        <v>54.88</v>
      </c>
      <c r="AT104">
        <v>60.03</v>
      </c>
      <c r="AU104">
        <v>65.14</v>
      </c>
      <c r="AV104">
        <v>48.55</v>
      </c>
      <c r="AW104">
        <v>71.5</v>
      </c>
      <c r="AX104">
        <f t="shared" si="79"/>
        <v>60.024999999999999</v>
      </c>
      <c r="AY104">
        <v>22.95</v>
      </c>
      <c r="AZ104">
        <v>60.03</v>
      </c>
      <c r="BA104">
        <v>15.77</v>
      </c>
      <c r="BP104" s="1">
        <f t="shared" si="80"/>
        <v>15.049999999999999</v>
      </c>
      <c r="BQ104" s="1">
        <f t="shared" si="75"/>
        <v>60.02</v>
      </c>
      <c r="BR104" s="1">
        <f t="shared" si="76"/>
        <v>15.579999999999998</v>
      </c>
    </row>
    <row r="105" spans="1:70" x14ac:dyDescent="0.25">
      <c r="B105" s="2">
        <f>AVERAGE(B99:B104)</f>
        <v>21.313333333333333</v>
      </c>
      <c r="C105" s="2">
        <f t="shared" ref="C105:Q105" si="81">AVERAGE(C99:C104)</f>
        <v>21.238333333333333</v>
      </c>
      <c r="D105" s="2">
        <f t="shared" si="81"/>
        <v>52.865000000000002</v>
      </c>
      <c r="E105" s="2">
        <f t="shared" si="81"/>
        <v>28.811666666666667</v>
      </c>
      <c r="F105" s="2">
        <f t="shared" si="81"/>
        <v>21.056666666666665</v>
      </c>
      <c r="G105" s="2">
        <f t="shared" si="81"/>
        <v>52.935000000000002</v>
      </c>
      <c r="H105" s="2">
        <f t="shared" si="81"/>
        <v>29.573333333333334</v>
      </c>
      <c r="I105" s="2">
        <f t="shared" si="81"/>
        <v>51.574999999999996</v>
      </c>
      <c r="J105" s="2">
        <f t="shared" si="81"/>
        <v>58.743333333333332</v>
      </c>
      <c r="K105" s="2">
        <f t="shared" si="81"/>
        <v>61.634999999999998</v>
      </c>
      <c r="L105" s="2">
        <f t="shared" si="81"/>
        <v>52.865000000000002</v>
      </c>
      <c r="M105" s="2">
        <f t="shared" si="81"/>
        <v>64.625</v>
      </c>
      <c r="N105" s="2">
        <f t="shared" si="81"/>
        <v>58.744999999999997</v>
      </c>
      <c r="O105" s="2">
        <f t="shared" si="81"/>
        <v>11.761666666666668</v>
      </c>
      <c r="P105" s="2">
        <f t="shared" si="81"/>
        <v>58.743333333333332</v>
      </c>
      <c r="Q105" s="2">
        <f t="shared" si="81"/>
        <v>12.673333333333334</v>
      </c>
      <c r="T105" s="2">
        <f>AVERAGE(T99:T104)</f>
        <v>20.996666666666666</v>
      </c>
      <c r="U105" s="2">
        <f t="shared" ref="U105:AI105" si="82">AVERAGE(U99:U104)</f>
        <v>20.27</v>
      </c>
      <c r="V105" s="2">
        <f t="shared" si="82"/>
        <v>54.854999999999997</v>
      </c>
      <c r="W105" s="2">
        <f t="shared" si="82"/>
        <v>27.956666666666663</v>
      </c>
      <c r="X105" s="2">
        <f t="shared" si="82"/>
        <v>20.008333333333333</v>
      </c>
      <c r="Y105" s="2">
        <f t="shared" si="82"/>
        <v>54.65</v>
      </c>
      <c r="Z105" s="2">
        <f t="shared" si="82"/>
        <v>28.696666666666669</v>
      </c>
      <c r="AA105" s="2">
        <f t="shared" si="82"/>
        <v>49.715000000000003</v>
      </c>
      <c r="AB105" s="2">
        <f t="shared" si="82"/>
        <v>58.004999999999995</v>
      </c>
      <c r="AC105" s="2">
        <f t="shared" si="82"/>
        <v>60.938333333333333</v>
      </c>
      <c r="AD105" s="2">
        <f t="shared" si="82"/>
        <v>54.854999999999997</v>
      </c>
      <c r="AE105" s="2">
        <f t="shared" si="82"/>
        <v>61.150000000000006</v>
      </c>
      <c r="AF105" s="2">
        <f t="shared" si="82"/>
        <v>58.002499999999998</v>
      </c>
      <c r="AG105" s="2">
        <f t="shared" si="82"/>
        <v>7.2833333333333341</v>
      </c>
      <c r="AH105" s="2">
        <f t="shared" si="82"/>
        <v>58.004999999999995</v>
      </c>
      <c r="AI105" s="2">
        <f t="shared" si="82"/>
        <v>11.431666666666665</v>
      </c>
      <c r="AL105" s="2">
        <f>AVERAGE(AL99:AL104)</f>
        <v>22.015000000000001</v>
      </c>
      <c r="AM105" s="2">
        <f t="shared" ref="AM105:BA105" si="83">AVERAGE(AM99:AM104)</f>
        <v>21.065000000000001</v>
      </c>
      <c r="AN105" s="2">
        <f t="shared" si="83"/>
        <v>53.453333333333326</v>
      </c>
      <c r="AO105" s="2">
        <f t="shared" si="83"/>
        <v>28.056666666666668</v>
      </c>
      <c r="AP105" s="2">
        <f t="shared" si="83"/>
        <v>20.875</v>
      </c>
      <c r="AQ105" s="2">
        <f t="shared" si="83"/>
        <v>52.711666666666666</v>
      </c>
      <c r="AR105" s="2">
        <f t="shared" si="83"/>
        <v>28.966666666666665</v>
      </c>
      <c r="AS105" s="2">
        <f t="shared" si="83"/>
        <v>50.555</v>
      </c>
      <c r="AT105" s="2">
        <f t="shared" si="83"/>
        <v>58.71</v>
      </c>
      <c r="AU105" s="2">
        <f t="shared" si="83"/>
        <v>61.964999999999996</v>
      </c>
      <c r="AV105" s="2">
        <f t="shared" si="83"/>
        <v>53.453333333333326</v>
      </c>
      <c r="AW105" s="2">
        <f t="shared" si="83"/>
        <v>63.963333333333331</v>
      </c>
      <c r="AX105" s="2">
        <f t="shared" si="83"/>
        <v>58.708333333333336</v>
      </c>
      <c r="AY105" s="2">
        <f t="shared" si="83"/>
        <v>12.36</v>
      </c>
      <c r="AZ105" s="2">
        <f t="shared" si="83"/>
        <v>58.71</v>
      </c>
      <c r="BA105" s="2">
        <f t="shared" si="83"/>
        <v>12.611666666666666</v>
      </c>
      <c r="BP105" s="2">
        <f>AVERAGE(BP99:BP104)</f>
        <v>10.468333333333332</v>
      </c>
      <c r="BQ105" s="2">
        <f t="shared" ref="BQ105:BR105" si="84">AVERAGE(BQ99:BQ104)</f>
        <v>58.486111111111107</v>
      </c>
      <c r="BR105" s="2">
        <f t="shared" si="84"/>
        <v>12.238888888888889</v>
      </c>
    </row>
    <row r="108" spans="1:70" x14ac:dyDescent="0.25">
      <c r="A108" s="1" t="s">
        <v>33</v>
      </c>
      <c r="B108">
        <v>15.56</v>
      </c>
      <c r="C108">
        <v>15.84</v>
      </c>
      <c r="D108">
        <v>53.22</v>
      </c>
      <c r="E108">
        <v>23.78</v>
      </c>
      <c r="F108">
        <v>14.96</v>
      </c>
      <c r="G108">
        <v>54.28</v>
      </c>
      <c r="H108">
        <v>23.45</v>
      </c>
      <c r="I108">
        <v>50.15</v>
      </c>
      <c r="J108">
        <v>59.44</v>
      </c>
      <c r="K108">
        <v>63.42</v>
      </c>
      <c r="L108">
        <v>53.22</v>
      </c>
      <c r="M108">
        <v>65.650000000000006</v>
      </c>
      <c r="N108">
        <f>(L108+M108)/2</f>
        <v>59.435000000000002</v>
      </c>
      <c r="O108">
        <v>12.43</v>
      </c>
      <c r="P108">
        <v>59.44</v>
      </c>
      <c r="Q108">
        <v>12.52</v>
      </c>
      <c r="S108" s="1" t="s">
        <v>33</v>
      </c>
      <c r="T108">
        <v>15.08</v>
      </c>
      <c r="U108">
        <v>14.83</v>
      </c>
      <c r="V108">
        <v>53.61</v>
      </c>
      <c r="W108">
        <v>22.72</v>
      </c>
      <c r="X108">
        <v>14.32</v>
      </c>
      <c r="Y108">
        <v>53.5</v>
      </c>
      <c r="Z108">
        <v>22.6</v>
      </c>
      <c r="AA108">
        <v>49.25</v>
      </c>
      <c r="AB108">
        <v>59.02</v>
      </c>
      <c r="AC108">
        <v>62.8</v>
      </c>
      <c r="AD108">
        <v>53.61</v>
      </c>
      <c r="AE108">
        <v>64.430000000000007</v>
      </c>
      <c r="AF108">
        <f>(AD108+AE108)/2</f>
        <v>59.02</v>
      </c>
      <c r="AG108">
        <v>10.82</v>
      </c>
      <c r="AH108">
        <v>59.02</v>
      </c>
      <c r="AI108">
        <v>11.39</v>
      </c>
      <c r="AK108" s="1" t="s">
        <v>33</v>
      </c>
      <c r="AL108">
        <v>16.29</v>
      </c>
      <c r="AM108">
        <v>14.7</v>
      </c>
      <c r="AN108">
        <v>62.87</v>
      </c>
      <c r="AO108">
        <v>23.17</v>
      </c>
      <c r="AP108">
        <v>13.73</v>
      </c>
      <c r="AQ108">
        <v>61.03</v>
      </c>
      <c r="AR108">
        <v>22.42</v>
      </c>
      <c r="AS108">
        <v>46.91</v>
      </c>
      <c r="AT108">
        <v>60.23</v>
      </c>
      <c r="AU108">
        <v>63.69</v>
      </c>
      <c r="AV108">
        <v>62.87</v>
      </c>
      <c r="AW108">
        <v>57.59</v>
      </c>
      <c r="AX108">
        <f>(AV108+AW108)/2</f>
        <v>60.230000000000004</v>
      </c>
      <c r="AY108">
        <v>5.28</v>
      </c>
      <c r="AZ108">
        <v>60.23</v>
      </c>
      <c r="BA108">
        <v>12.5</v>
      </c>
      <c r="BP108" s="1">
        <f>(O108+AG108+AY108)/3</f>
        <v>9.51</v>
      </c>
      <c r="BQ108" s="1">
        <f t="shared" ref="BQ108:BQ113" si="85">(P108+AH108+AZ108)/3</f>
        <v>59.563333333333333</v>
      </c>
      <c r="BR108" s="1">
        <f t="shared" ref="BR108:BR113" si="86">(Q108+AI108+BA108)/3</f>
        <v>12.136666666666665</v>
      </c>
    </row>
    <row r="109" spans="1:70" x14ac:dyDescent="0.25">
      <c r="B109">
        <v>14.94</v>
      </c>
      <c r="C109">
        <v>17.399999999999999</v>
      </c>
      <c r="D109">
        <v>53.86</v>
      </c>
      <c r="E109">
        <v>25.4</v>
      </c>
      <c r="F109">
        <v>15.71</v>
      </c>
      <c r="G109">
        <v>53.69</v>
      </c>
      <c r="H109">
        <v>24.3</v>
      </c>
      <c r="I109">
        <v>51.77</v>
      </c>
      <c r="J109">
        <v>60.95</v>
      </c>
      <c r="K109">
        <v>62.78</v>
      </c>
      <c r="L109">
        <v>53.86</v>
      </c>
      <c r="M109">
        <v>68.040000000000006</v>
      </c>
      <c r="N109">
        <f t="shared" ref="N109:N113" si="87">(L109+M109)/2</f>
        <v>60.95</v>
      </c>
      <c r="O109">
        <v>14.19</v>
      </c>
      <c r="P109">
        <v>60.95</v>
      </c>
      <c r="Q109">
        <v>14.85</v>
      </c>
      <c r="T109">
        <v>16.5</v>
      </c>
      <c r="U109">
        <v>15.63</v>
      </c>
      <c r="V109">
        <v>59.72</v>
      </c>
      <c r="W109">
        <v>23.92</v>
      </c>
      <c r="X109">
        <v>14.16</v>
      </c>
      <c r="Y109">
        <v>57.99</v>
      </c>
      <c r="Z109">
        <v>22.77</v>
      </c>
      <c r="AA109">
        <v>48.52</v>
      </c>
      <c r="AB109">
        <v>60.45</v>
      </c>
      <c r="AC109">
        <v>63.31</v>
      </c>
      <c r="AD109">
        <v>59.72</v>
      </c>
      <c r="AE109">
        <v>61.17</v>
      </c>
      <c r="AF109">
        <f t="shared" ref="AF109:AF113" si="88">(AD109+AE109)/2</f>
        <v>60.445</v>
      </c>
      <c r="AG109">
        <v>1.45</v>
      </c>
      <c r="AH109">
        <v>60.45</v>
      </c>
      <c r="AI109">
        <v>13.28</v>
      </c>
      <c r="AL109">
        <v>16.47</v>
      </c>
      <c r="AM109">
        <v>14.92</v>
      </c>
      <c r="AN109">
        <v>62.09</v>
      </c>
      <c r="AO109">
        <v>23.48</v>
      </c>
      <c r="AP109">
        <v>14</v>
      </c>
      <c r="AQ109">
        <v>61.75</v>
      </c>
      <c r="AR109">
        <v>22.83</v>
      </c>
      <c r="AS109">
        <v>47.14</v>
      </c>
      <c r="AT109">
        <v>59.97</v>
      </c>
      <c r="AU109">
        <v>63.23</v>
      </c>
      <c r="AV109">
        <v>62.09</v>
      </c>
      <c r="AW109">
        <v>57.84</v>
      </c>
      <c r="AX109">
        <f t="shared" ref="AX109:AX113" si="89">(AV109+AW109)/2</f>
        <v>59.965000000000003</v>
      </c>
      <c r="AY109">
        <v>4.25</v>
      </c>
      <c r="AZ109">
        <v>59.97</v>
      </c>
      <c r="BA109">
        <v>12.35</v>
      </c>
      <c r="BP109" s="1">
        <f t="shared" ref="BP109:BP112" si="90">(O109+AG109+AY109)/3</f>
        <v>6.63</v>
      </c>
      <c r="BQ109" s="1">
        <f t="shared" si="85"/>
        <v>60.456666666666671</v>
      </c>
      <c r="BR109" s="1">
        <f t="shared" si="86"/>
        <v>13.493333333333332</v>
      </c>
    </row>
    <row r="110" spans="1:70" x14ac:dyDescent="0.25">
      <c r="B110">
        <v>30.82</v>
      </c>
      <c r="C110">
        <v>30.1</v>
      </c>
      <c r="D110">
        <v>55.52</v>
      </c>
      <c r="E110">
        <v>38.049999999999997</v>
      </c>
      <c r="F110">
        <v>29.7</v>
      </c>
      <c r="G110">
        <v>54.64</v>
      </c>
      <c r="H110">
        <v>38.49</v>
      </c>
      <c r="I110">
        <v>54.28</v>
      </c>
      <c r="J110">
        <v>58.79</v>
      </c>
      <c r="K110">
        <v>61.57</v>
      </c>
      <c r="L110">
        <v>55.52</v>
      </c>
      <c r="M110">
        <v>62.06</v>
      </c>
      <c r="N110">
        <f t="shared" si="87"/>
        <v>58.790000000000006</v>
      </c>
      <c r="O110">
        <v>6.54</v>
      </c>
      <c r="P110">
        <v>58.79</v>
      </c>
      <c r="Q110">
        <v>14.71</v>
      </c>
      <c r="T110">
        <v>31.84</v>
      </c>
      <c r="U110">
        <v>28.91</v>
      </c>
      <c r="V110">
        <v>60.42</v>
      </c>
      <c r="W110">
        <v>37.93</v>
      </c>
      <c r="X110">
        <v>28.28</v>
      </c>
      <c r="Y110">
        <v>58.53</v>
      </c>
      <c r="Z110">
        <v>38.130000000000003</v>
      </c>
      <c r="AA110">
        <v>52.33</v>
      </c>
      <c r="AB110">
        <v>58.55</v>
      </c>
      <c r="AC110">
        <v>61.8</v>
      </c>
      <c r="AD110">
        <v>60.42</v>
      </c>
      <c r="AE110">
        <v>56.68</v>
      </c>
      <c r="AF110">
        <f t="shared" si="88"/>
        <v>58.55</v>
      </c>
      <c r="AG110">
        <v>3.74</v>
      </c>
      <c r="AH110">
        <v>58.55</v>
      </c>
      <c r="AI110">
        <v>14.03</v>
      </c>
      <c r="AL110">
        <v>33.22</v>
      </c>
      <c r="AM110">
        <v>30.07</v>
      </c>
      <c r="AN110">
        <v>59.08</v>
      </c>
      <c r="AO110">
        <v>38.200000000000003</v>
      </c>
      <c r="AP110">
        <v>29.2</v>
      </c>
      <c r="AQ110">
        <v>56.97</v>
      </c>
      <c r="AR110">
        <v>38.61</v>
      </c>
      <c r="AS110">
        <v>53.51</v>
      </c>
      <c r="AT110">
        <v>59.46</v>
      </c>
      <c r="AU110">
        <v>62.9</v>
      </c>
      <c r="AV110">
        <v>59.08</v>
      </c>
      <c r="AW110">
        <v>59.85</v>
      </c>
      <c r="AX110">
        <f t="shared" si="89"/>
        <v>59.465000000000003</v>
      </c>
      <c r="AY110">
        <v>0.77</v>
      </c>
      <c r="AZ110">
        <v>59.46</v>
      </c>
      <c r="BA110">
        <v>15.78</v>
      </c>
      <c r="BP110" s="1">
        <f t="shared" si="90"/>
        <v>3.6833333333333336</v>
      </c>
      <c r="BQ110" s="1">
        <f t="shared" si="85"/>
        <v>58.933333333333337</v>
      </c>
      <c r="BR110" s="1">
        <f t="shared" si="86"/>
        <v>14.840000000000002</v>
      </c>
    </row>
    <row r="111" spans="1:70" x14ac:dyDescent="0.25">
      <c r="B111">
        <v>14.01</v>
      </c>
      <c r="C111">
        <v>16.66</v>
      </c>
      <c r="D111">
        <v>53.34</v>
      </c>
      <c r="E111">
        <v>24.3</v>
      </c>
      <c r="F111">
        <v>14.88</v>
      </c>
      <c r="G111">
        <v>51.3</v>
      </c>
      <c r="H111">
        <v>23.06</v>
      </c>
      <c r="I111">
        <v>50.99</v>
      </c>
      <c r="J111">
        <v>60.47</v>
      </c>
      <c r="K111">
        <v>61.45</v>
      </c>
      <c r="L111">
        <v>53.34</v>
      </c>
      <c r="M111">
        <v>67.599999999999994</v>
      </c>
      <c r="N111">
        <f t="shared" si="87"/>
        <v>60.47</v>
      </c>
      <c r="O111">
        <v>14.27</v>
      </c>
      <c r="P111">
        <v>60.47</v>
      </c>
      <c r="Q111">
        <v>13.83</v>
      </c>
      <c r="T111">
        <v>16.8</v>
      </c>
      <c r="U111">
        <v>16.04</v>
      </c>
      <c r="V111">
        <v>54.6</v>
      </c>
      <c r="W111">
        <v>23.46</v>
      </c>
      <c r="X111">
        <v>13.95</v>
      </c>
      <c r="Y111">
        <v>51.7</v>
      </c>
      <c r="Z111">
        <v>21.97</v>
      </c>
      <c r="AA111">
        <v>49.46</v>
      </c>
      <c r="AB111">
        <v>59.79</v>
      </c>
      <c r="AC111">
        <v>62.74</v>
      </c>
      <c r="AD111">
        <v>54.6</v>
      </c>
      <c r="AE111">
        <v>64.989999999999995</v>
      </c>
      <c r="AF111">
        <f t="shared" si="88"/>
        <v>59.795000000000002</v>
      </c>
      <c r="AG111">
        <v>10.39</v>
      </c>
      <c r="AH111">
        <v>59.79</v>
      </c>
      <c r="AI111">
        <v>12.92</v>
      </c>
      <c r="AL111">
        <v>17</v>
      </c>
      <c r="AM111">
        <v>15.06</v>
      </c>
      <c r="AN111">
        <v>55.47</v>
      </c>
      <c r="AO111">
        <v>23.19</v>
      </c>
      <c r="AP111">
        <v>14.61</v>
      </c>
      <c r="AQ111">
        <v>55.75</v>
      </c>
      <c r="AR111">
        <v>23.15</v>
      </c>
      <c r="AS111">
        <v>49.3</v>
      </c>
      <c r="AT111">
        <v>59.64</v>
      </c>
      <c r="AU111">
        <v>62.71</v>
      </c>
      <c r="AV111">
        <v>55.47</v>
      </c>
      <c r="AW111">
        <v>63.81</v>
      </c>
      <c r="AX111">
        <f t="shared" si="89"/>
        <v>59.64</v>
      </c>
      <c r="AY111">
        <v>8.34</v>
      </c>
      <c r="AZ111">
        <v>59.64</v>
      </c>
      <c r="BA111">
        <v>12.17</v>
      </c>
      <c r="BP111" s="1">
        <f t="shared" si="90"/>
        <v>11</v>
      </c>
      <c r="BQ111" s="1">
        <f t="shared" si="85"/>
        <v>59.966666666666661</v>
      </c>
      <c r="BR111" s="1">
        <f t="shared" si="86"/>
        <v>12.973333333333334</v>
      </c>
    </row>
    <row r="112" spans="1:70" x14ac:dyDescent="0.25">
      <c r="B112">
        <v>28.94</v>
      </c>
      <c r="C112">
        <v>30.52</v>
      </c>
      <c r="D112">
        <v>49.25</v>
      </c>
      <c r="E112">
        <v>36.06</v>
      </c>
      <c r="F112">
        <v>29.67</v>
      </c>
      <c r="G112">
        <v>47.45</v>
      </c>
      <c r="H112">
        <v>36.51</v>
      </c>
      <c r="I112">
        <v>54.66</v>
      </c>
      <c r="J112">
        <v>58.28</v>
      </c>
      <c r="K112">
        <v>60.39</v>
      </c>
      <c r="L112">
        <v>49.25</v>
      </c>
      <c r="M112">
        <v>67.31</v>
      </c>
      <c r="N112">
        <f t="shared" si="87"/>
        <v>58.28</v>
      </c>
      <c r="O112">
        <v>18.059999999999999</v>
      </c>
      <c r="P112">
        <v>58.28</v>
      </c>
      <c r="Q112">
        <v>14.15</v>
      </c>
      <c r="T112">
        <v>30.57</v>
      </c>
      <c r="U112">
        <v>29.47</v>
      </c>
      <c r="V112">
        <v>53.87</v>
      </c>
      <c r="W112">
        <v>36.28</v>
      </c>
      <c r="X112">
        <v>28.16</v>
      </c>
      <c r="Y112">
        <v>50.64</v>
      </c>
      <c r="Z112">
        <v>36.19</v>
      </c>
      <c r="AA112">
        <v>53.19</v>
      </c>
      <c r="AB112">
        <v>58.2</v>
      </c>
      <c r="AC112">
        <v>60.97</v>
      </c>
      <c r="AD112">
        <v>53.87</v>
      </c>
      <c r="AE112">
        <v>62.52</v>
      </c>
      <c r="AF112">
        <f t="shared" si="88"/>
        <v>58.195</v>
      </c>
      <c r="AG112">
        <v>8.65</v>
      </c>
      <c r="AH112">
        <v>58.2</v>
      </c>
      <c r="AI112">
        <v>13.5</v>
      </c>
      <c r="AL112">
        <v>31.5</v>
      </c>
      <c r="AM112">
        <v>30.96</v>
      </c>
      <c r="AN112">
        <v>54.71</v>
      </c>
      <c r="AO112">
        <v>38.04</v>
      </c>
      <c r="AP112">
        <v>30.4</v>
      </c>
      <c r="AQ112">
        <v>52.99</v>
      </c>
      <c r="AR112">
        <v>38.64</v>
      </c>
      <c r="AS112">
        <v>55.04</v>
      </c>
      <c r="AT112">
        <v>59.65</v>
      </c>
      <c r="AU112">
        <v>62.58</v>
      </c>
      <c r="AV112">
        <v>54.71</v>
      </c>
      <c r="AW112">
        <v>64.59</v>
      </c>
      <c r="AX112">
        <f t="shared" si="89"/>
        <v>59.650000000000006</v>
      </c>
      <c r="AY112">
        <v>9.8800000000000008</v>
      </c>
      <c r="AZ112">
        <v>59.65</v>
      </c>
      <c r="BA112">
        <v>16.14</v>
      </c>
      <c r="BP112" s="1">
        <f t="shared" si="90"/>
        <v>12.196666666666667</v>
      </c>
      <c r="BQ112" s="1">
        <f t="shared" si="85"/>
        <v>58.71</v>
      </c>
      <c r="BR112" s="1">
        <f t="shared" si="86"/>
        <v>14.596666666666666</v>
      </c>
    </row>
    <row r="113" spans="2:70" x14ac:dyDescent="0.25">
      <c r="B113">
        <v>23.66</v>
      </c>
      <c r="C113">
        <v>24.29</v>
      </c>
      <c r="D113">
        <v>49.45</v>
      </c>
      <c r="E113">
        <v>30.14</v>
      </c>
      <c r="F113">
        <v>24.05</v>
      </c>
      <c r="G113">
        <v>49.55</v>
      </c>
      <c r="H113">
        <v>32.380000000000003</v>
      </c>
      <c r="I113">
        <v>53.66</v>
      </c>
      <c r="J113">
        <v>59.56</v>
      </c>
      <c r="K113">
        <v>63.24</v>
      </c>
      <c r="L113">
        <v>49.45</v>
      </c>
      <c r="M113">
        <v>69.66</v>
      </c>
      <c r="N113">
        <f t="shared" si="87"/>
        <v>59.555</v>
      </c>
      <c r="O113">
        <v>20.21</v>
      </c>
      <c r="P113">
        <v>59.56</v>
      </c>
      <c r="Q113">
        <v>14.69</v>
      </c>
      <c r="T113">
        <v>26.36</v>
      </c>
      <c r="U113">
        <v>24.46</v>
      </c>
      <c r="V113">
        <v>53.03</v>
      </c>
      <c r="W113">
        <v>30.79</v>
      </c>
      <c r="X113">
        <v>23.93</v>
      </c>
      <c r="Y113">
        <v>52.74</v>
      </c>
      <c r="Z113">
        <v>32.93</v>
      </c>
      <c r="AA113">
        <v>53.38</v>
      </c>
      <c r="AB113">
        <v>60.33</v>
      </c>
      <c r="AC113">
        <v>64.319999999999993</v>
      </c>
      <c r="AD113">
        <v>53.03</v>
      </c>
      <c r="AE113">
        <v>67.63</v>
      </c>
      <c r="AF113">
        <f t="shared" si="88"/>
        <v>60.33</v>
      </c>
      <c r="AG113">
        <v>14.6</v>
      </c>
      <c r="AH113">
        <v>60.33</v>
      </c>
      <c r="AI113">
        <v>15.67</v>
      </c>
      <c r="AL113">
        <v>26.06</v>
      </c>
      <c r="AM113">
        <v>24.98</v>
      </c>
      <c r="AN113">
        <v>54.95</v>
      </c>
      <c r="AO113">
        <v>32.14</v>
      </c>
      <c r="AP113">
        <v>25.16</v>
      </c>
      <c r="AQ113">
        <v>56.22</v>
      </c>
      <c r="AR113">
        <v>34.76</v>
      </c>
      <c r="AS113">
        <v>54.18</v>
      </c>
      <c r="AT113">
        <v>61.2</v>
      </c>
      <c r="AU113">
        <v>65.17</v>
      </c>
      <c r="AV113">
        <v>54.95</v>
      </c>
      <c r="AW113">
        <v>67.45</v>
      </c>
      <c r="AX113">
        <f t="shared" si="89"/>
        <v>61.2</v>
      </c>
      <c r="AY113">
        <v>12.5</v>
      </c>
      <c r="AZ113">
        <v>61.2</v>
      </c>
      <c r="BA113">
        <v>16.97</v>
      </c>
      <c r="BP113" s="1">
        <f>(O113+AG113+AY113)/3</f>
        <v>15.770000000000001</v>
      </c>
      <c r="BQ113" s="1">
        <f t="shared" si="85"/>
        <v>60.363333333333337</v>
      </c>
      <c r="BR113" s="1">
        <f t="shared" si="86"/>
        <v>15.776666666666666</v>
      </c>
    </row>
    <row r="114" spans="2:70" x14ac:dyDescent="0.25">
      <c r="B114" s="2">
        <f>AVERAGE(B108:B113)</f>
        <v>21.321666666666665</v>
      </c>
      <c r="C114" s="2">
        <f t="shared" ref="C114:Q114" si="91">AVERAGE(C108:C113)</f>
        <v>22.468333333333334</v>
      </c>
      <c r="D114" s="2">
        <f t="shared" si="91"/>
        <v>52.44</v>
      </c>
      <c r="E114" s="2">
        <f t="shared" si="91"/>
        <v>29.621666666666659</v>
      </c>
      <c r="F114" s="2">
        <f t="shared" si="91"/>
        <v>21.495000000000001</v>
      </c>
      <c r="G114" s="2">
        <f t="shared" si="91"/>
        <v>51.818333333333335</v>
      </c>
      <c r="H114" s="2">
        <f t="shared" si="91"/>
        <v>29.698333333333334</v>
      </c>
      <c r="I114" s="2">
        <f t="shared" si="91"/>
        <v>52.585000000000001</v>
      </c>
      <c r="J114" s="2">
        <f t="shared" si="91"/>
        <v>59.581666666666671</v>
      </c>
      <c r="K114" s="2">
        <f t="shared" si="91"/>
        <v>62.141666666666673</v>
      </c>
      <c r="L114" s="2">
        <f t="shared" si="91"/>
        <v>52.44</v>
      </c>
      <c r="M114" s="2">
        <f t="shared" si="91"/>
        <v>66.720000000000013</v>
      </c>
      <c r="N114" s="2">
        <f t="shared" si="91"/>
        <v>59.580000000000005</v>
      </c>
      <c r="O114" s="2">
        <f t="shared" si="91"/>
        <v>14.283333333333331</v>
      </c>
      <c r="P114" s="2">
        <f t="shared" si="91"/>
        <v>59.581666666666671</v>
      </c>
      <c r="Q114" s="2">
        <f t="shared" si="91"/>
        <v>14.125</v>
      </c>
      <c r="T114" s="2">
        <f>AVERAGE(T108:T113)</f>
        <v>22.858333333333331</v>
      </c>
      <c r="U114" s="2">
        <f t="shared" ref="U114:AI114" si="92">AVERAGE(U108:U113)</f>
        <v>21.556666666666668</v>
      </c>
      <c r="V114" s="2">
        <f t="shared" si="92"/>
        <v>55.875</v>
      </c>
      <c r="W114" s="2">
        <f t="shared" si="92"/>
        <v>29.183333333333334</v>
      </c>
      <c r="X114" s="2">
        <f t="shared" si="92"/>
        <v>20.466666666666669</v>
      </c>
      <c r="Y114" s="2">
        <f t="shared" si="92"/>
        <v>54.183333333333337</v>
      </c>
      <c r="Z114" s="2">
        <f t="shared" si="92"/>
        <v>29.098333333333333</v>
      </c>
      <c r="AA114" s="2">
        <f t="shared" si="92"/>
        <v>51.021666666666675</v>
      </c>
      <c r="AB114" s="2">
        <f t="shared" si="92"/>
        <v>59.389999999999993</v>
      </c>
      <c r="AC114" s="2">
        <f t="shared" si="92"/>
        <v>62.656666666666666</v>
      </c>
      <c r="AD114" s="2">
        <f t="shared" si="92"/>
        <v>55.875</v>
      </c>
      <c r="AE114" s="2">
        <f t="shared" si="92"/>
        <v>62.903333333333329</v>
      </c>
      <c r="AF114" s="2">
        <f t="shared" si="92"/>
        <v>59.389166666666661</v>
      </c>
      <c r="AG114" s="2">
        <f t="shared" si="92"/>
        <v>8.2750000000000004</v>
      </c>
      <c r="AH114" s="2">
        <f t="shared" si="92"/>
        <v>59.389999999999993</v>
      </c>
      <c r="AI114" s="2">
        <f t="shared" si="92"/>
        <v>13.465000000000002</v>
      </c>
      <c r="AL114" s="2">
        <f>AVERAGE(AL108:AL113)</f>
        <v>23.423333333333332</v>
      </c>
      <c r="AM114" s="2">
        <f t="shared" ref="AM114:BA114" si="93">AVERAGE(AM108:AM113)</f>
        <v>21.781666666666666</v>
      </c>
      <c r="AN114" s="2">
        <f t="shared" si="93"/>
        <v>58.195</v>
      </c>
      <c r="AO114" s="2">
        <f t="shared" si="93"/>
        <v>29.703333333333337</v>
      </c>
      <c r="AP114" s="2">
        <f t="shared" si="93"/>
        <v>21.183333333333334</v>
      </c>
      <c r="AQ114" s="2">
        <f t="shared" si="93"/>
        <v>57.451666666666675</v>
      </c>
      <c r="AR114" s="2">
        <f t="shared" si="93"/>
        <v>30.068333333333328</v>
      </c>
      <c r="AS114" s="2">
        <f t="shared" si="93"/>
        <v>51.013333333333328</v>
      </c>
      <c r="AT114" s="2">
        <f t="shared" si="93"/>
        <v>60.024999999999999</v>
      </c>
      <c r="AU114" s="2">
        <f t="shared" si="93"/>
        <v>63.38</v>
      </c>
      <c r="AV114" s="2">
        <f t="shared" si="93"/>
        <v>58.195</v>
      </c>
      <c r="AW114" s="2">
        <f t="shared" si="93"/>
        <v>61.854999999999997</v>
      </c>
      <c r="AX114" s="2">
        <f t="shared" si="93"/>
        <v>60.025000000000006</v>
      </c>
      <c r="AY114" s="2">
        <f t="shared" si="93"/>
        <v>6.8366666666666669</v>
      </c>
      <c r="AZ114" s="2">
        <f t="shared" si="93"/>
        <v>60.024999999999999</v>
      </c>
      <c r="BA114" s="2">
        <f t="shared" si="93"/>
        <v>14.318333333333333</v>
      </c>
      <c r="BP114" s="2">
        <f>AVERAGE(BP108:BP113)</f>
        <v>9.7983333333333338</v>
      </c>
      <c r="BQ114" s="2">
        <f t="shared" ref="BQ114:BR114" si="94">AVERAGE(BQ108:BQ113)</f>
        <v>59.665555555555557</v>
      </c>
      <c r="BR114" s="2">
        <f t="shared" si="94"/>
        <v>13.969444444444447</v>
      </c>
    </row>
    <row r="122" spans="2:70" x14ac:dyDescent="0.2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31" spans="1:17" x14ac:dyDescent="0.25">
      <c r="A131" s="2" t="s">
        <v>39</v>
      </c>
    </row>
    <row r="132" spans="1:17" x14ac:dyDescent="0.25">
      <c r="A132" s="2" t="s">
        <v>61</v>
      </c>
    </row>
    <row r="133" spans="1:17" x14ac:dyDescent="0.25">
      <c r="B133" t="s">
        <v>0</v>
      </c>
      <c r="C133" t="s">
        <v>1</v>
      </c>
      <c r="D133" t="s">
        <v>2</v>
      </c>
      <c r="E133" t="s">
        <v>3</v>
      </c>
      <c r="F133" t="s">
        <v>4</v>
      </c>
      <c r="G133" t="s">
        <v>5</v>
      </c>
      <c r="H133" t="s">
        <v>6</v>
      </c>
      <c r="I133" t="s">
        <v>7</v>
      </c>
      <c r="J133" t="s">
        <v>8</v>
      </c>
      <c r="K133" t="s">
        <v>9</v>
      </c>
      <c r="L133" s="2" t="s">
        <v>10</v>
      </c>
      <c r="M133" s="2" t="s">
        <v>11</v>
      </c>
      <c r="N133" s="2" t="s">
        <v>12</v>
      </c>
      <c r="O133" s="2" t="s">
        <v>13</v>
      </c>
      <c r="P133" t="s">
        <v>14</v>
      </c>
      <c r="Q133" s="2" t="s">
        <v>15</v>
      </c>
    </row>
    <row r="134" spans="1:17" x14ac:dyDescent="0.25">
      <c r="I134">
        <v>52.78</v>
      </c>
      <c r="J134">
        <v>71.27</v>
      </c>
      <c r="K134">
        <v>78.17</v>
      </c>
      <c r="L134">
        <v>68.06</v>
      </c>
      <c r="M134">
        <v>74.47</v>
      </c>
      <c r="N134">
        <f>(L134+M134)/2</f>
        <v>71.265000000000001</v>
      </c>
      <c r="O134" s="2">
        <f>ABS(L134-M134)</f>
        <v>6.4099999999999966</v>
      </c>
      <c r="Q134">
        <v>20.329999999999998</v>
      </c>
    </row>
    <row r="135" spans="1:17" x14ac:dyDescent="0.25">
      <c r="I135">
        <v>52.94</v>
      </c>
      <c r="J135">
        <v>70.42</v>
      </c>
      <c r="K135">
        <v>78.02</v>
      </c>
      <c r="L135">
        <v>66.55</v>
      </c>
      <c r="M135">
        <v>74.290000000000006</v>
      </c>
      <c r="N135">
        <f t="shared" ref="N135:N136" si="95">(L135+M135)/2</f>
        <v>70.42</v>
      </c>
      <c r="O135" s="2">
        <f t="shared" ref="O135:O136" si="96">ABS(L135-M135)</f>
        <v>7.7400000000000091</v>
      </c>
      <c r="Q135">
        <v>20.48</v>
      </c>
    </row>
    <row r="136" spans="1:17" x14ac:dyDescent="0.25">
      <c r="I136">
        <v>52.75</v>
      </c>
      <c r="J136">
        <v>71.150000000000006</v>
      </c>
      <c r="K136">
        <v>78.02</v>
      </c>
      <c r="L136">
        <v>68.22</v>
      </c>
      <c r="M136">
        <v>74.09</v>
      </c>
      <c r="N136">
        <f t="shared" si="95"/>
        <v>71.155000000000001</v>
      </c>
      <c r="O136" s="2">
        <f t="shared" si="96"/>
        <v>5.8700000000000045</v>
      </c>
      <c r="Q136">
        <v>20.41</v>
      </c>
    </row>
    <row r="137" spans="1:17" x14ac:dyDescent="0.25">
      <c r="I137" s="2">
        <f t="shared" ref="I137:O137" si="97">AVERAGE(I134:I136)</f>
        <v>52.823333333333331</v>
      </c>
      <c r="J137" s="2">
        <f t="shared" si="97"/>
        <v>70.946666666666673</v>
      </c>
      <c r="K137" s="2">
        <f t="shared" si="97"/>
        <v>78.069999999999993</v>
      </c>
      <c r="L137" s="2">
        <f t="shared" si="97"/>
        <v>67.61</v>
      </c>
      <c r="M137" s="2">
        <f t="shared" si="97"/>
        <v>74.283333333333331</v>
      </c>
      <c r="N137" s="2">
        <f t="shared" si="97"/>
        <v>70.946666666666673</v>
      </c>
      <c r="O137" s="2">
        <f t="shared" si="97"/>
        <v>6.6733333333333364</v>
      </c>
      <c r="Q137" s="2">
        <f t="shared" ref="Q137" si="98">AVERAGE(Q134:Q136)</f>
        <v>20.406666666666666</v>
      </c>
    </row>
    <row r="138" spans="1:17" x14ac:dyDescent="0.25">
      <c r="I138" s="2">
        <f t="shared" ref="I138:O138" si="99">_xlfn.STDEV.S(I134:I136)</f>
        <v>0.10214368964029553</v>
      </c>
      <c r="J138" s="2">
        <f t="shared" si="99"/>
        <v>0.46003623045726766</v>
      </c>
      <c r="K138" s="2">
        <f t="shared" si="99"/>
        <v>8.6602540378447154E-2</v>
      </c>
      <c r="L138" s="2">
        <f t="shared" si="99"/>
        <v>0.92146622292952407</v>
      </c>
      <c r="M138" s="2">
        <f t="shared" si="99"/>
        <v>0.1900876990584412</v>
      </c>
      <c r="N138" s="2">
        <f t="shared" si="99"/>
        <v>0.45941085460982833</v>
      </c>
      <c r="O138" s="2">
        <f t="shared" si="99"/>
        <v>0.96241016896817078</v>
      </c>
      <c r="Q138" s="2">
        <f t="shared" ref="Q138" si="100">_xlfn.STDEV.S(Q134:Q136)</f>
        <v>7.5055534994652423E-2</v>
      </c>
    </row>
    <row r="139" spans="1:17" x14ac:dyDescent="0.25">
      <c r="L139" s="2"/>
      <c r="M139" s="2"/>
      <c r="N139" s="2"/>
      <c r="O139" s="2"/>
      <c r="Q139" s="2"/>
    </row>
    <row r="140" spans="1:17" x14ac:dyDescent="0.25">
      <c r="A140" t="s">
        <v>62</v>
      </c>
      <c r="B140">
        <v>15.523333333333333</v>
      </c>
      <c r="C140">
        <v>15.448333333333336</v>
      </c>
      <c r="D140">
        <v>47.273333333333333</v>
      </c>
      <c r="E140">
        <v>21.943333333333332</v>
      </c>
      <c r="F140">
        <v>15.468333333333334</v>
      </c>
      <c r="G140">
        <v>47.425000000000004</v>
      </c>
      <c r="H140">
        <v>22.806666666666668</v>
      </c>
      <c r="I140">
        <v>43.323333333333331</v>
      </c>
      <c r="J140">
        <v>50.221666666666664</v>
      </c>
      <c r="K140">
        <v>50.248333333333335</v>
      </c>
      <c r="L140">
        <v>47.273333333333333</v>
      </c>
      <c r="M140">
        <v>53.17166666666666</v>
      </c>
      <c r="N140">
        <v>50.222499999999997</v>
      </c>
      <c r="O140">
        <v>5.8966666666666674</v>
      </c>
      <c r="P140">
        <v>50.221666666666664</v>
      </c>
      <c r="Q140">
        <v>0.36999999999999994</v>
      </c>
    </row>
    <row r="141" spans="1:17" x14ac:dyDescent="0.25">
      <c r="B141">
        <v>15.321666666666664</v>
      </c>
      <c r="C141">
        <v>15.265000000000001</v>
      </c>
      <c r="D141">
        <v>51.741666666666667</v>
      </c>
      <c r="E141">
        <v>22.261666666666667</v>
      </c>
      <c r="F141">
        <v>15.409999999999997</v>
      </c>
      <c r="G141">
        <v>52.423333333333325</v>
      </c>
      <c r="H141">
        <v>23.099999999999998</v>
      </c>
      <c r="I141">
        <v>41.553333333333327</v>
      </c>
      <c r="J141">
        <v>49.961666666666666</v>
      </c>
      <c r="K141">
        <v>49.805</v>
      </c>
      <c r="L141">
        <v>51.741666666666667</v>
      </c>
      <c r="M141">
        <v>48.181666666666672</v>
      </c>
      <c r="N141">
        <v>49.961666666666666</v>
      </c>
      <c r="O141">
        <v>5.8616666666666655</v>
      </c>
      <c r="P141">
        <v>49.961666666666666</v>
      </c>
      <c r="Q141">
        <v>-7.166666666666667E-2</v>
      </c>
    </row>
    <row r="142" spans="1:17" x14ac:dyDescent="0.25">
      <c r="B142">
        <v>15.538333333333332</v>
      </c>
      <c r="C142">
        <v>15.376666666666667</v>
      </c>
      <c r="D142">
        <v>44.305000000000007</v>
      </c>
      <c r="E142">
        <v>21.500000000000004</v>
      </c>
      <c r="F142">
        <v>15.313333333333334</v>
      </c>
      <c r="G142">
        <v>43.836666666666666</v>
      </c>
      <c r="H142">
        <v>22.185000000000002</v>
      </c>
      <c r="I142">
        <v>44.254999999999995</v>
      </c>
      <c r="J142">
        <v>50.133333333333333</v>
      </c>
      <c r="K142">
        <v>50.248333333333335</v>
      </c>
      <c r="L142">
        <v>44.305000000000007</v>
      </c>
      <c r="M142">
        <v>55.961666666666673</v>
      </c>
      <c r="N142">
        <v>50.133333333333333</v>
      </c>
      <c r="O142">
        <v>11.655000000000001</v>
      </c>
      <c r="P142">
        <v>50.133333333333333</v>
      </c>
      <c r="Q142">
        <v>0.20166666666666666</v>
      </c>
    </row>
    <row r="143" spans="1:17" x14ac:dyDescent="0.25">
      <c r="B143" s="2">
        <f>AVERAGE(B140:B142)</f>
        <v>15.46111111111111</v>
      </c>
      <c r="C143" s="2">
        <f t="shared" ref="C143:Q143" si="101">AVERAGE(C140:C142)</f>
        <v>15.363333333333335</v>
      </c>
      <c r="D143" s="2">
        <f t="shared" si="101"/>
        <v>47.773333333333333</v>
      </c>
      <c r="E143" s="2">
        <f t="shared" si="101"/>
        <v>21.901666666666667</v>
      </c>
      <c r="F143" s="2">
        <f t="shared" si="101"/>
        <v>15.39722222222222</v>
      </c>
      <c r="G143" s="2">
        <f t="shared" si="101"/>
        <v>47.895000000000003</v>
      </c>
      <c r="H143" s="2">
        <f t="shared" si="101"/>
        <v>22.697222222222223</v>
      </c>
      <c r="I143" s="2">
        <f t="shared" si="101"/>
        <v>43.043888888888887</v>
      </c>
      <c r="J143" s="2">
        <f t="shared" si="101"/>
        <v>50.105555555555554</v>
      </c>
      <c r="K143" s="2">
        <f t="shared" si="101"/>
        <v>50.100555555555559</v>
      </c>
      <c r="L143" s="2">
        <f t="shared" si="101"/>
        <v>47.773333333333333</v>
      </c>
      <c r="M143" s="2">
        <f t="shared" si="101"/>
        <v>52.438333333333333</v>
      </c>
      <c r="N143" s="2">
        <f t="shared" si="101"/>
        <v>50.105833333333329</v>
      </c>
      <c r="O143" s="2">
        <f t="shared" si="101"/>
        <v>7.804444444444445</v>
      </c>
      <c r="P143" s="2">
        <f t="shared" si="101"/>
        <v>50.105555555555554</v>
      </c>
      <c r="Q143" s="2">
        <f t="shared" si="101"/>
        <v>0.16666666666666666</v>
      </c>
    </row>
    <row r="144" spans="1:17" x14ac:dyDescent="0.25">
      <c r="B144" s="2">
        <f>_xlfn.STDEV.S(B140:B142)</f>
        <v>0.12099510244144246</v>
      </c>
      <c r="C144" s="2">
        <f t="shared" ref="C144:Q144" si="102">_xlfn.STDEV.S(C140:C142)</f>
        <v>9.2391077010235564E-2</v>
      </c>
      <c r="D144" s="2">
        <f t="shared" si="102"/>
        <v>3.7434613364876306</v>
      </c>
      <c r="E144" s="2">
        <f t="shared" si="102"/>
        <v>0.38253903214065571</v>
      </c>
      <c r="F144" s="2">
        <f t="shared" si="102"/>
        <v>7.8286037731536792E-2</v>
      </c>
      <c r="G144" s="2">
        <f t="shared" si="102"/>
        <v>4.3125846207478729</v>
      </c>
      <c r="H144" s="2">
        <f t="shared" si="102"/>
        <v>0.46721495568401167</v>
      </c>
      <c r="I144" s="2">
        <f t="shared" si="102"/>
        <v>1.3723401883616886</v>
      </c>
      <c r="J144" s="2">
        <f t="shared" si="102"/>
        <v>0.13220704861581126</v>
      </c>
      <c r="K144" s="2">
        <f t="shared" si="102"/>
        <v>0.25595861934073511</v>
      </c>
      <c r="L144" s="2">
        <f t="shared" si="102"/>
        <v>3.7434613364876306</v>
      </c>
      <c r="M144" s="2">
        <f t="shared" si="102"/>
        <v>3.94150140597886</v>
      </c>
      <c r="N144" s="2">
        <f t="shared" si="102"/>
        <v>0.13257335495658293</v>
      </c>
      <c r="O144" s="2">
        <f t="shared" si="102"/>
        <v>3.3347248484417462</v>
      </c>
      <c r="P144" s="2">
        <f t="shared" si="102"/>
        <v>0.13220704861581126</v>
      </c>
      <c r="Q144" s="2">
        <f t="shared" si="102"/>
        <v>0.22290381582896041</v>
      </c>
    </row>
    <row r="146" spans="1:17" x14ac:dyDescent="0.25">
      <c r="A146" t="s">
        <v>63</v>
      </c>
      <c r="B146">
        <v>15.625</v>
      </c>
      <c r="C146">
        <v>15.654999999999999</v>
      </c>
      <c r="D146">
        <v>49.82</v>
      </c>
      <c r="E146">
        <v>22.518333333333331</v>
      </c>
      <c r="F146">
        <v>15.493333333333332</v>
      </c>
      <c r="G146">
        <v>49.166666666666664</v>
      </c>
      <c r="H146">
        <v>23.016666666666666</v>
      </c>
      <c r="I146">
        <v>43.233333333333327</v>
      </c>
      <c r="J146">
        <v>50.783333333333339</v>
      </c>
      <c r="K146">
        <v>50.77</v>
      </c>
      <c r="L146">
        <v>49.82</v>
      </c>
      <c r="M146">
        <v>51.741666666666667</v>
      </c>
      <c r="N146">
        <v>50.780833333333334</v>
      </c>
      <c r="O146">
        <v>3.9866666666666668</v>
      </c>
      <c r="P146">
        <v>50.783333333333339</v>
      </c>
      <c r="Q146">
        <v>1.0050000000000001</v>
      </c>
    </row>
    <row r="147" spans="1:17" x14ac:dyDescent="0.25">
      <c r="B147">
        <v>15.6</v>
      </c>
      <c r="C147">
        <v>15.468333333333334</v>
      </c>
      <c r="D147">
        <v>52.484999999999992</v>
      </c>
      <c r="E147">
        <v>22.638333333333332</v>
      </c>
      <c r="F147">
        <v>15.423333333333332</v>
      </c>
      <c r="G147">
        <v>52.533333333333331</v>
      </c>
      <c r="H147">
        <v>23.290000000000003</v>
      </c>
      <c r="I147">
        <v>41.786666666666669</v>
      </c>
      <c r="J147">
        <v>50.271666666666668</v>
      </c>
      <c r="K147">
        <v>50.241666666666667</v>
      </c>
      <c r="L147">
        <v>52.484999999999992</v>
      </c>
      <c r="M147">
        <v>48.06</v>
      </c>
      <c r="N147">
        <v>50.272500000000001</v>
      </c>
      <c r="O147">
        <v>5.921666666666666</v>
      </c>
      <c r="P147">
        <v>50.271666666666668</v>
      </c>
      <c r="Q147">
        <v>0.45333333333333337</v>
      </c>
    </row>
    <row r="148" spans="1:17" x14ac:dyDescent="0.25">
      <c r="B148">
        <v>15.933333333333332</v>
      </c>
      <c r="C148">
        <v>15.683333333333332</v>
      </c>
      <c r="D148">
        <v>47.349999999999994</v>
      </c>
      <c r="E148">
        <v>22.281666666666666</v>
      </c>
      <c r="F148">
        <v>15.725</v>
      </c>
      <c r="G148">
        <v>47.066666666666663</v>
      </c>
      <c r="H148">
        <v>22.953333333333333</v>
      </c>
      <c r="I148">
        <v>43.96</v>
      </c>
      <c r="J148">
        <v>50.71</v>
      </c>
      <c r="K148">
        <v>51.048333333333325</v>
      </c>
      <c r="L148">
        <v>47.349999999999994</v>
      </c>
      <c r="M148">
        <v>54.068333333333335</v>
      </c>
      <c r="N148">
        <v>50.709166666666668</v>
      </c>
      <c r="O148">
        <v>8.706666666666667</v>
      </c>
      <c r="P148">
        <v>50.71</v>
      </c>
      <c r="Q148">
        <v>0.96833333333333327</v>
      </c>
    </row>
    <row r="149" spans="1:17" x14ac:dyDescent="0.25">
      <c r="B149" s="2">
        <f>AVERAGE(B146:B148)</f>
        <v>15.719444444444443</v>
      </c>
      <c r="C149" s="2">
        <f t="shared" ref="C149:Q149" si="103">AVERAGE(C146:C148)</f>
        <v>15.602222222222222</v>
      </c>
      <c r="D149" s="2">
        <f t="shared" si="103"/>
        <v>49.884999999999991</v>
      </c>
      <c r="E149" s="2">
        <f t="shared" si="103"/>
        <v>22.479444444444443</v>
      </c>
      <c r="F149" s="2">
        <f t="shared" si="103"/>
        <v>15.547222222222222</v>
      </c>
      <c r="G149" s="2">
        <f t="shared" si="103"/>
        <v>49.588888888888881</v>
      </c>
      <c r="H149" s="2">
        <f t="shared" si="103"/>
        <v>23.08666666666667</v>
      </c>
      <c r="I149" s="2">
        <f t="shared" si="103"/>
        <v>42.993333333333332</v>
      </c>
      <c r="J149" s="2">
        <f t="shared" si="103"/>
        <v>50.588333333333338</v>
      </c>
      <c r="K149" s="2">
        <f t="shared" si="103"/>
        <v>50.686666666666667</v>
      </c>
      <c r="L149" s="2">
        <f t="shared" si="103"/>
        <v>49.884999999999991</v>
      </c>
      <c r="M149" s="2">
        <f t="shared" si="103"/>
        <v>51.29</v>
      </c>
      <c r="N149" s="2">
        <f t="shared" si="103"/>
        <v>50.587500000000006</v>
      </c>
      <c r="O149" s="2">
        <f t="shared" si="103"/>
        <v>6.205000000000001</v>
      </c>
      <c r="P149" s="2">
        <f t="shared" si="103"/>
        <v>50.588333333333338</v>
      </c>
      <c r="Q149" s="2">
        <f t="shared" si="103"/>
        <v>0.80888888888888888</v>
      </c>
    </row>
    <row r="150" spans="1:17" x14ac:dyDescent="0.25">
      <c r="B150" s="2">
        <f>_xlfn.STDEV.S(B146:B148)</f>
        <v>0.18565449790563196</v>
      </c>
      <c r="C150" s="2">
        <f t="shared" ref="C150:Q150" si="104">_xlfn.STDEV.S(C146:C148)</f>
        <v>0.11681339978945122</v>
      </c>
      <c r="D150" s="2">
        <f t="shared" si="104"/>
        <v>2.5681170144679926</v>
      </c>
      <c r="E150" s="2">
        <f t="shared" si="104"/>
        <v>0.18148563865230985</v>
      </c>
      <c r="F150" s="2">
        <f t="shared" si="104"/>
        <v>0.15788826335007888</v>
      </c>
      <c r="G150" s="2">
        <f t="shared" si="104"/>
        <v>2.7576828706025678</v>
      </c>
      <c r="H150" s="2">
        <f t="shared" si="104"/>
        <v>0.17891649200426368</v>
      </c>
      <c r="I150" s="2">
        <f t="shared" si="104"/>
        <v>1.1063654208463138</v>
      </c>
      <c r="J150" s="2">
        <f t="shared" si="104"/>
        <v>0.2766817264977548</v>
      </c>
      <c r="K150" s="2">
        <f t="shared" si="104"/>
        <v>0.4097390768661297</v>
      </c>
      <c r="L150" s="2">
        <f t="shared" si="104"/>
        <v>2.5681170144679926</v>
      </c>
      <c r="M150" s="2">
        <f t="shared" si="104"/>
        <v>3.0295246235085207</v>
      </c>
      <c r="N150" s="2">
        <f t="shared" si="104"/>
        <v>0.27514137780017345</v>
      </c>
      <c r="O150" s="2">
        <f t="shared" si="104"/>
        <v>2.3727217142626151</v>
      </c>
      <c r="P150" s="2">
        <f t="shared" si="104"/>
        <v>0.2766817264977548</v>
      </c>
      <c r="Q150" s="2">
        <f t="shared" si="104"/>
        <v>0.30846543716586122</v>
      </c>
    </row>
    <row r="152" spans="1:17" x14ac:dyDescent="0.25">
      <c r="A152" s="1" t="s">
        <v>65</v>
      </c>
      <c r="B152">
        <v>15.524999999999999</v>
      </c>
      <c r="C152">
        <v>19.318333333333332</v>
      </c>
      <c r="D152">
        <v>40.636666666666663</v>
      </c>
      <c r="E152">
        <v>17.54</v>
      </c>
      <c r="F152">
        <v>14.851666666666668</v>
      </c>
      <c r="G152">
        <v>40.041666666666664</v>
      </c>
      <c r="H152">
        <v>20.181666666666668</v>
      </c>
      <c r="I152">
        <v>42.461666666666666</v>
      </c>
      <c r="J152">
        <v>50.578333333333326</v>
      </c>
      <c r="K152">
        <v>50.51</v>
      </c>
      <c r="L152">
        <v>40.636666666666663</v>
      </c>
      <c r="M152">
        <v>60.523333333333333</v>
      </c>
      <c r="N152">
        <v>50.579999999999991</v>
      </c>
      <c r="O152">
        <v>20.828333333333337</v>
      </c>
      <c r="P152">
        <v>50.578333333333326</v>
      </c>
      <c r="Q152">
        <v>0.6283333333333333</v>
      </c>
    </row>
    <row r="153" spans="1:17" x14ac:dyDescent="0.25">
      <c r="B153">
        <v>15.461666666666666</v>
      </c>
      <c r="C153">
        <v>20.743333333333332</v>
      </c>
      <c r="D153">
        <v>45.348333333333329</v>
      </c>
      <c r="E153">
        <v>20.23</v>
      </c>
      <c r="F153">
        <v>16.169999999999998</v>
      </c>
      <c r="G153">
        <v>47.071666666666658</v>
      </c>
      <c r="H153">
        <v>23.691666666666674</v>
      </c>
      <c r="I153">
        <v>41.783333333333331</v>
      </c>
      <c r="J153">
        <v>50.113333333333337</v>
      </c>
      <c r="K153">
        <v>50.171666666666674</v>
      </c>
      <c r="L153">
        <v>45.348333333333329</v>
      </c>
      <c r="M153">
        <v>54.881666666666668</v>
      </c>
      <c r="N153">
        <v>50.114999999999988</v>
      </c>
      <c r="O153">
        <v>10.511666666666667</v>
      </c>
      <c r="P153">
        <v>50.113333333333337</v>
      </c>
      <c r="Q153">
        <v>3.500000000000001E-2</v>
      </c>
    </row>
    <row r="154" spans="1:17" x14ac:dyDescent="0.25">
      <c r="B154">
        <v>15.505000000000001</v>
      </c>
      <c r="C154">
        <v>20.290000000000003</v>
      </c>
      <c r="D154">
        <v>49.318333333333335</v>
      </c>
      <c r="E154">
        <v>20.03833333333333</v>
      </c>
      <c r="F154">
        <v>15.008333333333333</v>
      </c>
      <c r="G154">
        <v>48.264999999999993</v>
      </c>
      <c r="H154">
        <v>22.543333333333333</v>
      </c>
      <c r="I154">
        <v>39.576666666666661</v>
      </c>
      <c r="J154">
        <v>49.971666666666664</v>
      </c>
      <c r="K154">
        <v>50.125</v>
      </c>
      <c r="L154">
        <v>49.318333333333335</v>
      </c>
      <c r="M154">
        <v>50.62166666666667</v>
      </c>
      <c r="N154">
        <v>49.97</v>
      </c>
      <c r="O154">
        <v>9.9599999999999991</v>
      </c>
      <c r="P154">
        <v>49.971666666666664</v>
      </c>
      <c r="Q154">
        <v>-2.9999999999999988E-2</v>
      </c>
    </row>
    <row r="155" spans="1:17" x14ac:dyDescent="0.25">
      <c r="B155" s="2">
        <f>AVERAGE(B152:B154)</f>
        <v>15.497222222222222</v>
      </c>
      <c r="C155" s="2">
        <f t="shared" ref="C155:Q155" si="105">AVERAGE(C152:C154)</f>
        <v>20.117222222222225</v>
      </c>
      <c r="D155" s="2">
        <f t="shared" si="105"/>
        <v>45.101111111111102</v>
      </c>
      <c r="E155" s="2">
        <f t="shared" si="105"/>
        <v>19.269444444444442</v>
      </c>
      <c r="F155" s="2">
        <f t="shared" si="105"/>
        <v>15.343333333333334</v>
      </c>
      <c r="G155" s="2">
        <f t="shared" si="105"/>
        <v>45.126111111111101</v>
      </c>
      <c r="H155" s="2">
        <f t="shared" si="105"/>
        <v>22.138888888888889</v>
      </c>
      <c r="I155" s="2">
        <f t="shared" si="105"/>
        <v>41.273888888888884</v>
      </c>
      <c r="J155" s="2">
        <f t="shared" si="105"/>
        <v>50.221111111111107</v>
      </c>
      <c r="K155" s="2">
        <f t="shared" si="105"/>
        <v>50.268888888888888</v>
      </c>
      <c r="L155" s="2">
        <f t="shared" si="105"/>
        <v>45.101111111111102</v>
      </c>
      <c r="M155" s="2">
        <f t="shared" si="105"/>
        <v>55.342222222222226</v>
      </c>
      <c r="N155" s="2">
        <f t="shared" si="105"/>
        <v>50.221666666666657</v>
      </c>
      <c r="O155" s="2">
        <f t="shared" si="105"/>
        <v>13.766666666666667</v>
      </c>
      <c r="P155" s="2">
        <f t="shared" si="105"/>
        <v>50.221111111111107</v>
      </c>
      <c r="Q155" s="2">
        <f t="shared" si="105"/>
        <v>0.21111111111111111</v>
      </c>
    </row>
    <row r="156" spans="1:17" x14ac:dyDescent="0.25">
      <c r="B156" s="2">
        <f>_xlfn.STDEV.S(B152:B154)</f>
        <v>3.237511618740755E-2</v>
      </c>
      <c r="C156" s="2">
        <f t="shared" ref="C156:Q156" si="106">_xlfn.STDEV.S(C152:C154)</f>
        <v>0.7280421487595149</v>
      </c>
      <c r="D156" s="2">
        <f t="shared" si="106"/>
        <v>4.3461101168916754</v>
      </c>
      <c r="E156" s="2">
        <f t="shared" si="106"/>
        <v>1.5008056478413827</v>
      </c>
      <c r="F156" s="2">
        <f t="shared" si="106"/>
        <v>0.72018708989014946</v>
      </c>
      <c r="G156" s="2">
        <f t="shared" si="106"/>
        <v>4.4435000385498551</v>
      </c>
      <c r="H156" s="2">
        <f t="shared" si="106"/>
        <v>1.7896107066849731</v>
      </c>
      <c r="I156" s="2">
        <f t="shared" si="106"/>
        <v>1.5084616274474765</v>
      </c>
      <c r="J156" s="2">
        <f t="shared" si="106"/>
        <v>0.31736910395964163</v>
      </c>
      <c r="K156" s="2">
        <f t="shared" si="106"/>
        <v>0.21010799692150983</v>
      </c>
      <c r="L156" s="2">
        <f t="shared" si="106"/>
        <v>4.3461101168916754</v>
      </c>
      <c r="M156" s="2">
        <f t="shared" si="106"/>
        <v>4.9668736906890683</v>
      </c>
      <c r="N156" s="2">
        <f t="shared" si="106"/>
        <v>0.31868218232799234</v>
      </c>
      <c r="O156" s="2">
        <f t="shared" si="106"/>
        <v>6.1218000711482832</v>
      </c>
      <c r="P156" s="2">
        <f t="shared" si="106"/>
        <v>0.31736910395964163</v>
      </c>
      <c r="Q156" s="2">
        <f t="shared" si="106"/>
        <v>0.36278373314832763</v>
      </c>
    </row>
    <row r="158" spans="1:17" x14ac:dyDescent="0.25">
      <c r="A158" s="1" t="s">
        <v>17</v>
      </c>
      <c r="B158">
        <v>15.463333333333333</v>
      </c>
      <c r="C158">
        <v>15.323333333333332</v>
      </c>
      <c r="D158">
        <v>40.883333333333333</v>
      </c>
      <c r="E158">
        <v>20.195</v>
      </c>
      <c r="F158">
        <v>14.838333333333333</v>
      </c>
      <c r="G158">
        <v>40.116666666666667</v>
      </c>
      <c r="H158">
        <v>21.061666666666667</v>
      </c>
      <c r="I158">
        <v>44.07833333333334</v>
      </c>
      <c r="J158">
        <v>49.896666666666668</v>
      </c>
      <c r="K158">
        <v>49.718333333333334</v>
      </c>
      <c r="L158">
        <v>40.883333333333333</v>
      </c>
      <c r="M158">
        <v>58.910000000000004</v>
      </c>
      <c r="N158">
        <v>49.896666666666668</v>
      </c>
      <c r="O158">
        <v>18.026666666666667</v>
      </c>
      <c r="P158">
        <v>49.896666666666668</v>
      </c>
      <c r="Q158">
        <v>3.6666666666666674E-2</v>
      </c>
    </row>
    <row r="159" spans="1:17" x14ac:dyDescent="0.25">
      <c r="B159">
        <v>15.648333333333333</v>
      </c>
      <c r="C159">
        <v>16.683333333333334</v>
      </c>
      <c r="D159">
        <v>42.298333333333332</v>
      </c>
      <c r="E159">
        <v>20.128333333333334</v>
      </c>
      <c r="F159">
        <v>15.518333333333331</v>
      </c>
      <c r="G159">
        <v>42.098333333333329</v>
      </c>
      <c r="H159">
        <v>22.243333333333336</v>
      </c>
      <c r="I159">
        <v>43.493333333333332</v>
      </c>
      <c r="J159">
        <v>50.276666666666671</v>
      </c>
      <c r="K159">
        <v>50.233333333333341</v>
      </c>
      <c r="L159">
        <v>42.298333333333332</v>
      </c>
      <c r="M159">
        <v>58.254999999999995</v>
      </c>
      <c r="N159">
        <v>50.276666666666671</v>
      </c>
      <c r="O159">
        <v>15.956666666666665</v>
      </c>
      <c r="P159">
        <v>50.276666666666671</v>
      </c>
      <c r="Q159">
        <v>0.51500000000000001</v>
      </c>
    </row>
    <row r="160" spans="1:17" x14ac:dyDescent="0.25">
      <c r="B160">
        <v>15.441666666666668</v>
      </c>
      <c r="C160">
        <v>15.473333333333334</v>
      </c>
      <c r="D160">
        <v>45.236666666666672</v>
      </c>
      <c r="E160">
        <v>21.628333333333334</v>
      </c>
      <c r="F160">
        <v>16.185000000000002</v>
      </c>
      <c r="G160">
        <v>48.008333333333333</v>
      </c>
      <c r="H160">
        <v>23.618333333333329</v>
      </c>
      <c r="I160">
        <v>43.368333333333332</v>
      </c>
      <c r="J160">
        <v>49.986666666666672</v>
      </c>
      <c r="K160">
        <v>49.949999999999996</v>
      </c>
      <c r="L160">
        <v>45.236666666666672</v>
      </c>
      <c r="M160">
        <v>54.733333333333327</v>
      </c>
      <c r="N160">
        <v>49.984999999999992</v>
      </c>
      <c r="O160">
        <v>10.323333333333332</v>
      </c>
      <c r="P160">
        <v>49.986666666666672</v>
      </c>
      <c r="Q160">
        <v>6.8333333333333315E-2</v>
      </c>
    </row>
    <row r="161" spans="1:17" x14ac:dyDescent="0.25">
      <c r="B161" s="2">
        <f>AVERAGE(B158:B160)</f>
        <v>15.517777777777779</v>
      </c>
      <c r="C161" s="2">
        <f t="shared" ref="C161:Q161" si="107">AVERAGE(C158:C160)</f>
        <v>15.826666666666668</v>
      </c>
      <c r="D161" s="2">
        <f t="shared" si="107"/>
        <v>42.806111111111115</v>
      </c>
      <c r="E161" s="2">
        <f t="shared" si="107"/>
        <v>20.650555555555556</v>
      </c>
      <c r="F161" s="2">
        <f t="shared" si="107"/>
        <v>15.513888888888888</v>
      </c>
      <c r="G161" s="2">
        <f t="shared" si="107"/>
        <v>43.407777777777774</v>
      </c>
      <c r="H161" s="2">
        <f t="shared" si="107"/>
        <v>22.307777777777776</v>
      </c>
      <c r="I161" s="2">
        <f t="shared" si="107"/>
        <v>43.646666666666668</v>
      </c>
      <c r="J161" s="2">
        <f t="shared" si="107"/>
        <v>50.053333333333342</v>
      </c>
      <c r="K161" s="2">
        <f t="shared" si="107"/>
        <v>49.967222222222226</v>
      </c>
      <c r="L161" s="2">
        <f t="shared" si="107"/>
        <v>42.806111111111115</v>
      </c>
      <c r="M161" s="2">
        <f t="shared" si="107"/>
        <v>57.29944444444444</v>
      </c>
      <c r="N161" s="2">
        <f t="shared" si="107"/>
        <v>50.052777777777777</v>
      </c>
      <c r="O161" s="2">
        <f t="shared" si="107"/>
        <v>14.768888888888888</v>
      </c>
      <c r="P161" s="2">
        <f t="shared" si="107"/>
        <v>50.053333333333342</v>
      </c>
      <c r="Q161" s="2">
        <f t="shared" si="107"/>
        <v>0.20666666666666667</v>
      </c>
    </row>
    <row r="162" spans="1:17" x14ac:dyDescent="0.25">
      <c r="B162" s="2">
        <f>_xlfn.STDEV.S(B158:B160)</f>
        <v>0.11358224300446722</v>
      </c>
      <c r="C162" s="2">
        <f t="shared" ref="C162:Q162" si="108">_xlfn.STDEV.S(C158:C160)</f>
        <v>0.74567642669815815</v>
      </c>
      <c r="D162" s="2">
        <f t="shared" si="108"/>
        <v>2.220643258490993</v>
      </c>
      <c r="E162" s="2">
        <f t="shared" si="108"/>
        <v>0.84743622069637092</v>
      </c>
      <c r="F162" s="2">
        <f t="shared" si="108"/>
        <v>0.67334433434357666</v>
      </c>
      <c r="G162" s="2">
        <f t="shared" si="108"/>
        <v>4.1055552924372192</v>
      </c>
      <c r="H162" s="2">
        <f t="shared" si="108"/>
        <v>1.2795510642119441</v>
      </c>
      <c r="I162" s="2">
        <f t="shared" si="108"/>
        <v>0.37902286650456429</v>
      </c>
      <c r="J162" s="2">
        <f t="shared" si="108"/>
        <v>0.19857828011475395</v>
      </c>
      <c r="K162" s="2">
        <f t="shared" si="108"/>
        <v>0.2579315872546552</v>
      </c>
      <c r="L162" s="2">
        <f t="shared" si="108"/>
        <v>2.220643258490993</v>
      </c>
      <c r="M162" s="2">
        <f t="shared" si="108"/>
        <v>2.2463194176087122</v>
      </c>
      <c r="N162" s="2">
        <f t="shared" si="108"/>
        <v>0.19886017794010838</v>
      </c>
      <c r="O162" s="2">
        <f t="shared" si="108"/>
        <v>3.9866587699661653</v>
      </c>
      <c r="P162" s="2">
        <f t="shared" si="108"/>
        <v>0.19857828011475395</v>
      </c>
      <c r="Q162" s="2">
        <f t="shared" si="108"/>
        <v>0.26749350978627079</v>
      </c>
    </row>
    <row r="164" spans="1:17" x14ac:dyDescent="0.25">
      <c r="A164" s="1" t="s">
        <v>18</v>
      </c>
      <c r="B164">
        <v>15.931666666666667</v>
      </c>
      <c r="C164">
        <v>15.736666666666666</v>
      </c>
      <c r="D164">
        <v>44.021666666666668</v>
      </c>
      <c r="E164">
        <v>22.186666666666667</v>
      </c>
      <c r="F164">
        <v>15.965000000000002</v>
      </c>
      <c r="G164">
        <v>44.756666666666661</v>
      </c>
      <c r="H164">
        <v>23.173333333333332</v>
      </c>
      <c r="I164">
        <v>45.140000000000008</v>
      </c>
      <c r="J164">
        <v>50.693333333333328</v>
      </c>
      <c r="K164">
        <v>50.923333333333325</v>
      </c>
      <c r="L164">
        <v>44.021666666666668</v>
      </c>
      <c r="M164">
        <v>57.363333333333337</v>
      </c>
      <c r="N164">
        <v>50.692499999999995</v>
      </c>
      <c r="O164">
        <v>14.583333333333334</v>
      </c>
      <c r="P164">
        <v>50.693333333333328</v>
      </c>
      <c r="Q164">
        <v>1.0083333333333335</v>
      </c>
    </row>
    <row r="165" spans="1:17" x14ac:dyDescent="0.25">
      <c r="B165">
        <v>15.725</v>
      </c>
      <c r="C165">
        <v>15.441666666666668</v>
      </c>
      <c r="D165">
        <v>46.196666666666665</v>
      </c>
      <c r="E165">
        <v>21.458333333333332</v>
      </c>
      <c r="F165">
        <v>15.006666666666662</v>
      </c>
      <c r="G165">
        <v>44.323333333333331</v>
      </c>
      <c r="H165">
        <v>21.798333333333332</v>
      </c>
      <c r="I165">
        <v>43.74666666666667</v>
      </c>
      <c r="J165">
        <v>50.580000000000005</v>
      </c>
      <c r="K165">
        <v>50.853333333333332</v>
      </c>
      <c r="L165">
        <v>46.196666666666665</v>
      </c>
      <c r="M165">
        <v>54.961666666666673</v>
      </c>
      <c r="N165">
        <v>50.579166666666659</v>
      </c>
      <c r="O165">
        <v>10.504999999999999</v>
      </c>
      <c r="P165">
        <v>50.580000000000005</v>
      </c>
      <c r="Q165">
        <v>0.58666666666666667</v>
      </c>
    </row>
    <row r="166" spans="1:17" x14ac:dyDescent="0.25">
      <c r="B166">
        <v>15.685</v>
      </c>
      <c r="C166">
        <v>15.493333333333334</v>
      </c>
      <c r="D166">
        <v>48.824999999999996</v>
      </c>
      <c r="E166">
        <v>22.340000000000003</v>
      </c>
      <c r="F166">
        <v>15.569999999999999</v>
      </c>
      <c r="G166">
        <v>49.401666666666671</v>
      </c>
      <c r="H166">
        <v>23.12</v>
      </c>
      <c r="I166">
        <v>43.143333333333338</v>
      </c>
      <c r="J166">
        <v>50.254999999999995</v>
      </c>
      <c r="K166">
        <v>50.455000000000005</v>
      </c>
      <c r="L166">
        <v>48.824999999999996</v>
      </c>
      <c r="M166">
        <v>51.686666666666667</v>
      </c>
      <c r="N166">
        <v>50.255833333333328</v>
      </c>
      <c r="O166">
        <v>6.1850000000000014</v>
      </c>
      <c r="P166">
        <v>50.254999999999995</v>
      </c>
      <c r="Q166">
        <v>0.42666666666666658</v>
      </c>
    </row>
    <row r="167" spans="1:17" x14ac:dyDescent="0.25">
      <c r="B167" s="2">
        <f>AVERAGE(B164:B166)</f>
        <v>15.780555555555557</v>
      </c>
      <c r="C167" s="2">
        <f t="shared" ref="C167:Q167" si="109">AVERAGE(C164:C166)</f>
        <v>15.557222222222222</v>
      </c>
      <c r="D167" s="2">
        <f t="shared" si="109"/>
        <v>46.347777777777772</v>
      </c>
      <c r="E167" s="2">
        <f t="shared" si="109"/>
        <v>21.995000000000001</v>
      </c>
      <c r="F167" s="2">
        <f t="shared" si="109"/>
        <v>15.513888888888888</v>
      </c>
      <c r="G167" s="2">
        <f t="shared" si="109"/>
        <v>46.160555555555554</v>
      </c>
      <c r="H167" s="2">
        <f t="shared" si="109"/>
        <v>22.697222222222223</v>
      </c>
      <c r="I167" s="2">
        <f t="shared" si="109"/>
        <v>44.010000000000012</v>
      </c>
      <c r="J167" s="2">
        <f t="shared" si="109"/>
        <v>50.509444444444448</v>
      </c>
      <c r="K167" s="2">
        <f t="shared" si="109"/>
        <v>50.743888888888883</v>
      </c>
      <c r="L167" s="2">
        <f t="shared" si="109"/>
        <v>46.347777777777772</v>
      </c>
      <c r="M167" s="2">
        <f t="shared" si="109"/>
        <v>54.670555555555559</v>
      </c>
      <c r="N167" s="2">
        <f t="shared" si="109"/>
        <v>50.509166666666658</v>
      </c>
      <c r="O167" s="2">
        <f t="shared" si="109"/>
        <v>10.424444444444445</v>
      </c>
      <c r="P167" s="2">
        <f t="shared" si="109"/>
        <v>50.509444444444448</v>
      </c>
      <c r="Q167" s="2">
        <f t="shared" si="109"/>
        <v>0.67388888888888898</v>
      </c>
    </row>
    <row r="168" spans="1:17" x14ac:dyDescent="0.25">
      <c r="B168" s="2">
        <f>_xlfn.STDEV.S(B164:B166)</f>
        <v>0.13238552007650192</v>
      </c>
      <c r="C168" s="2">
        <f t="shared" ref="C168:Q168" si="110">_xlfn.STDEV.S(C164:C166)</f>
        <v>0.15753600411522539</v>
      </c>
      <c r="D168" s="2">
        <f t="shared" si="110"/>
        <v>2.4052294492841404</v>
      </c>
      <c r="E168" s="2">
        <f t="shared" si="110"/>
        <v>0.47104788621870819</v>
      </c>
      <c r="F168" s="2">
        <f t="shared" si="110"/>
        <v>0.48162437338349051</v>
      </c>
      <c r="G168" s="2">
        <f t="shared" si="110"/>
        <v>2.8152345142759239</v>
      </c>
      <c r="H168" s="2">
        <f t="shared" si="110"/>
        <v>0.77891722091441662</v>
      </c>
      <c r="I168" s="2">
        <f t="shared" si="110"/>
        <v>1.0240496949747027</v>
      </c>
      <c r="J168" s="2">
        <f t="shared" si="110"/>
        <v>0.22752492740926905</v>
      </c>
      <c r="K168" s="2">
        <f t="shared" si="110"/>
        <v>0.25262144127644698</v>
      </c>
      <c r="L168" s="2">
        <f t="shared" si="110"/>
        <v>2.4052294492841404</v>
      </c>
      <c r="M168" s="2">
        <f t="shared" si="110"/>
        <v>2.8495079172324438</v>
      </c>
      <c r="N168" s="2">
        <f t="shared" si="110"/>
        <v>0.22659312532476442</v>
      </c>
      <c r="O168" s="2">
        <f t="shared" si="110"/>
        <v>4.1997461343029547</v>
      </c>
      <c r="P168" s="2">
        <f t="shared" si="110"/>
        <v>0.22752492740926905</v>
      </c>
      <c r="Q168" s="2">
        <f t="shared" si="110"/>
        <v>0.3004826364614348</v>
      </c>
    </row>
    <row r="170" spans="1:17" x14ac:dyDescent="0.25">
      <c r="A170" s="1" t="s">
        <v>21</v>
      </c>
      <c r="B170">
        <v>16.163333333333334</v>
      </c>
      <c r="C170">
        <v>15.741666666666667</v>
      </c>
      <c r="D170">
        <v>80.143333333333331</v>
      </c>
      <c r="E170">
        <v>21.701666666666668</v>
      </c>
      <c r="F170">
        <v>14.955</v>
      </c>
      <c r="G170">
        <v>78.786666666666676</v>
      </c>
      <c r="H170">
        <v>23.841666666666669</v>
      </c>
      <c r="I170">
        <v>21.366666666666664</v>
      </c>
      <c r="J170">
        <v>50.543333333333329</v>
      </c>
      <c r="K170">
        <v>53.553333333333335</v>
      </c>
      <c r="L170">
        <v>80.143333333333331</v>
      </c>
      <c r="M170">
        <v>20.946666666666665</v>
      </c>
      <c r="N170">
        <v>50.545000000000009</v>
      </c>
      <c r="O170">
        <v>59.198333333333331</v>
      </c>
      <c r="P170">
        <v>50.543333333333329</v>
      </c>
      <c r="Q170">
        <v>1.1499999999999999</v>
      </c>
    </row>
    <row r="171" spans="1:17" x14ac:dyDescent="0.25">
      <c r="B171">
        <v>21.715000000000003</v>
      </c>
      <c r="C171">
        <v>23.268333333333331</v>
      </c>
      <c r="D171">
        <v>30.91</v>
      </c>
      <c r="E171">
        <v>24.38</v>
      </c>
      <c r="F171">
        <v>24.961666666666662</v>
      </c>
      <c r="G171">
        <v>33.276666666666664</v>
      </c>
      <c r="H171">
        <v>27.403333333333332</v>
      </c>
      <c r="I171">
        <v>53.928333333333335</v>
      </c>
      <c r="J171">
        <v>56.053333333333335</v>
      </c>
      <c r="K171">
        <v>60.965000000000003</v>
      </c>
      <c r="L171">
        <v>30.91</v>
      </c>
      <c r="M171">
        <v>81.198333333333338</v>
      </c>
      <c r="N171">
        <v>56.054166666666667</v>
      </c>
      <c r="O171">
        <v>50.288333333333334</v>
      </c>
      <c r="P171">
        <v>56.053333333333335</v>
      </c>
      <c r="Q171">
        <v>10.873333333333333</v>
      </c>
    </row>
    <row r="172" spans="1:17" x14ac:dyDescent="0.25">
      <c r="B172">
        <v>16.768333333333334</v>
      </c>
      <c r="C172">
        <v>43.876666666666665</v>
      </c>
      <c r="D172">
        <v>10.664999999999999</v>
      </c>
      <c r="E172">
        <v>16.544999999999998</v>
      </c>
      <c r="F172">
        <v>36.134999999999998</v>
      </c>
      <c r="G172">
        <v>13.856666666666667</v>
      </c>
      <c r="H172">
        <v>14.035000000000002</v>
      </c>
      <c r="I172">
        <v>47.811666666666667</v>
      </c>
      <c r="J172">
        <v>50.975000000000001</v>
      </c>
      <c r="K172">
        <v>52.986666666666672</v>
      </c>
      <c r="L172">
        <v>10.664999999999999</v>
      </c>
      <c r="M172">
        <v>91.289999999999978</v>
      </c>
      <c r="N172">
        <v>50.977499999999999</v>
      </c>
      <c r="O172">
        <v>80.623333333333335</v>
      </c>
      <c r="P172">
        <v>50.975000000000001</v>
      </c>
      <c r="Q172">
        <v>2.0500000000000003</v>
      </c>
    </row>
    <row r="173" spans="1:17" x14ac:dyDescent="0.25">
      <c r="B173" s="2">
        <f>AVERAGE(B170:B172)</f>
        <v>18.215555555555557</v>
      </c>
      <c r="C173" s="2">
        <f t="shared" ref="C173:Q173" si="111">AVERAGE(C170:C172)</f>
        <v>27.628888888888884</v>
      </c>
      <c r="D173" s="2">
        <f t="shared" si="111"/>
        <v>40.57277777777778</v>
      </c>
      <c r="E173" s="2">
        <f t="shared" si="111"/>
        <v>20.875555555555554</v>
      </c>
      <c r="F173" s="2">
        <f t="shared" si="111"/>
        <v>25.350555555555555</v>
      </c>
      <c r="G173" s="2">
        <f t="shared" si="111"/>
        <v>41.973333333333336</v>
      </c>
      <c r="H173" s="2">
        <f t="shared" si="111"/>
        <v>21.76</v>
      </c>
      <c r="I173" s="2">
        <f t="shared" si="111"/>
        <v>41.035555555555554</v>
      </c>
      <c r="J173" s="2">
        <f t="shared" si="111"/>
        <v>52.523888888888884</v>
      </c>
      <c r="K173" s="2">
        <f t="shared" si="111"/>
        <v>55.835000000000008</v>
      </c>
      <c r="L173" s="2">
        <f t="shared" si="111"/>
        <v>40.57277777777778</v>
      </c>
      <c r="M173" s="2">
        <f t="shared" si="111"/>
        <v>64.478333333333339</v>
      </c>
      <c r="N173" s="2">
        <f t="shared" si="111"/>
        <v>52.525555555555563</v>
      </c>
      <c r="O173" s="2">
        <f t="shared" si="111"/>
        <v>63.370000000000005</v>
      </c>
      <c r="P173" s="2">
        <f t="shared" si="111"/>
        <v>52.523888888888884</v>
      </c>
      <c r="Q173" s="2">
        <f t="shared" si="111"/>
        <v>4.6911111111111117</v>
      </c>
    </row>
    <row r="174" spans="1:17" x14ac:dyDescent="0.25">
      <c r="B174" s="2">
        <f>_xlfn.STDEV.S(B170:B172)</f>
        <v>3.045667384140097</v>
      </c>
      <c r="C174" s="2">
        <f t="shared" ref="C174:Q174" si="112">_xlfn.STDEV.S(C170:C172)</f>
        <v>14.56555490926505</v>
      </c>
      <c r="D174" s="2">
        <f t="shared" si="112"/>
        <v>35.732851222390316</v>
      </c>
      <c r="E174" s="2">
        <f t="shared" si="112"/>
        <v>3.9822921698345879</v>
      </c>
      <c r="F174" s="2">
        <f t="shared" si="112"/>
        <v>10.595353978321151</v>
      </c>
      <c r="G174" s="2">
        <f t="shared" si="112"/>
        <v>33.327169596791961</v>
      </c>
      <c r="H174" s="2">
        <f t="shared" si="112"/>
        <v>6.9230113470303545</v>
      </c>
      <c r="I174" s="2">
        <f t="shared" si="112"/>
        <v>17.306134616671919</v>
      </c>
      <c r="J174" s="2">
        <f t="shared" si="112"/>
        <v>3.0641993395653295</v>
      </c>
      <c r="K174" s="2">
        <f t="shared" si="112"/>
        <v>4.4517359285763769</v>
      </c>
      <c r="L174" s="2">
        <f t="shared" si="112"/>
        <v>35.732851222390316</v>
      </c>
      <c r="M174" s="2">
        <f t="shared" si="112"/>
        <v>38.035706068260502</v>
      </c>
      <c r="N174" s="2">
        <f t="shared" si="112"/>
        <v>3.0635088285481693</v>
      </c>
      <c r="O174" s="2">
        <f t="shared" si="112"/>
        <v>15.591829858401253</v>
      </c>
      <c r="P174" s="2">
        <f t="shared" si="112"/>
        <v>3.0641993395653295</v>
      </c>
      <c r="Q174" s="2">
        <f t="shared" si="112"/>
        <v>5.3728394451820076</v>
      </c>
    </row>
    <row r="176" spans="1:17" x14ac:dyDescent="0.25">
      <c r="A176" s="1" t="s">
        <v>22</v>
      </c>
      <c r="B176">
        <v>20.488333333333333</v>
      </c>
      <c r="C176">
        <v>28.576666666666668</v>
      </c>
      <c r="D176">
        <v>30.303333333333338</v>
      </c>
      <c r="E176">
        <v>23.778333333333332</v>
      </c>
      <c r="F176">
        <v>25.584999999999997</v>
      </c>
      <c r="G176">
        <v>34.803333333333342</v>
      </c>
      <c r="H176">
        <v>26.548333333333336</v>
      </c>
      <c r="I176">
        <v>51.843333333333327</v>
      </c>
      <c r="J176">
        <v>55.116666666666667</v>
      </c>
      <c r="K176">
        <v>59.784999999999989</v>
      </c>
      <c r="L176">
        <v>30.303333333333338</v>
      </c>
      <c r="M176">
        <v>79.931666666666658</v>
      </c>
      <c r="N176">
        <v>55.117500000000007</v>
      </c>
      <c r="O176">
        <v>49.629999999999995</v>
      </c>
      <c r="P176">
        <v>55.116666666666667</v>
      </c>
      <c r="Q176">
        <v>8.8916666666666657</v>
      </c>
    </row>
    <row r="177" spans="1:17" x14ac:dyDescent="0.25">
      <c r="B177">
        <v>20.466666666666669</v>
      </c>
      <c r="C177">
        <v>29.411666666666665</v>
      </c>
      <c r="D177">
        <v>30.048333333333332</v>
      </c>
      <c r="E177">
        <v>23.231666666666666</v>
      </c>
      <c r="F177">
        <v>25.473333333333333</v>
      </c>
      <c r="G177">
        <v>32.951666666666668</v>
      </c>
      <c r="H177">
        <v>25.901666666666671</v>
      </c>
      <c r="I177">
        <v>52.44</v>
      </c>
      <c r="J177">
        <v>55.579999999999991</v>
      </c>
      <c r="K177">
        <v>60.218333333333334</v>
      </c>
      <c r="L177">
        <v>30.048333333333332</v>
      </c>
      <c r="M177">
        <v>81.111666666666665</v>
      </c>
      <c r="N177">
        <v>55.579999999999991</v>
      </c>
      <c r="O177">
        <v>51.063333333333333</v>
      </c>
      <c r="P177">
        <v>55.579999999999991</v>
      </c>
      <c r="Q177">
        <v>9.6399999999999988</v>
      </c>
    </row>
    <row r="178" spans="1:17" x14ac:dyDescent="0.25">
      <c r="B178">
        <v>20.796666666666667</v>
      </c>
      <c r="C178">
        <v>29.234999999999999</v>
      </c>
      <c r="D178">
        <v>29.566666666666666</v>
      </c>
      <c r="E178">
        <v>22.83666666666667</v>
      </c>
      <c r="F178">
        <v>25.78</v>
      </c>
      <c r="G178">
        <v>32.626666666666672</v>
      </c>
      <c r="H178">
        <v>25.959999999999997</v>
      </c>
      <c r="I178">
        <v>52.266666666666673</v>
      </c>
      <c r="J178">
        <v>55.461666666666666</v>
      </c>
      <c r="K178">
        <v>60.51</v>
      </c>
      <c r="L178">
        <v>29.566666666666666</v>
      </c>
      <c r="M178">
        <v>81.358333333333334</v>
      </c>
      <c r="N178">
        <v>55.462499999999999</v>
      </c>
      <c r="O178">
        <v>51.789999999999992</v>
      </c>
      <c r="P178">
        <v>55.461666666666666</v>
      </c>
      <c r="Q178">
        <v>9.548333333333332</v>
      </c>
    </row>
    <row r="179" spans="1:17" x14ac:dyDescent="0.25">
      <c r="B179" s="2">
        <f>AVERAGE(B176:B178)</f>
        <v>20.58388888888889</v>
      </c>
      <c r="C179" s="2">
        <f t="shared" ref="C179:Q179" si="113">AVERAGE(C176:C178)</f>
        <v>29.074444444444442</v>
      </c>
      <c r="D179" s="2">
        <f t="shared" si="113"/>
        <v>29.972777777777779</v>
      </c>
      <c r="E179" s="2">
        <f t="shared" si="113"/>
        <v>23.28222222222222</v>
      </c>
      <c r="F179" s="2">
        <f t="shared" si="113"/>
        <v>25.612777777777779</v>
      </c>
      <c r="G179" s="2">
        <f t="shared" si="113"/>
        <v>33.460555555555565</v>
      </c>
      <c r="H179" s="2">
        <f t="shared" si="113"/>
        <v>26.136666666666667</v>
      </c>
      <c r="I179" s="2">
        <f t="shared" si="113"/>
        <v>52.183333333333337</v>
      </c>
      <c r="J179" s="2">
        <f t="shared" si="113"/>
        <v>55.386111111111113</v>
      </c>
      <c r="K179" s="2">
        <f t="shared" si="113"/>
        <v>60.171111111111109</v>
      </c>
      <c r="L179" s="2">
        <f t="shared" si="113"/>
        <v>29.972777777777779</v>
      </c>
      <c r="M179" s="2">
        <f t="shared" si="113"/>
        <v>80.800555555555547</v>
      </c>
      <c r="N179" s="2">
        <f t="shared" si="113"/>
        <v>55.386666666666663</v>
      </c>
      <c r="O179" s="2">
        <f t="shared" si="113"/>
        <v>50.827777777777776</v>
      </c>
      <c r="P179" s="2">
        <f t="shared" si="113"/>
        <v>55.386111111111113</v>
      </c>
      <c r="Q179" s="2">
        <f t="shared" si="113"/>
        <v>9.36</v>
      </c>
    </row>
    <row r="180" spans="1:17" x14ac:dyDescent="0.25">
      <c r="B180" s="2">
        <f>_xlfn.STDEV.S(B176:B178)</f>
        <v>0.18458913334253446</v>
      </c>
      <c r="C180" s="2">
        <f t="shared" ref="C180:Q180" si="114">_xlfn.STDEV.S(C176:C178)</f>
        <v>0.44004524178181226</v>
      </c>
      <c r="D180" s="2">
        <f t="shared" si="114"/>
        <v>0.3741001549397267</v>
      </c>
      <c r="E180" s="2">
        <f t="shared" si="114"/>
        <v>0.47286459576280843</v>
      </c>
      <c r="F180" s="2">
        <f t="shared" si="114"/>
        <v>0.15520893922327789</v>
      </c>
      <c r="G180" s="2">
        <f t="shared" si="114"/>
        <v>1.1741785938988907</v>
      </c>
      <c r="H180" s="2">
        <f t="shared" si="114"/>
        <v>0.35770487525022382</v>
      </c>
      <c r="I180" s="2">
        <f t="shared" si="114"/>
        <v>0.30693828550885166</v>
      </c>
      <c r="J180" s="2">
        <f t="shared" si="114"/>
        <v>0.24072998551473399</v>
      </c>
      <c r="K180" s="2">
        <f t="shared" si="114"/>
        <v>0.36479953906728985</v>
      </c>
      <c r="L180" s="2">
        <f t="shared" si="114"/>
        <v>0.3741001549397267</v>
      </c>
      <c r="M180" s="2">
        <f t="shared" si="114"/>
        <v>0.76252018795376464</v>
      </c>
      <c r="N180" s="2">
        <f t="shared" si="114"/>
        <v>0.24039464081657413</v>
      </c>
      <c r="O180" s="2">
        <f t="shared" si="114"/>
        <v>1.099097272681</v>
      </c>
      <c r="P180" s="2">
        <f t="shared" si="114"/>
        <v>0.24072998551473399</v>
      </c>
      <c r="Q180" s="2">
        <f t="shared" si="114"/>
        <v>0.40817003537469237</v>
      </c>
    </row>
    <row r="182" spans="1:17" x14ac:dyDescent="0.25">
      <c r="A182" s="1" t="s">
        <v>23</v>
      </c>
      <c r="B182">
        <v>21.973333333333333</v>
      </c>
      <c r="C182">
        <v>22.456666666666667</v>
      </c>
      <c r="D182">
        <v>40.093333333333334</v>
      </c>
      <c r="E182">
        <v>27.375</v>
      </c>
      <c r="F182">
        <v>24.113333333333333</v>
      </c>
      <c r="G182">
        <v>42.338333333333331</v>
      </c>
      <c r="H182">
        <v>29.981666666666669</v>
      </c>
      <c r="I182">
        <v>54.09</v>
      </c>
      <c r="J182">
        <v>57.861666666666672</v>
      </c>
      <c r="K182">
        <v>62.101666666666659</v>
      </c>
      <c r="L182">
        <v>40.093333333333334</v>
      </c>
      <c r="M182">
        <v>75.63</v>
      </c>
      <c r="N182">
        <v>57.861666666666672</v>
      </c>
      <c r="O182">
        <v>35.536666666666662</v>
      </c>
      <c r="P182">
        <v>57.861666666666672</v>
      </c>
      <c r="Q182">
        <v>12.373333333333335</v>
      </c>
    </row>
    <row r="183" spans="1:17" x14ac:dyDescent="0.25">
      <c r="B183">
        <v>22.689999999999998</v>
      </c>
      <c r="C183">
        <v>22.876666666666665</v>
      </c>
      <c r="D183">
        <v>42.074999999999996</v>
      </c>
      <c r="E183">
        <v>27.998333333333335</v>
      </c>
      <c r="F183">
        <v>23.941666666666663</v>
      </c>
      <c r="G183">
        <v>44.005000000000003</v>
      </c>
      <c r="H183">
        <v>30.129999999999995</v>
      </c>
      <c r="I183">
        <v>54.053333333333335</v>
      </c>
      <c r="J183">
        <v>58.201666666666675</v>
      </c>
      <c r="K183">
        <v>62.266666666666659</v>
      </c>
      <c r="L183">
        <v>42.074999999999996</v>
      </c>
      <c r="M183">
        <v>74.33</v>
      </c>
      <c r="N183">
        <v>58.202499999999993</v>
      </c>
      <c r="O183">
        <v>32.256666666666668</v>
      </c>
      <c r="P183">
        <v>58.201666666666675</v>
      </c>
      <c r="Q183">
        <v>13.036666666666667</v>
      </c>
    </row>
    <row r="184" spans="1:17" x14ac:dyDescent="0.25">
      <c r="B184">
        <v>22.626666666666665</v>
      </c>
      <c r="C184">
        <v>22.574999999999999</v>
      </c>
      <c r="D184">
        <v>43.656666666666666</v>
      </c>
      <c r="E184">
        <v>28.364999999999998</v>
      </c>
      <c r="F184">
        <v>23.558333333333334</v>
      </c>
      <c r="G184">
        <v>45.106666666666676</v>
      </c>
      <c r="H184">
        <v>30.125</v>
      </c>
      <c r="I184">
        <v>53.918333333333344</v>
      </c>
      <c r="J184">
        <v>58.383333333333326</v>
      </c>
      <c r="K184">
        <v>62.330000000000005</v>
      </c>
      <c r="L184">
        <v>43.656666666666666</v>
      </c>
      <c r="M184">
        <v>73.114999999999995</v>
      </c>
      <c r="N184">
        <v>58.385833333333331</v>
      </c>
      <c r="O184">
        <v>29.461666666666662</v>
      </c>
      <c r="P184">
        <v>58.383333333333326</v>
      </c>
      <c r="Q184">
        <v>13.096666666666666</v>
      </c>
    </row>
    <row r="185" spans="1:17" x14ac:dyDescent="0.25">
      <c r="B185" s="2">
        <f>AVERAGE(B182:B184)</f>
        <v>22.429999999999996</v>
      </c>
      <c r="C185" s="2">
        <f t="shared" ref="C185:Q185" si="115">AVERAGE(C182:C184)</f>
        <v>22.636111111111109</v>
      </c>
      <c r="D185" s="2">
        <f t="shared" si="115"/>
        <v>41.941666666666663</v>
      </c>
      <c r="E185" s="2">
        <f t="shared" si="115"/>
        <v>27.912777777777777</v>
      </c>
      <c r="F185" s="2">
        <f t="shared" si="115"/>
        <v>23.871111111111109</v>
      </c>
      <c r="G185" s="2">
        <f t="shared" si="115"/>
        <v>43.81666666666667</v>
      </c>
      <c r="H185" s="2">
        <f t="shared" si="115"/>
        <v>30.078888888888887</v>
      </c>
      <c r="I185" s="2">
        <f t="shared" si="115"/>
        <v>54.020555555555568</v>
      </c>
      <c r="J185" s="2">
        <f t="shared" si="115"/>
        <v>58.148888888888884</v>
      </c>
      <c r="K185" s="2">
        <f t="shared" si="115"/>
        <v>62.232777777777777</v>
      </c>
      <c r="L185" s="2">
        <f t="shared" si="115"/>
        <v>41.941666666666663</v>
      </c>
      <c r="M185" s="2">
        <f t="shared" si="115"/>
        <v>74.358333333333334</v>
      </c>
      <c r="N185" s="2">
        <f t="shared" si="115"/>
        <v>58.15</v>
      </c>
      <c r="O185" s="2">
        <f t="shared" si="115"/>
        <v>32.418333333333329</v>
      </c>
      <c r="P185" s="2">
        <f t="shared" si="115"/>
        <v>58.148888888888884</v>
      </c>
      <c r="Q185" s="2">
        <f t="shared" si="115"/>
        <v>12.835555555555556</v>
      </c>
    </row>
    <row r="186" spans="1:17" x14ac:dyDescent="0.25">
      <c r="B186" s="2">
        <f>_xlfn.STDEV.S(B182:B184)</f>
        <v>0.3967506913807593</v>
      </c>
      <c r="C186" s="2">
        <f t="shared" ref="C186:Q186" si="116">_xlfn.STDEV.S(C182:C184)</f>
        <v>0.21656621603086099</v>
      </c>
      <c r="D186" s="2">
        <f t="shared" si="116"/>
        <v>1.7854045604412583</v>
      </c>
      <c r="E186" s="2">
        <f t="shared" si="116"/>
        <v>0.50051455005305712</v>
      </c>
      <c r="F186" s="2">
        <f t="shared" si="116"/>
        <v>0.28414752297849522</v>
      </c>
      <c r="G186" s="2">
        <f t="shared" si="116"/>
        <v>1.3937429621147728</v>
      </c>
      <c r="H186" s="2">
        <f t="shared" si="116"/>
        <v>8.4234021454338143E-2</v>
      </c>
      <c r="I186" s="2">
        <f t="shared" si="116"/>
        <v>9.040546525596431E-2</v>
      </c>
      <c r="J186" s="2">
        <f t="shared" si="116"/>
        <v>0.26480775696369879</v>
      </c>
      <c r="K186" s="2">
        <f t="shared" si="116"/>
        <v>0.11787862558738785</v>
      </c>
      <c r="L186" s="2">
        <f t="shared" si="116"/>
        <v>1.7854045604412583</v>
      </c>
      <c r="M186" s="2">
        <f t="shared" si="116"/>
        <v>1.2577393741683267</v>
      </c>
      <c r="N186" s="2">
        <f t="shared" si="116"/>
        <v>0.26599785922279279</v>
      </c>
      <c r="O186" s="2">
        <f t="shared" si="116"/>
        <v>3.0407249683806215</v>
      </c>
      <c r="P186" s="2">
        <f t="shared" si="116"/>
        <v>0.26480775696369879</v>
      </c>
      <c r="Q186" s="2">
        <f t="shared" si="116"/>
        <v>0.40141878012499138</v>
      </c>
    </row>
    <row r="188" spans="1:17" x14ac:dyDescent="0.25">
      <c r="A188" s="1" t="s">
        <v>24</v>
      </c>
      <c r="B188">
        <v>18.723333333333336</v>
      </c>
      <c r="C188">
        <v>18.888333333333332</v>
      </c>
      <c r="D188">
        <v>35.853333333333332</v>
      </c>
      <c r="E188">
        <v>23.03</v>
      </c>
      <c r="F188">
        <v>19.561666666666667</v>
      </c>
      <c r="G188">
        <v>37.338333333333338</v>
      </c>
      <c r="H188">
        <v>24.513333333333335</v>
      </c>
      <c r="I188">
        <v>50.245000000000005</v>
      </c>
      <c r="J188">
        <v>53.873333333333335</v>
      </c>
      <c r="K188">
        <v>55.910000000000004</v>
      </c>
      <c r="L188">
        <v>35.853333333333332</v>
      </c>
      <c r="M188">
        <v>71.896666666666661</v>
      </c>
      <c r="N188">
        <v>53.875</v>
      </c>
      <c r="O188">
        <v>36.043333333333329</v>
      </c>
      <c r="P188">
        <v>53.873333333333335</v>
      </c>
      <c r="Q188">
        <v>6.169999999999999</v>
      </c>
    </row>
    <row r="189" spans="1:17" x14ac:dyDescent="0.25">
      <c r="A189" s="1"/>
      <c r="B189">
        <v>18.441666666666666</v>
      </c>
      <c r="C189">
        <v>19.418333333333333</v>
      </c>
      <c r="D189">
        <v>25.335000000000004</v>
      </c>
      <c r="E189">
        <v>20.171666666666667</v>
      </c>
      <c r="F189">
        <v>20.686666666666667</v>
      </c>
      <c r="G189">
        <v>26.833333333333332</v>
      </c>
      <c r="H189">
        <v>21.881666666666664</v>
      </c>
      <c r="I189">
        <v>51.583333333333336</v>
      </c>
      <c r="J189">
        <v>53.236666666666657</v>
      </c>
      <c r="K189">
        <v>55.651666666666671</v>
      </c>
      <c r="L189">
        <v>25.335000000000004</v>
      </c>
      <c r="M189">
        <v>81.136666666666656</v>
      </c>
      <c r="N189">
        <v>53.235833333333325</v>
      </c>
      <c r="O189">
        <v>55.801666666666669</v>
      </c>
      <c r="P189">
        <v>53.236666666666657</v>
      </c>
      <c r="Q189">
        <v>5.6883333333333335</v>
      </c>
    </row>
    <row r="190" spans="1:17" x14ac:dyDescent="0.25">
      <c r="A190" s="1"/>
      <c r="B190">
        <v>18.483333333333331</v>
      </c>
      <c r="C190">
        <v>19.551666666666666</v>
      </c>
      <c r="D190">
        <v>29.384999999999994</v>
      </c>
      <c r="E190">
        <v>21.676666666666666</v>
      </c>
      <c r="F190">
        <v>20.761666666666667</v>
      </c>
      <c r="G190">
        <v>31.008333333333329</v>
      </c>
      <c r="H190">
        <v>23.498333333333335</v>
      </c>
      <c r="I190">
        <v>51.54666666666666</v>
      </c>
      <c r="J190">
        <v>53.806666666666672</v>
      </c>
      <c r="K190">
        <v>55.25333333333333</v>
      </c>
      <c r="L190">
        <v>29.384999999999994</v>
      </c>
      <c r="M190">
        <v>78.226666666666674</v>
      </c>
      <c r="N190">
        <v>53.805833333333339</v>
      </c>
      <c r="O190">
        <v>48.84</v>
      </c>
      <c r="P190">
        <v>53.806666666666672</v>
      </c>
      <c r="Q190">
        <v>6.3999999999999995</v>
      </c>
    </row>
    <row r="191" spans="1:17" x14ac:dyDescent="0.25">
      <c r="A191" s="1"/>
      <c r="B191" s="2">
        <f>AVERAGE(B188:B190)</f>
        <v>18.549444444444447</v>
      </c>
      <c r="C191" s="2">
        <f t="shared" ref="C191:Q191" si="117">AVERAGE(C188:C190)</f>
        <v>19.286111111111111</v>
      </c>
      <c r="D191" s="2">
        <f t="shared" si="117"/>
        <v>30.191111111111109</v>
      </c>
      <c r="E191" s="2">
        <f t="shared" si="117"/>
        <v>21.626111111111111</v>
      </c>
      <c r="F191" s="2">
        <f t="shared" si="117"/>
        <v>20.33666666666667</v>
      </c>
      <c r="G191" s="2">
        <f t="shared" si="117"/>
        <v>31.726666666666663</v>
      </c>
      <c r="H191" s="2">
        <f t="shared" si="117"/>
        <v>23.297777777777778</v>
      </c>
      <c r="I191" s="2">
        <f t="shared" si="117"/>
        <v>51.125</v>
      </c>
      <c r="J191" s="2">
        <f t="shared" si="117"/>
        <v>53.638888888888886</v>
      </c>
      <c r="K191" s="2">
        <f t="shared" si="117"/>
        <v>55.604999999999997</v>
      </c>
      <c r="L191" s="2">
        <f t="shared" si="117"/>
        <v>30.191111111111109</v>
      </c>
      <c r="M191" s="2">
        <f t="shared" si="117"/>
        <v>77.086666666666659</v>
      </c>
      <c r="N191" s="2">
        <f t="shared" si="117"/>
        <v>53.638888888888886</v>
      </c>
      <c r="O191" s="2">
        <f t="shared" si="117"/>
        <v>46.895000000000003</v>
      </c>
      <c r="P191" s="2">
        <f t="shared" si="117"/>
        <v>53.638888888888886</v>
      </c>
      <c r="Q191" s="2">
        <f t="shared" si="117"/>
        <v>6.0861111111111112</v>
      </c>
    </row>
    <row r="192" spans="1:17" x14ac:dyDescent="0.25">
      <c r="A192" s="1"/>
      <c r="B192" s="2">
        <f>_xlfn.STDEV.S(B188:B190)</f>
        <v>0.15202643532306395</v>
      </c>
      <c r="C192" s="2">
        <f t="shared" ref="C192:Q192" si="118">_xlfn.STDEV.S(C188:C190)</f>
        <v>0.35087720760233931</v>
      </c>
      <c r="D192" s="2">
        <f t="shared" si="118"/>
        <v>5.3052988012335724</v>
      </c>
      <c r="E192" s="2">
        <f t="shared" si="118"/>
        <v>1.4298371443137363</v>
      </c>
      <c r="F192" s="2">
        <f t="shared" si="118"/>
        <v>0.67221648298743741</v>
      </c>
      <c r="G192" s="2">
        <f t="shared" si="118"/>
        <v>5.2892115039326502</v>
      </c>
      <c r="H192" s="2">
        <f t="shared" si="118"/>
        <v>1.3272468720095993</v>
      </c>
      <c r="I192" s="2">
        <f t="shared" si="118"/>
        <v>0.76232283916402854</v>
      </c>
      <c r="J192" s="2">
        <f t="shared" si="118"/>
        <v>0.34992591808574725</v>
      </c>
      <c r="K192" s="2">
        <f t="shared" si="118"/>
        <v>0.33081129229685236</v>
      </c>
      <c r="L192" s="2">
        <f t="shared" si="118"/>
        <v>5.3052988012335724</v>
      </c>
      <c r="M192" s="2">
        <f t="shared" si="118"/>
        <v>4.7243094733516342</v>
      </c>
      <c r="N192" s="2">
        <f t="shared" si="118"/>
        <v>0.35076536686593934</v>
      </c>
      <c r="O192" s="2">
        <f t="shared" si="118"/>
        <v>10.021736515084507</v>
      </c>
      <c r="P192" s="2">
        <f t="shared" si="118"/>
        <v>0.34992591808574725</v>
      </c>
      <c r="Q192" s="2">
        <f t="shared" si="118"/>
        <v>0.36317402215793199</v>
      </c>
    </row>
    <row r="193" spans="1:17" x14ac:dyDescent="0.25">
      <c r="A193" s="1"/>
    </row>
    <row r="194" spans="1:17" x14ac:dyDescent="0.25">
      <c r="A194" s="1" t="s">
        <v>25</v>
      </c>
      <c r="B194">
        <v>15.555</v>
      </c>
      <c r="C194">
        <v>15.408333333333333</v>
      </c>
      <c r="D194">
        <v>54.344999999999999</v>
      </c>
      <c r="E194">
        <v>20.746666666666666</v>
      </c>
      <c r="F194">
        <v>16.818333333333332</v>
      </c>
      <c r="G194">
        <v>59.431666666666672</v>
      </c>
      <c r="H194">
        <v>25.424999999999997</v>
      </c>
      <c r="I194">
        <v>36.051666666666669</v>
      </c>
      <c r="J194">
        <v>50.136666666666663</v>
      </c>
      <c r="K194">
        <v>50.188333333333333</v>
      </c>
      <c r="L194">
        <v>54.344999999999999</v>
      </c>
      <c r="M194">
        <v>45.933333333333337</v>
      </c>
      <c r="N194">
        <v>50.139166666666661</v>
      </c>
      <c r="O194">
        <v>11.621666666666664</v>
      </c>
      <c r="P194">
        <v>50.136666666666663</v>
      </c>
      <c r="Q194">
        <v>0.26666666666666666</v>
      </c>
    </row>
    <row r="195" spans="1:17" x14ac:dyDescent="0.25">
      <c r="A195" s="1"/>
      <c r="B195">
        <v>15.211666666666666</v>
      </c>
      <c r="C195">
        <v>15.028333333333334</v>
      </c>
      <c r="D195">
        <v>43.555</v>
      </c>
      <c r="E195">
        <v>20.753333333333334</v>
      </c>
      <c r="F195">
        <v>16.111666666666668</v>
      </c>
      <c r="G195">
        <v>47.38</v>
      </c>
      <c r="H195">
        <v>23.645</v>
      </c>
      <c r="I195">
        <v>42.516666666666666</v>
      </c>
      <c r="J195">
        <v>49.518333333333338</v>
      </c>
      <c r="K195">
        <v>49.199999999999996</v>
      </c>
      <c r="L195">
        <v>43.555</v>
      </c>
      <c r="M195">
        <v>55.478333333333332</v>
      </c>
      <c r="N195">
        <v>49.516666666666659</v>
      </c>
      <c r="O195">
        <v>12.178333333333333</v>
      </c>
      <c r="P195">
        <v>49.518333333333338</v>
      </c>
      <c r="Q195">
        <v>-0.74833333333333341</v>
      </c>
    </row>
    <row r="196" spans="1:17" x14ac:dyDescent="0.25">
      <c r="A196" s="1"/>
      <c r="B196">
        <v>15.375</v>
      </c>
      <c r="C196">
        <v>15.018333333333333</v>
      </c>
      <c r="D196">
        <v>61.703333333333326</v>
      </c>
      <c r="E196">
        <v>21.898333333333337</v>
      </c>
      <c r="F196">
        <v>14.674999999999999</v>
      </c>
      <c r="G196">
        <v>58.901666666666664</v>
      </c>
      <c r="H196">
        <v>22.861666666666665</v>
      </c>
      <c r="I196">
        <v>34.443333333333335</v>
      </c>
      <c r="J196">
        <v>49.803333333333335</v>
      </c>
      <c r="K196">
        <v>49.726666666666667</v>
      </c>
      <c r="L196">
        <v>61.703333333333326</v>
      </c>
      <c r="M196">
        <v>37.904999999999994</v>
      </c>
      <c r="N196">
        <v>49.804166666666667</v>
      </c>
      <c r="O196">
        <v>23.8</v>
      </c>
      <c r="P196">
        <v>49.803333333333335</v>
      </c>
      <c r="Q196">
        <v>-0.36333333333333334</v>
      </c>
    </row>
    <row r="197" spans="1:17" x14ac:dyDescent="0.25">
      <c r="A197" s="1"/>
      <c r="B197" s="2">
        <f>AVERAGE(B194:B196)</f>
        <v>15.380555555555555</v>
      </c>
      <c r="C197" s="2">
        <f t="shared" ref="C197:Q197" si="119">AVERAGE(C194:C196)</f>
        <v>15.151666666666666</v>
      </c>
      <c r="D197" s="2">
        <f t="shared" si="119"/>
        <v>53.201111111111111</v>
      </c>
      <c r="E197" s="2">
        <f t="shared" si="119"/>
        <v>21.132777777777779</v>
      </c>
      <c r="F197" s="2">
        <f t="shared" si="119"/>
        <v>15.868333333333332</v>
      </c>
      <c r="G197" s="2">
        <f t="shared" si="119"/>
        <v>55.237777777777779</v>
      </c>
      <c r="H197" s="2">
        <f t="shared" si="119"/>
        <v>23.97722222222222</v>
      </c>
      <c r="I197" s="2">
        <f t="shared" si="119"/>
        <v>37.670555555555552</v>
      </c>
      <c r="J197" s="2">
        <f t="shared" si="119"/>
        <v>49.81944444444445</v>
      </c>
      <c r="K197" s="2">
        <f t="shared" si="119"/>
        <v>49.704999999999991</v>
      </c>
      <c r="L197" s="2">
        <f t="shared" si="119"/>
        <v>53.201111111111111</v>
      </c>
      <c r="M197" s="2">
        <f t="shared" si="119"/>
        <v>46.43888888888889</v>
      </c>
      <c r="N197" s="2">
        <f t="shared" si="119"/>
        <v>49.819999999999993</v>
      </c>
      <c r="O197" s="2">
        <f t="shared" si="119"/>
        <v>15.866666666666665</v>
      </c>
      <c r="P197" s="2">
        <f t="shared" si="119"/>
        <v>49.81944444444445</v>
      </c>
      <c r="Q197" s="2">
        <f t="shared" si="119"/>
        <v>-0.28166666666666668</v>
      </c>
    </row>
    <row r="198" spans="1:17" x14ac:dyDescent="0.25">
      <c r="A198" s="1"/>
      <c r="B198" s="2">
        <f>_xlfn.STDEV.S(B194:B196)</f>
        <v>0.1717340752226903</v>
      </c>
      <c r="C198" s="2">
        <f t="shared" ref="C198:Q198" si="120">_xlfn.STDEV.S(C194:C196)</f>
        <v>0.22233608194203047</v>
      </c>
      <c r="D198" s="2">
        <f t="shared" si="120"/>
        <v>9.1280809613542058</v>
      </c>
      <c r="E198" s="2">
        <f t="shared" si="120"/>
        <v>0.66299893860593428</v>
      </c>
      <c r="F198" s="2">
        <f t="shared" si="120"/>
        <v>1.0921894422570553</v>
      </c>
      <c r="G198" s="2">
        <f t="shared" si="120"/>
        <v>6.8101930004739168</v>
      </c>
      <c r="H198" s="2">
        <f t="shared" si="120"/>
        <v>1.313563149661312</v>
      </c>
      <c r="I198" s="2">
        <f t="shared" si="120"/>
        <v>4.2732047345878117</v>
      </c>
      <c r="J198" s="2">
        <f t="shared" si="120"/>
        <v>0.30948134629360324</v>
      </c>
      <c r="K198" s="2">
        <f t="shared" si="120"/>
        <v>0.49452277781491477</v>
      </c>
      <c r="L198" s="2">
        <f t="shared" si="120"/>
        <v>9.1280809613542058</v>
      </c>
      <c r="M198" s="2">
        <f t="shared" si="120"/>
        <v>8.7975678983413612</v>
      </c>
      <c r="N198" s="2">
        <f t="shared" si="120"/>
        <v>0.31155189508865766</v>
      </c>
      <c r="O198" s="2">
        <f t="shared" si="120"/>
        <v>6.8761037497828568</v>
      </c>
      <c r="P198" s="2">
        <f t="shared" si="120"/>
        <v>0.30948134629360324</v>
      </c>
      <c r="Q198" s="2">
        <f t="shared" si="120"/>
        <v>0.51240446263994743</v>
      </c>
    </row>
    <row r="199" spans="1:17" x14ac:dyDescent="0.25">
      <c r="A199" s="1"/>
    </row>
    <row r="200" spans="1:17" x14ac:dyDescent="0.25">
      <c r="A200" s="1" t="s">
        <v>26</v>
      </c>
      <c r="B200">
        <v>21.313333333333333</v>
      </c>
      <c r="C200">
        <v>21.238333333333333</v>
      </c>
      <c r="D200">
        <v>52.865000000000002</v>
      </c>
      <c r="E200">
        <v>28.811666666666667</v>
      </c>
      <c r="F200">
        <v>21.056666666666665</v>
      </c>
      <c r="G200">
        <v>52.935000000000002</v>
      </c>
      <c r="H200">
        <v>29.573333333333334</v>
      </c>
      <c r="I200">
        <v>51.574999999999996</v>
      </c>
      <c r="J200">
        <v>58.743333333333332</v>
      </c>
      <c r="K200">
        <v>61.634999999999998</v>
      </c>
      <c r="L200">
        <v>52.865000000000002</v>
      </c>
      <c r="M200">
        <v>64.625</v>
      </c>
      <c r="N200">
        <v>58.744999999999997</v>
      </c>
      <c r="O200">
        <v>11.761666666666668</v>
      </c>
      <c r="P200">
        <v>58.743333333333332</v>
      </c>
      <c r="Q200">
        <v>12.673333333333334</v>
      </c>
    </row>
    <row r="201" spans="1:17" x14ac:dyDescent="0.25">
      <c r="B201">
        <v>20.996666666666666</v>
      </c>
      <c r="C201">
        <v>20.27</v>
      </c>
      <c r="D201">
        <v>54.854999999999997</v>
      </c>
      <c r="E201">
        <v>27.956666666666663</v>
      </c>
      <c r="F201">
        <v>20.008333333333333</v>
      </c>
      <c r="G201">
        <v>54.65</v>
      </c>
      <c r="H201">
        <v>28.696666666666669</v>
      </c>
      <c r="I201">
        <v>49.715000000000003</v>
      </c>
      <c r="J201">
        <v>58.004999999999995</v>
      </c>
      <c r="K201">
        <v>60.938333333333333</v>
      </c>
      <c r="L201">
        <v>54.854999999999997</v>
      </c>
      <c r="M201">
        <v>61.150000000000006</v>
      </c>
      <c r="N201">
        <v>58.002499999999998</v>
      </c>
      <c r="O201">
        <v>7.2833333333333341</v>
      </c>
      <c r="P201">
        <v>58.004999999999995</v>
      </c>
      <c r="Q201">
        <v>11.431666666666665</v>
      </c>
    </row>
    <row r="202" spans="1:17" x14ac:dyDescent="0.25">
      <c r="B202">
        <v>22.015000000000001</v>
      </c>
      <c r="C202">
        <v>21.065000000000001</v>
      </c>
      <c r="D202">
        <v>53.453333333333326</v>
      </c>
      <c r="E202">
        <v>28.056666666666668</v>
      </c>
      <c r="F202">
        <v>20.875</v>
      </c>
      <c r="G202">
        <v>52.711666666666666</v>
      </c>
      <c r="H202">
        <v>28.966666666666665</v>
      </c>
      <c r="I202">
        <v>50.555</v>
      </c>
      <c r="J202">
        <v>58.71</v>
      </c>
      <c r="K202">
        <v>61.964999999999996</v>
      </c>
      <c r="L202">
        <v>53.453333333333326</v>
      </c>
      <c r="M202">
        <v>63.963333333333331</v>
      </c>
      <c r="N202">
        <v>58.708333333333336</v>
      </c>
      <c r="O202">
        <v>12.36</v>
      </c>
      <c r="P202">
        <v>58.71</v>
      </c>
      <c r="Q202">
        <v>12.611666666666666</v>
      </c>
    </row>
    <row r="203" spans="1:17" x14ac:dyDescent="0.25">
      <c r="B203" s="2">
        <f>AVERAGE(B200:B202)</f>
        <v>21.441666666666666</v>
      </c>
      <c r="C203" s="2">
        <f t="shared" ref="C203:Q203" si="121">AVERAGE(C200:C202)</f>
        <v>20.85777777777778</v>
      </c>
      <c r="D203" s="2">
        <f t="shared" si="121"/>
        <v>53.724444444444437</v>
      </c>
      <c r="E203" s="2">
        <f t="shared" si="121"/>
        <v>28.275000000000002</v>
      </c>
      <c r="F203" s="2">
        <f t="shared" si="121"/>
        <v>20.646666666666665</v>
      </c>
      <c r="G203" s="2">
        <f t="shared" si="121"/>
        <v>53.432222222222229</v>
      </c>
      <c r="H203" s="2">
        <f t="shared" si="121"/>
        <v>29.078888888888887</v>
      </c>
      <c r="I203" s="2">
        <f t="shared" si="121"/>
        <v>50.615000000000002</v>
      </c>
      <c r="J203" s="2">
        <f t="shared" si="121"/>
        <v>58.486111111111114</v>
      </c>
      <c r="K203" s="2">
        <f t="shared" si="121"/>
        <v>61.512777777777778</v>
      </c>
      <c r="L203" s="2">
        <f t="shared" si="121"/>
        <v>53.724444444444437</v>
      </c>
      <c r="M203" s="2">
        <f t="shared" si="121"/>
        <v>63.246111111111112</v>
      </c>
      <c r="N203" s="2">
        <f t="shared" si="121"/>
        <v>58.485277777777782</v>
      </c>
      <c r="O203" s="2">
        <f t="shared" si="121"/>
        <v>10.468333333333334</v>
      </c>
      <c r="P203" s="2">
        <f t="shared" si="121"/>
        <v>58.486111111111114</v>
      </c>
      <c r="Q203" s="2">
        <f t="shared" si="121"/>
        <v>12.238888888888887</v>
      </c>
    </row>
    <row r="204" spans="1:17" x14ac:dyDescent="0.25">
      <c r="B204" s="2">
        <f>_xlfn.STDEV.S(B200:B202)</f>
        <v>0.52115523385818396</v>
      </c>
      <c r="C204" s="2">
        <f t="shared" ref="C204:Q204" si="122">_xlfn.STDEV.S(C200:C202)</f>
        <v>0.51635564115069821</v>
      </c>
      <c r="D204" s="2">
        <f t="shared" si="122"/>
        <v>1.0223262326312097</v>
      </c>
      <c r="E204" s="2">
        <f t="shared" si="122"/>
        <v>0.46744874941894365</v>
      </c>
      <c r="F204" s="2">
        <f t="shared" si="122"/>
        <v>0.56022564898242333</v>
      </c>
      <c r="G204" s="2">
        <f t="shared" si="122"/>
        <v>1.0605217967969724</v>
      </c>
      <c r="H204" s="2">
        <f t="shared" si="122"/>
        <v>0.44897826392987134</v>
      </c>
      <c r="I204" s="2">
        <f t="shared" si="122"/>
        <v>0.93145048177559753</v>
      </c>
      <c r="J204" s="2">
        <f t="shared" si="122"/>
        <v>0.41698765413823202</v>
      </c>
      <c r="K204" s="2">
        <f t="shared" si="122"/>
        <v>0.52413244014734806</v>
      </c>
      <c r="L204" s="2">
        <f t="shared" si="122"/>
        <v>1.0223262326312097</v>
      </c>
      <c r="M204" s="2">
        <f t="shared" si="122"/>
        <v>1.8451861795052074</v>
      </c>
      <c r="N204" s="2">
        <f t="shared" si="122"/>
        <v>0.41849957962720713</v>
      </c>
      <c r="O204" s="2">
        <f t="shared" si="122"/>
        <v>2.7744674163602001</v>
      </c>
      <c r="P204" s="2">
        <f t="shared" si="122"/>
        <v>0.41698765413823202</v>
      </c>
      <c r="Q204" s="2">
        <f t="shared" si="122"/>
        <v>0.69975458660982215</v>
      </c>
    </row>
    <row r="206" spans="1:17" x14ac:dyDescent="0.25">
      <c r="A206" s="1" t="s">
        <v>33</v>
      </c>
      <c r="B206">
        <v>21.321666666666665</v>
      </c>
      <c r="C206">
        <v>22.468333333333334</v>
      </c>
      <c r="D206">
        <v>52.44</v>
      </c>
      <c r="E206">
        <v>29.621666666666659</v>
      </c>
      <c r="F206">
        <v>21.495000000000001</v>
      </c>
      <c r="G206">
        <v>51.818333333333335</v>
      </c>
      <c r="H206">
        <v>29.698333333333334</v>
      </c>
      <c r="I206">
        <v>52.585000000000001</v>
      </c>
      <c r="J206">
        <v>59.581666666666671</v>
      </c>
      <c r="K206">
        <v>62.141666666666673</v>
      </c>
      <c r="L206">
        <v>52.44</v>
      </c>
      <c r="M206">
        <v>66.720000000000013</v>
      </c>
      <c r="N206">
        <v>59.580000000000005</v>
      </c>
      <c r="O206">
        <v>14.283333333333331</v>
      </c>
      <c r="P206">
        <v>59.581666666666671</v>
      </c>
      <c r="Q206">
        <v>14.125</v>
      </c>
    </row>
    <row r="207" spans="1:17" x14ac:dyDescent="0.25">
      <c r="B207">
        <v>22.858333333333331</v>
      </c>
      <c r="C207">
        <v>21.556666666666668</v>
      </c>
      <c r="D207">
        <v>55.875</v>
      </c>
      <c r="E207">
        <v>29.183333333333334</v>
      </c>
      <c r="F207">
        <v>20.466666666666669</v>
      </c>
      <c r="G207">
        <v>54.183333333333337</v>
      </c>
      <c r="H207">
        <v>29.098333333333333</v>
      </c>
      <c r="I207">
        <v>51.021666666666675</v>
      </c>
      <c r="J207">
        <v>59.389999999999993</v>
      </c>
      <c r="K207">
        <v>62.656666666666666</v>
      </c>
      <c r="L207">
        <v>55.875</v>
      </c>
      <c r="M207">
        <v>62.903333333333329</v>
      </c>
      <c r="N207">
        <v>59.389166666666661</v>
      </c>
      <c r="O207">
        <v>8.2750000000000004</v>
      </c>
      <c r="P207">
        <v>59.389999999999993</v>
      </c>
      <c r="Q207">
        <v>13.465000000000002</v>
      </c>
    </row>
    <row r="208" spans="1:17" x14ac:dyDescent="0.25">
      <c r="B208">
        <v>23.423333333333332</v>
      </c>
      <c r="C208">
        <v>21.781666666666666</v>
      </c>
      <c r="D208">
        <v>58.195</v>
      </c>
      <c r="E208">
        <v>29.703333333333337</v>
      </c>
      <c r="F208">
        <v>21.183333333333334</v>
      </c>
      <c r="G208">
        <v>57.451666666666675</v>
      </c>
      <c r="H208">
        <v>30.068333333333328</v>
      </c>
      <c r="I208">
        <v>51.013333333333328</v>
      </c>
      <c r="J208">
        <v>60.024999999999999</v>
      </c>
      <c r="K208">
        <v>63.38</v>
      </c>
      <c r="L208">
        <v>58.195</v>
      </c>
      <c r="M208">
        <v>61.854999999999997</v>
      </c>
      <c r="N208">
        <v>60.025000000000006</v>
      </c>
      <c r="O208">
        <v>6.8366666666666669</v>
      </c>
      <c r="P208">
        <v>60.024999999999999</v>
      </c>
      <c r="Q208">
        <v>14.318333333333333</v>
      </c>
    </row>
    <row r="209" spans="2:17" x14ac:dyDescent="0.25">
      <c r="B209" s="2">
        <f>AVERAGE(B206:B208)</f>
        <v>22.534444444444443</v>
      </c>
      <c r="C209" s="2">
        <f t="shared" ref="C209:Q209" si="123">AVERAGE(C206:C208)</f>
        <v>21.935555555555556</v>
      </c>
      <c r="D209" s="2">
        <f t="shared" si="123"/>
        <v>55.50333333333333</v>
      </c>
      <c r="E209" s="2">
        <f t="shared" si="123"/>
        <v>29.502777777777776</v>
      </c>
      <c r="F209" s="2">
        <f t="shared" si="123"/>
        <v>21.048333333333336</v>
      </c>
      <c r="G209" s="2">
        <f t="shared" si="123"/>
        <v>54.484444444444449</v>
      </c>
      <c r="H209" s="2">
        <f t="shared" si="123"/>
        <v>29.621666666666666</v>
      </c>
      <c r="I209" s="2">
        <f t="shared" si="123"/>
        <v>51.54</v>
      </c>
      <c r="J209" s="2">
        <f t="shared" si="123"/>
        <v>59.665555555555557</v>
      </c>
      <c r="K209" s="2">
        <f t="shared" si="123"/>
        <v>62.726111111111116</v>
      </c>
      <c r="L209" s="2">
        <f t="shared" si="123"/>
        <v>55.50333333333333</v>
      </c>
      <c r="M209" s="2">
        <f t="shared" si="123"/>
        <v>63.826111111111111</v>
      </c>
      <c r="N209" s="2">
        <f t="shared" si="123"/>
        <v>59.664722222222224</v>
      </c>
      <c r="O209" s="2">
        <f t="shared" si="123"/>
        <v>9.798333333333332</v>
      </c>
      <c r="P209" s="2">
        <f t="shared" si="123"/>
        <v>59.665555555555557</v>
      </c>
      <c r="Q209" s="2">
        <f t="shared" si="123"/>
        <v>13.969444444444447</v>
      </c>
    </row>
    <row r="210" spans="2:17" x14ac:dyDescent="0.25">
      <c r="B210" s="2">
        <f>_xlfn.STDEV.S(B206:B208)</f>
        <v>1.0876252588569755</v>
      </c>
      <c r="C210" s="2">
        <f t="shared" ref="C210:Q210" si="124">_xlfn.STDEV.S(C206:C208)</f>
        <v>0.47491617194023827</v>
      </c>
      <c r="D210" s="2">
        <f t="shared" si="124"/>
        <v>2.8954461371839302</v>
      </c>
      <c r="E210" s="2">
        <f t="shared" si="124"/>
        <v>0.27964428462946567</v>
      </c>
      <c r="F210" s="2">
        <f t="shared" si="124"/>
        <v>0.52729129625958215</v>
      </c>
      <c r="G210" s="2">
        <f t="shared" si="124"/>
        <v>2.8287120809720201</v>
      </c>
      <c r="H210" s="2">
        <f t="shared" si="124"/>
        <v>0.48952357791359896</v>
      </c>
      <c r="I210" s="2">
        <f t="shared" si="124"/>
        <v>0.90500613871460023</v>
      </c>
      <c r="J210" s="2">
        <f t="shared" si="124"/>
        <v>0.32570578634599084</v>
      </c>
      <c r="K210" s="2">
        <f t="shared" si="124"/>
        <v>0.62208058903911911</v>
      </c>
      <c r="L210" s="2">
        <f t="shared" si="124"/>
        <v>2.8954461371839302</v>
      </c>
      <c r="M210" s="2">
        <f t="shared" si="124"/>
        <v>2.5604092193183532</v>
      </c>
      <c r="N210" s="2">
        <f t="shared" si="124"/>
        <v>0.32627350206253547</v>
      </c>
      <c r="O210" s="2">
        <f t="shared" si="124"/>
        <v>3.950141699286807</v>
      </c>
      <c r="P210" s="2">
        <f t="shared" si="124"/>
        <v>0.32570578634599084</v>
      </c>
      <c r="Q210" s="2">
        <f t="shared" si="124"/>
        <v>0.44742886875188526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EC644-C458-4EBF-981D-50A975C6A44D}">
  <dimension ref="A1:BR239"/>
  <sheetViews>
    <sheetView topLeftCell="AE162" zoomScale="55" zoomScaleNormal="55" workbookViewId="0">
      <selection activeCell="R2" sqref="R2"/>
    </sheetView>
  </sheetViews>
  <sheetFormatPr defaultRowHeight="14.4" x14ac:dyDescent="0.25"/>
  <cols>
    <col min="2" max="2" width="11.6640625" bestFit="1" customWidth="1"/>
  </cols>
  <sheetData>
    <row r="1" spans="1:53" x14ac:dyDescent="0.25">
      <c r="B1" t="s">
        <v>38</v>
      </c>
      <c r="C1" t="s">
        <v>10</v>
      </c>
      <c r="D1" t="s">
        <v>11</v>
      </c>
      <c r="E1" t="s">
        <v>9</v>
      </c>
      <c r="F1" t="s">
        <v>15</v>
      </c>
      <c r="G1" t="s">
        <v>7</v>
      </c>
      <c r="H1" t="s">
        <v>8</v>
      </c>
      <c r="I1" s="1" t="s">
        <v>12</v>
      </c>
    </row>
    <row r="2" spans="1:53" x14ac:dyDescent="0.25">
      <c r="A2" s="2" t="s">
        <v>64</v>
      </c>
      <c r="B2">
        <v>74.34</v>
      </c>
      <c r="C2">
        <v>77.3</v>
      </c>
      <c r="D2">
        <v>64.87</v>
      </c>
      <c r="E2">
        <v>80.88</v>
      </c>
      <c r="F2">
        <v>44.51</v>
      </c>
      <c r="G2">
        <v>69.819999999999993</v>
      </c>
      <c r="H2">
        <v>71.08</v>
      </c>
      <c r="I2">
        <f>(C2+D2)/2</f>
        <v>71.085000000000008</v>
      </c>
      <c r="J2">
        <f t="shared" ref="J2:J4" si="0">ABS(C2-D2)</f>
        <v>12.429999999999993</v>
      </c>
    </row>
    <row r="3" spans="1:53" x14ac:dyDescent="0.25">
      <c r="B3">
        <v>74.849999999999994</v>
      </c>
      <c r="C3">
        <v>68.47</v>
      </c>
      <c r="D3">
        <v>78.83</v>
      </c>
      <c r="E3">
        <v>81.7</v>
      </c>
      <c r="F3">
        <v>45.8</v>
      </c>
      <c r="G3">
        <v>71.42</v>
      </c>
      <c r="H3">
        <v>73.650000000000006</v>
      </c>
      <c r="I3">
        <f t="shared" ref="I3:I4" si="1">(C3+D3)/2</f>
        <v>73.650000000000006</v>
      </c>
      <c r="J3">
        <f t="shared" si="0"/>
        <v>10.36</v>
      </c>
    </row>
    <row r="4" spans="1:53" x14ac:dyDescent="0.25">
      <c r="B4">
        <v>74.13</v>
      </c>
      <c r="C4">
        <v>67.87</v>
      </c>
      <c r="D4">
        <v>73.19</v>
      </c>
      <c r="E4">
        <v>80.64</v>
      </c>
      <c r="F4">
        <v>41.81</v>
      </c>
      <c r="G4">
        <v>69.180000000000007</v>
      </c>
      <c r="H4">
        <v>70.53</v>
      </c>
      <c r="I4">
        <f t="shared" si="1"/>
        <v>70.53</v>
      </c>
      <c r="J4">
        <f t="shared" si="0"/>
        <v>5.3199999999999932</v>
      </c>
    </row>
    <row r="5" spans="1:53" x14ac:dyDescent="0.25">
      <c r="B5">
        <f>AVERAGE(B2:B4)</f>
        <v>74.44</v>
      </c>
      <c r="C5">
        <f t="shared" ref="C5:I5" si="2">AVERAGE(C2:C4)</f>
        <v>71.213333333333324</v>
      </c>
      <c r="D5">
        <f t="shared" si="2"/>
        <v>72.296666666666667</v>
      </c>
      <c r="E5">
        <f t="shared" si="2"/>
        <v>81.073333333333323</v>
      </c>
      <c r="F5">
        <f t="shared" si="2"/>
        <v>44.04</v>
      </c>
      <c r="G5">
        <f t="shared" si="2"/>
        <v>70.14</v>
      </c>
      <c r="H5">
        <f t="shared" si="2"/>
        <v>71.753333333333345</v>
      </c>
      <c r="I5">
        <f t="shared" si="2"/>
        <v>71.75500000000001</v>
      </c>
      <c r="J5">
        <f>AVERAGE(J2:J4)</f>
        <v>9.3699999999999957</v>
      </c>
    </row>
    <row r="6" spans="1:53" x14ac:dyDescent="0.25">
      <c r="B6">
        <f>_xlfn.STDEV.S(B2:B4)</f>
        <v>0.37027017163147063</v>
      </c>
      <c r="C6">
        <f t="shared" ref="C6:I6" si="3">_xlfn.STDEV.S(C2:C4)</f>
        <v>5.2797379985500514</v>
      </c>
      <c r="D6">
        <f t="shared" si="3"/>
        <v>7.0227440031182455</v>
      </c>
      <c r="E6">
        <f t="shared" si="3"/>
        <v>0.55581771592252771</v>
      </c>
      <c r="F6">
        <f t="shared" si="3"/>
        <v>2.0360992117281489</v>
      </c>
      <c r="G6">
        <f t="shared" si="3"/>
        <v>1.1537764081484756</v>
      </c>
      <c r="H6">
        <f t="shared" si="3"/>
        <v>1.6654228692237127</v>
      </c>
      <c r="I6">
        <f t="shared" si="3"/>
        <v>1.6644143114020633</v>
      </c>
      <c r="J6">
        <f>_xlfn.STDEV.S(J2:J4)</f>
        <v>3.6569249377038071</v>
      </c>
    </row>
    <row r="8" spans="1:53" x14ac:dyDescent="0.25">
      <c r="A8" s="2"/>
      <c r="T8" t="s">
        <v>0</v>
      </c>
      <c r="U8" t="s">
        <v>1</v>
      </c>
      <c r="V8" t="s">
        <v>2</v>
      </c>
      <c r="W8" t="s">
        <v>3</v>
      </c>
      <c r="X8" t="s">
        <v>4</v>
      </c>
      <c r="Y8" t="s">
        <v>5</v>
      </c>
      <c r="Z8" t="s">
        <v>6</v>
      </c>
      <c r="AA8" t="s">
        <v>7</v>
      </c>
      <c r="AB8" t="s">
        <v>8</v>
      </c>
      <c r="AC8" t="s">
        <v>9</v>
      </c>
      <c r="AD8" t="s">
        <v>10</v>
      </c>
      <c r="AE8" t="s">
        <v>11</v>
      </c>
      <c r="AF8" s="1" t="s">
        <v>12</v>
      </c>
      <c r="AG8" t="s">
        <v>13</v>
      </c>
      <c r="AH8" t="s">
        <v>14</v>
      </c>
      <c r="AI8" t="s">
        <v>15</v>
      </c>
      <c r="AL8" t="s">
        <v>0</v>
      </c>
      <c r="AM8" t="s">
        <v>1</v>
      </c>
      <c r="AN8" t="s">
        <v>2</v>
      </c>
      <c r="AO8" t="s">
        <v>3</v>
      </c>
      <c r="AP8" t="s">
        <v>4</v>
      </c>
      <c r="AQ8" t="s">
        <v>5</v>
      </c>
      <c r="AR8" t="s">
        <v>6</v>
      </c>
      <c r="AS8" t="s">
        <v>7</v>
      </c>
      <c r="AT8" t="s">
        <v>8</v>
      </c>
      <c r="AU8" t="s">
        <v>9</v>
      </c>
      <c r="AV8" t="s">
        <v>10</v>
      </c>
      <c r="AW8" t="s">
        <v>11</v>
      </c>
      <c r="AX8" s="1" t="s">
        <v>12</v>
      </c>
      <c r="AY8" t="s">
        <v>13</v>
      </c>
      <c r="AZ8" t="s">
        <v>14</v>
      </c>
      <c r="BA8" t="s">
        <v>15</v>
      </c>
    </row>
    <row r="9" spans="1:53" x14ac:dyDescent="0.25">
      <c r="A9" s="1" t="s">
        <v>66</v>
      </c>
      <c r="B9">
        <v>69.05</v>
      </c>
      <c r="C9">
        <v>70.099999999999994</v>
      </c>
      <c r="D9">
        <v>12.87</v>
      </c>
      <c r="E9">
        <v>20.02</v>
      </c>
      <c r="F9">
        <v>68.42</v>
      </c>
      <c r="G9">
        <v>10.66</v>
      </c>
      <c r="H9">
        <v>18.440000000000001</v>
      </c>
      <c r="I9">
        <v>33</v>
      </c>
      <c r="J9">
        <v>51.74</v>
      </c>
      <c r="K9">
        <v>45.64</v>
      </c>
      <c r="L9">
        <v>12.87</v>
      </c>
      <c r="M9">
        <v>90.62</v>
      </c>
      <c r="N9">
        <f>(L9+M9)/2</f>
        <v>51.745000000000005</v>
      </c>
      <c r="O9">
        <v>77.75</v>
      </c>
      <c r="P9">
        <v>51.74</v>
      </c>
      <c r="Q9">
        <v>3.77</v>
      </c>
      <c r="S9" s="1" t="s">
        <v>66</v>
      </c>
      <c r="T9">
        <v>74.19</v>
      </c>
      <c r="U9">
        <v>75.58</v>
      </c>
      <c r="V9">
        <v>42.67</v>
      </c>
      <c r="W9">
        <v>42.25</v>
      </c>
      <c r="X9">
        <v>65.33</v>
      </c>
      <c r="Y9">
        <v>40.159999999999997</v>
      </c>
      <c r="Z9">
        <v>49.75</v>
      </c>
      <c r="AA9">
        <v>38.65</v>
      </c>
      <c r="AB9">
        <v>49.37</v>
      </c>
      <c r="AC9">
        <v>54.7</v>
      </c>
      <c r="AD9">
        <v>42.67</v>
      </c>
      <c r="AE9">
        <v>56.06</v>
      </c>
      <c r="AF9">
        <f>(AD9+AE9)/2</f>
        <v>49.365000000000002</v>
      </c>
      <c r="AG9">
        <v>13.39</v>
      </c>
      <c r="AH9">
        <v>49.37</v>
      </c>
      <c r="AI9">
        <v>-0.73</v>
      </c>
      <c r="AK9" s="1" t="s">
        <v>66</v>
      </c>
      <c r="AL9">
        <v>69.45</v>
      </c>
      <c r="AM9">
        <v>69.41</v>
      </c>
      <c r="AN9">
        <v>52.96</v>
      </c>
      <c r="AO9">
        <v>59.45</v>
      </c>
      <c r="AP9">
        <v>72.34</v>
      </c>
      <c r="AQ9">
        <v>55.74</v>
      </c>
      <c r="AR9">
        <v>62.96</v>
      </c>
      <c r="AS9">
        <v>47.44</v>
      </c>
      <c r="AT9">
        <v>49.74</v>
      </c>
      <c r="AU9">
        <v>51.61</v>
      </c>
      <c r="AV9">
        <v>52.96</v>
      </c>
      <c r="AW9">
        <v>46.52</v>
      </c>
      <c r="AX9">
        <f>(AV9+AW9)/2</f>
        <v>49.74</v>
      </c>
      <c r="AY9">
        <v>6.44</v>
      </c>
      <c r="AZ9">
        <v>49.74</v>
      </c>
      <c r="BA9">
        <v>-0.66</v>
      </c>
    </row>
    <row r="10" spans="1:53" x14ac:dyDescent="0.25">
      <c r="B10">
        <v>64.540000000000006</v>
      </c>
      <c r="C10">
        <v>59.2</v>
      </c>
      <c r="D10">
        <v>17.7</v>
      </c>
      <c r="E10">
        <v>27.09</v>
      </c>
      <c r="F10">
        <v>63.89</v>
      </c>
      <c r="G10">
        <v>18.850000000000001</v>
      </c>
      <c r="H10">
        <v>29.11</v>
      </c>
      <c r="I10">
        <v>34.21</v>
      </c>
      <c r="J10">
        <v>45.64</v>
      </c>
      <c r="K10">
        <v>42.38</v>
      </c>
      <c r="L10">
        <v>17.7</v>
      </c>
      <c r="M10">
        <v>73.58</v>
      </c>
      <c r="N10">
        <f t="shared" ref="N10:N70" si="4">(L10+M10)/2</f>
        <v>45.64</v>
      </c>
      <c r="O10">
        <v>55.89</v>
      </c>
      <c r="P10">
        <v>45.64</v>
      </c>
      <c r="Q10">
        <v>-9.4499999999999993</v>
      </c>
      <c r="T10">
        <v>71.819999999999993</v>
      </c>
      <c r="U10">
        <v>70.41</v>
      </c>
      <c r="V10">
        <v>50.26</v>
      </c>
      <c r="W10">
        <v>51.28</v>
      </c>
      <c r="X10">
        <v>65.56</v>
      </c>
      <c r="Y10">
        <v>48.36</v>
      </c>
      <c r="Z10">
        <v>55.66</v>
      </c>
      <c r="AA10">
        <v>42</v>
      </c>
      <c r="AB10">
        <v>49.86</v>
      </c>
      <c r="AC10">
        <v>51.42</v>
      </c>
      <c r="AD10">
        <v>50.26</v>
      </c>
      <c r="AE10">
        <v>49.46</v>
      </c>
      <c r="AF10">
        <f t="shared" ref="AF10:AF70" si="5">(AD10+AE10)/2</f>
        <v>49.86</v>
      </c>
      <c r="AG10">
        <v>0.8</v>
      </c>
      <c r="AH10">
        <v>49.86</v>
      </c>
      <c r="AI10">
        <v>0.51</v>
      </c>
      <c r="AL10">
        <v>72.17</v>
      </c>
      <c r="AM10">
        <v>66</v>
      </c>
      <c r="AN10">
        <v>41.67</v>
      </c>
      <c r="AO10">
        <v>49.94</v>
      </c>
      <c r="AP10">
        <v>71.430000000000007</v>
      </c>
      <c r="AQ10">
        <v>45.08</v>
      </c>
      <c r="AR10">
        <v>55.28</v>
      </c>
      <c r="AS10">
        <v>44.89</v>
      </c>
      <c r="AT10">
        <v>49.55</v>
      </c>
      <c r="AU10">
        <v>50.42</v>
      </c>
      <c r="AV10">
        <v>41.67</v>
      </c>
      <c r="AW10">
        <v>57.42</v>
      </c>
      <c r="AX10">
        <f t="shared" ref="AX10:AX70" si="6">(AV10+AW10)/2</f>
        <v>49.545000000000002</v>
      </c>
      <c r="AY10">
        <v>15.75</v>
      </c>
      <c r="AZ10">
        <v>49.55</v>
      </c>
      <c r="BA10">
        <v>-1.48</v>
      </c>
    </row>
    <row r="11" spans="1:53" x14ac:dyDescent="0.25">
      <c r="B11">
        <v>54.55</v>
      </c>
      <c r="C11">
        <v>48.9</v>
      </c>
      <c r="D11">
        <v>57.17</v>
      </c>
      <c r="E11">
        <v>59.2</v>
      </c>
      <c r="F11">
        <v>48.57</v>
      </c>
      <c r="G11">
        <v>54.14</v>
      </c>
      <c r="H11">
        <v>51.2</v>
      </c>
      <c r="I11">
        <v>32.54</v>
      </c>
      <c r="J11">
        <v>48.49</v>
      </c>
      <c r="K11">
        <v>50.18</v>
      </c>
      <c r="L11">
        <v>57.17</v>
      </c>
      <c r="M11">
        <v>39.799999999999997</v>
      </c>
      <c r="N11">
        <f t="shared" si="4"/>
        <v>48.484999999999999</v>
      </c>
      <c r="O11">
        <v>17.37</v>
      </c>
      <c r="P11">
        <v>48.49</v>
      </c>
      <c r="Q11">
        <v>-5.81</v>
      </c>
      <c r="T11">
        <v>54.95</v>
      </c>
      <c r="U11">
        <v>55.96</v>
      </c>
      <c r="V11">
        <v>63.52</v>
      </c>
      <c r="W11">
        <v>49.92</v>
      </c>
      <c r="X11">
        <v>50.27</v>
      </c>
      <c r="Y11">
        <v>59.87</v>
      </c>
      <c r="Z11">
        <v>54.65</v>
      </c>
      <c r="AA11">
        <v>36.56</v>
      </c>
      <c r="AB11">
        <v>46.29</v>
      </c>
      <c r="AC11">
        <v>48.74</v>
      </c>
      <c r="AD11">
        <v>63.52</v>
      </c>
      <c r="AE11">
        <v>29.06</v>
      </c>
      <c r="AF11">
        <f t="shared" si="5"/>
        <v>46.29</v>
      </c>
      <c r="AG11">
        <v>34.450000000000003</v>
      </c>
      <c r="AH11">
        <v>46.29</v>
      </c>
      <c r="AI11">
        <v>-5.95</v>
      </c>
      <c r="AL11">
        <v>57.99</v>
      </c>
      <c r="AM11">
        <v>62.51</v>
      </c>
      <c r="AN11">
        <v>32.869999999999997</v>
      </c>
      <c r="AO11">
        <v>34.340000000000003</v>
      </c>
      <c r="AP11">
        <v>58.06</v>
      </c>
      <c r="AQ11">
        <v>34.39</v>
      </c>
      <c r="AR11">
        <v>43.2</v>
      </c>
      <c r="AS11">
        <v>41.39</v>
      </c>
      <c r="AT11">
        <v>48.93</v>
      </c>
      <c r="AU11">
        <v>53.31</v>
      </c>
      <c r="AV11">
        <v>32.869999999999997</v>
      </c>
      <c r="AW11">
        <v>64.98</v>
      </c>
      <c r="AX11">
        <f t="shared" si="6"/>
        <v>48.924999999999997</v>
      </c>
      <c r="AY11">
        <v>32.119999999999997</v>
      </c>
      <c r="AZ11">
        <v>48.93</v>
      </c>
      <c r="BA11">
        <v>-1.98</v>
      </c>
    </row>
    <row r="12" spans="1:53" x14ac:dyDescent="0.25">
      <c r="B12">
        <v>76.33</v>
      </c>
      <c r="C12">
        <v>87.66</v>
      </c>
      <c r="D12">
        <v>28.43</v>
      </c>
      <c r="E12">
        <v>42.4</v>
      </c>
      <c r="F12">
        <v>85.71</v>
      </c>
      <c r="G12">
        <v>29.51</v>
      </c>
      <c r="H12">
        <v>43.9</v>
      </c>
      <c r="I12">
        <v>45.49</v>
      </c>
      <c r="J12">
        <v>56.77</v>
      </c>
      <c r="K12">
        <v>53.38</v>
      </c>
      <c r="L12">
        <v>28.43</v>
      </c>
      <c r="M12">
        <v>85.1</v>
      </c>
      <c r="N12">
        <f t="shared" si="4"/>
        <v>56.765000000000001</v>
      </c>
      <c r="O12">
        <v>56.67</v>
      </c>
      <c r="P12">
        <v>56.77</v>
      </c>
      <c r="Q12">
        <v>17.399999999999999</v>
      </c>
      <c r="T12">
        <v>70.790000000000006</v>
      </c>
      <c r="U12">
        <v>63.37</v>
      </c>
      <c r="V12">
        <v>43.93</v>
      </c>
      <c r="W12">
        <v>43.86</v>
      </c>
      <c r="X12">
        <v>62.5</v>
      </c>
      <c r="Y12">
        <v>40.98</v>
      </c>
      <c r="Z12">
        <v>49.5</v>
      </c>
      <c r="AA12">
        <v>38.51</v>
      </c>
      <c r="AB12">
        <v>48.08</v>
      </c>
      <c r="AC12">
        <v>52.61</v>
      </c>
      <c r="AD12">
        <v>43.93</v>
      </c>
      <c r="AE12">
        <v>52.23</v>
      </c>
      <c r="AF12">
        <f t="shared" si="5"/>
        <v>48.08</v>
      </c>
      <c r="AG12">
        <v>8.3000000000000007</v>
      </c>
      <c r="AH12">
        <v>48.08</v>
      </c>
      <c r="AI12">
        <v>-4.3099999999999996</v>
      </c>
      <c r="AL12">
        <v>72.739999999999995</v>
      </c>
      <c r="AM12">
        <v>72.37</v>
      </c>
      <c r="AN12">
        <v>59.8</v>
      </c>
      <c r="AO12">
        <v>64.08</v>
      </c>
      <c r="AP12">
        <v>73.27</v>
      </c>
      <c r="AQ12">
        <v>60.66</v>
      </c>
      <c r="AR12">
        <v>66.37</v>
      </c>
      <c r="AS12">
        <v>50.35</v>
      </c>
      <c r="AT12">
        <v>53.43</v>
      </c>
      <c r="AU12">
        <v>52.49</v>
      </c>
      <c r="AV12">
        <v>59.8</v>
      </c>
      <c r="AW12">
        <v>47.07</v>
      </c>
      <c r="AX12">
        <f t="shared" si="6"/>
        <v>53.435000000000002</v>
      </c>
      <c r="AY12">
        <v>12.73</v>
      </c>
      <c r="AZ12">
        <v>53.43</v>
      </c>
      <c r="BA12">
        <v>5.97</v>
      </c>
    </row>
    <row r="13" spans="1:53" x14ac:dyDescent="0.25">
      <c r="B13">
        <v>55.83</v>
      </c>
      <c r="C13">
        <v>56.96</v>
      </c>
      <c r="D13">
        <v>61.18</v>
      </c>
      <c r="E13">
        <v>47.56</v>
      </c>
      <c r="F13">
        <v>50.27</v>
      </c>
      <c r="G13">
        <v>58.6</v>
      </c>
      <c r="H13">
        <v>54.12</v>
      </c>
      <c r="I13">
        <v>34.619999999999997</v>
      </c>
      <c r="J13">
        <v>48.13</v>
      </c>
      <c r="K13">
        <v>46.97</v>
      </c>
      <c r="L13">
        <v>61.18</v>
      </c>
      <c r="M13">
        <v>35.090000000000003</v>
      </c>
      <c r="N13">
        <f t="shared" si="4"/>
        <v>48.135000000000005</v>
      </c>
      <c r="O13">
        <v>26.09</v>
      </c>
      <c r="P13">
        <v>48.13</v>
      </c>
      <c r="Q13">
        <v>-3.82</v>
      </c>
      <c r="T13">
        <v>55.57</v>
      </c>
      <c r="U13">
        <v>62.15</v>
      </c>
      <c r="V13">
        <v>72.010000000000005</v>
      </c>
      <c r="W13">
        <v>53.71</v>
      </c>
      <c r="X13">
        <v>52.48</v>
      </c>
      <c r="Y13">
        <v>67.52</v>
      </c>
      <c r="Z13">
        <v>59.05</v>
      </c>
      <c r="AA13">
        <v>39.590000000000003</v>
      </c>
      <c r="AB13">
        <v>53.95</v>
      </c>
      <c r="AC13">
        <v>48.88</v>
      </c>
      <c r="AD13">
        <v>72.010000000000005</v>
      </c>
      <c r="AE13">
        <v>35.880000000000003</v>
      </c>
      <c r="AF13">
        <f t="shared" si="5"/>
        <v>53.945000000000007</v>
      </c>
      <c r="AG13">
        <v>36.130000000000003</v>
      </c>
      <c r="AH13">
        <v>53.95</v>
      </c>
      <c r="AI13">
        <v>9</v>
      </c>
      <c r="AL13">
        <v>51.43</v>
      </c>
      <c r="AM13">
        <v>62.74</v>
      </c>
      <c r="AN13">
        <v>35.159999999999997</v>
      </c>
      <c r="AO13">
        <v>37.5</v>
      </c>
      <c r="AP13">
        <v>56.19</v>
      </c>
      <c r="AQ13">
        <v>37.58</v>
      </c>
      <c r="AR13">
        <v>45.04</v>
      </c>
      <c r="AS13">
        <v>41.82</v>
      </c>
      <c r="AT13">
        <v>47.67</v>
      </c>
      <c r="AU13">
        <v>44.35</v>
      </c>
      <c r="AV13">
        <v>35.159999999999997</v>
      </c>
      <c r="AW13">
        <v>60.18</v>
      </c>
      <c r="AX13">
        <f t="shared" si="6"/>
        <v>47.67</v>
      </c>
      <c r="AY13">
        <v>25.02</v>
      </c>
      <c r="AZ13">
        <v>47.67</v>
      </c>
      <c r="BA13">
        <v>-1.58</v>
      </c>
    </row>
    <row r="14" spans="1:53" x14ac:dyDescent="0.25">
      <c r="B14">
        <v>45.43</v>
      </c>
      <c r="C14">
        <v>47.28</v>
      </c>
      <c r="D14">
        <v>58.75</v>
      </c>
      <c r="E14">
        <v>35.68</v>
      </c>
      <c r="F14">
        <v>37.200000000000003</v>
      </c>
      <c r="G14">
        <v>50</v>
      </c>
      <c r="H14">
        <v>42.66</v>
      </c>
      <c r="I14">
        <v>29.16</v>
      </c>
      <c r="J14">
        <v>45.64</v>
      </c>
      <c r="K14">
        <v>43.87</v>
      </c>
      <c r="L14">
        <v>58.75</v>
      </c>
      <c r="M14">
        <v>32.520000000000003</v>
      </c>
      <c r="N14">
        <f t="shared" si="4"/>
        <v>45.635000000000005</v>
      </c>
      <c r="O14">
        <v>26.23</v>
      </c>
      <c r="P14">
        <v>45.64</v>
      </c>
      <c r="Q14">
        <v>-9.6300000000000008</v>
      </c>
      <c r="T14">
        <v>50.92</v>
      </c>
      <c r="U14">
        <v>44.88</v>
      </c>
      <c r="V14">
        <v>59.33</v>
      </c>
      <c r="W14">
        <v>62.62</v>
      </c>
      <c r="X14">
        <v>46.2</v>
      </c>
      <c r="Y14">
        <v>59.84</v>
      </c>
      <c r="Z14">
        <v>52.14</v>
      </c>
      <c r="AA14">
        <v>36.18</v>
      </c>
      <c r="AB14">
        <v>49.33</v>
      </c>
      <c r="AC14">
        <v>51.99</v>
      </c>
      <c r="AD14">
        <v>59.33</v>
      </c>
      <c r="AE14">
        <v>39.33</v>
      </c>
      <c r="AF14">
        <f t="shared" si="5"/>
        <v>49.33</v>
      </c>
      <c r="AG14">
        <v>19.989999999999998</v>
      </c>
      <c r="AH14">
        <v>49.33</v>
      </c>
      <c r="AI14">
        <v>-2.11</v>
      </c>
      <c r="AL14">
        <v>54.43</v>
      </c>
      <c r="AM14">
        <v>59.31</v>
      </c>
      <c r="AN14">
        <v>46.43</v>
      </c>
      <c r="AO14">
        <v>56.5</v>
      </c>
      <c r="AP14">
        <v>62.75</v>
      </c>
      <c r="AQ14">
        <v>52.46</v>
      </c>
      <c r="AR14">
        <v>57.14</v>
      </c>
      <c r="AS14">
        <v>51.54</v>
      </c>
      <c r="AT14">
        <v>56.43</v>
      </c>
      <c r="AU14">
        <v>58.22</v>
      </c>
      <c r="AV14">
        <v>46.43</v>
      </c>
      <c r="AW14">
        <v>66.44</v>
      </c>
      <c r="AX14">
        <f t="shared" si="6"/>
        <v>56.435000000000002</v>
      </c>
      <c r="AY14">
        <v>20.02</v>
      </c>
      <c r="AZ14">
        <v>56.43</v>
      </c>
      <c r="BA14">
        <v>12.46</v>
      </c>
    </row>
    <row r="15" spans="1:53" x14ac:dyDescent="0.25">
      <c r="B15">
        <v>74.650000000000006</v>
      </c>
      <c r="C15">
        <v>79.44</v>
      </c>
      <c r="D15">
        <v>35.18</v>
      </c>
      <c r="E15">
        <v>47.26</v>
      </c>
      <c r="F15">
        <v>83.93</v>
      </c>
      <c r="G15">
        <v>38.520000000000003</v>
      </c>
      <c r="H15">
        <v>52.81</v>
      </c>
      <c r="I15">
        <v>48.25</v>
      </c>
      <c r="J15">
        <v>57.29</v>
      </c>
      <c r="K15">
        <v>57</v>
      </c>
      <c r="L15">
        <v>35.18</v>
      </c>
      <c r="M15">
        <v>79.39</v>
      </c>
      <c r="N15">
        <f t="shared" si="4"/>
        <v>57.284999999999997</v>
      </c>
      <c r="O15">
        <v>44.21</v>
      </c>
      <c r="P15">
        <v>57.29</v>
      </c>
      <c r="Q15">
        <v>14.53</v>
      </c>
      <c r="T15">
        <v>77.86</v>
      </c>
      <c r="U15">
        <v>76.02</v>
      </c>
      <c r="V15">
        <v>50.12</v>
      </c>
      <c r="W15">
        <v>52.71</v>
      </c>
      <c r="X15">
        <v>68.239999999999995</v>
      </c>
      <c r="Y15">
        <v>47.54</v>
      </c>
      <c r="Z15">
        <v>56.04</v>
      </c>
      <c r="AA15">
        <v>45.02</v>
      </c>
      <c r="AB15">
        <v>53.47</v>
      </c>
      <c r="AC15">
        <v>59.6</v>
      </c>
      <c r="AD15">
        <v>50.12</v>
      </c>
      <c r="AE15">
        <v>56.82</v>
      </c>
      <c r="AF15">
        <f t="shared" si="5"/>
        <v>53.47</v>
      </c>
      <c r="AG15">
        <v>6.7</v>
      </c>
      <c r="AH15">
        <v>53.47</v>
      </c>
      <c r="AI15">
        <v>8.59</v>
      </c>
      <c r="AL15">
        <v>67.959999999999994</v>
      </c>
      <c r="AM15">
        <v>62.66</v>
      </c>
      <c r="AN15">
        <v>37.6</v>
      </c>
      <c r="AO15">
        <v>44.83</v>
      </c>
      <c r="AP15">
        <v>67.569999999999993</v>
      </c>
      <c r="AQ15">
        <v>40.98</v>
      </c>
      <c r="AR15">
        <v>51.02</v>
      </c>
      <c r="AS15">
        <v>39.99</v>
      </c>
      <c r="AT15">
        <v>45.51</v>
      </c>
      <c r="AU15">
        <v>47.47</v>
      </c>
      <c r="AV15">
        <v>37.6</v>
      </c>
      <c r="AW15">
        <v>53.42</v>
      </c>
      <c r="AX15">
        <f t="shared" si="6"/>
        <v>45.510000000000005</v>
      </c>
      <c r="AY15">
        <v>15.82</v>
      </c>
      <c r="AZ15">
        <v>45.51</v>
      </c>
      <c r="BA15">
        <v>-9.09</v>
      </c>
    </row>
    <row r="16" spans="1:53" x14ac:dyDescent="0.25">
      <c r="B16">
        <v>59.34</v>
      </c>
      <c r="C16">
        <v>64.739999999999995</v>
      </c>
      <c r="D16">
        <v>63.4</v>
      </c>
      <c r="E16">
        <v>48.63</v>
      </c>
      <c r="F16">
        <v>51.4</v>
      </c>
      <c r="G16">
        <v>58.6</v>
      </c>
      <c r="H16">
        <v>54.76</v>
      </c>
      <c r="I16">
        <v>36.369999999999997</v>
      </c>
      <c r="J16">
        <v>50.93</v>
      </c>
      <c r="K16">
        <v>54.11</v>
      </c>
      <c r="L16">
        <v>63.4</v>
      </c>
      <c r="M16">
        <v>38.47</v>
      </c>
      <c r="N16">
        <f t="shared" si="4"/>
        <v>50.935000000000002</v>
      </c>
      <c r="O16">
        <v>24.92</v>
      </c>
      <c r="P16">
        <v>50.93</v>
      </c>
      <c r="Q16">
        <v>5.18</v>
      </c>
      <c r="T16">
        <v>54.02</v>
      </c>
      <c r="U16">
        <v>55.35</v>
      </c>
      <c r="V16">
        <v>63.65</v>
      </c>
      <c r="W16">
        <v>47.89</v>
      </c>
      <c r="X16">
        <v>48.4</v>
      </c>
      <c r="Y16">
        <v>57.96</v>
      </c>
      <c r="Z16">
        <v>52.75</v>
      </c>
      <c r="AA16">
        <v>34.119999999999997</v>
      </c>
      <c r="AB16">
        <v>46.31</v>
      </c>
      <c r="AC16">
        <v>46.66</v>
      </c>
      <c r="AD16">
        <v>63.65</v>
      </c>
      <c r="AE16">
        <v>28.98</v>
      </c>
      <c r="AF16">
        <f t="shared" si="5"/>
        <v>46.314999999999998</v>
      </c>
      <c r="AG16">
        <v>34.67</v>
      </c>
      <c r="AH16">
        <v>46.31</v>
      </c>
      <c r="AI16">
        <v>-4.91</v>
      </c>
      <c r="AL16">
        <v>56.38</v>
      </c>
      <c r="AM16">
        <v>60.56</v>
      </c>
      <c r="AN16">
        <v>31.93</v>
      </c>
      <c r="AO16">
        <v>34.43</v>
      </c>
      <c r="AP16">
        <v>50.98</v>
      </c>
      <c r="AQ16">
        <v>33.119999999999997</v>
      </c>
      <c r="AR16">
        <v>40.15</v>
      </c>
      <c r="AS16">
        <v>39.93</v>
      </c>
      <c r="AT16">
        <v>47.15</v>
      </c>
      <c r="AU16">
        <v>47.94</v>
      </c>
      <c r="AV16">
        <v>31.93</v>
      </c>
      <c r="AW16">
        <v>62.38</v>
      </c>
      <c r="AX16">
        <f t="shared" si="6"/>
        <v>47.155000000000001</v>
      </c>
      <c r="AY16">
        <v>30.45</v>
      </c>
      <c r="AZ16">
        <v>47.15</v>
      </c>
      <c r="BA16">
        <v>-5.44</v>
      </c>
    </row>
    <row r="17" spans="1:53" x14ac:dyDescent="0.25">
      <c r="B17">
        <v>47.14</v>
      </c>
      <c r="C17">
        <v>41.51</v>
      </c>
      <c r="D17">
        <v>61.46</v>
      </c>
      <c r="E17">
        <v>50.95</v>
      </c>
      <c r="F17">
        <v>39.630000000000003</v>
      </c>
      <c r="G17">
        <v>53.28</v>
      </c>
      <c r="H17">
        <v>45.45</v>
      </c>
      <c r="I17">
        <v>32.35</v>
      </c>
      <c r="J17">
        <v>49.37</v>
      </c>
      <c r="K17">
        <v>46.69</v>
      </c>
      <c r="L17">
        <v>61.46</v>
      </c>
      <c r="M17">
        <v>37.270000000000003</v>
      </c>
      <c r="N17">
        <f t="shared" si="4"/>
        <v>49.365000000000002</v>
      </c>
      <c r="O17">
        <v>24.2</v>
      </c>
      <c r="P17">
        <v>49.37</v>
      </c>
      <c r="Q17">
        <v>-4.49</v>
      </c>
      <c r="T17">
        <v>53.68</v>
      </c>
      <c r="U17">
        <v>52.7</v>
      </c>
      <c r="V17">
        <v>66.010000000000005</v>
      </c>
      <c r="W17">
        <v>46.92</v>
      </c>
      <c r="X17">
        <v>46.3</v>
      </c>
      <c r="Y17">
        <v>61.48</v>
      </c>
      <c r="Z17">
        <v>52.82</v>
      </c>
      <c r="AA17">
        <v>38.840000000000003</v>
      </c>
      <c r="AB17">
        <v>51.15</v>
      </c>
      <c r="AC17">
        <v>54.99</v>
      </c>
      <c r="AD17">
        <v>66.010000000000005</v>
      </c>
      <c r="AE17">
        <v>36.29</v>
      </c>
      <c r="AF17">
        <f t="shared" si="5"/>
        <v>51.150000000000006</v>
      </c>
      <c r="AG17">
        <v>29.72</v>
      </c>
      <c r="AH17">
        <v>51.15</v>
      </c>
      <c r="AI17">
        <v>2.66</v>
      </c>
      <c r="AL17">
        <v>57.59</v>
      </c>
      <c r="AM17">
        <v>67.38</v>
      </c>
      <c r="AN17">
        <v>38.369999999999997</v>
      </c>
      <c r="AO17">
        <v>48.94</v>
      </c>
      <c r="AP17">
        <v>61.96</v>
      </c>
      <c r="AQ17">
        <v>46.72</v>
      </c>
      <c r="AR17">
        <v>53.27</v>
      </c>
      <c r="AS17">
        <v>48.3</v>
      </c>
      <c r="AT17">
        <v>54.64</v>
      </c>
      <c r="AU17">
        <v>60.11</v>
      </c>
      <c r="AV17">
        <v>38.369999999999997</v>
      </c>
      <c r="AW17">
        <v>70.900000000000006</v>
      </c>
      <c r="AX17">
        <f t="shared" si="6"/>
        <v>54.635000000000005</v>
      </c>
      <c r="AY17">
        <v>32.53</v>
      </c>
      <c r="AZ17">
        <v>54.64</v>
      </c>
      <c r="BA17">
        <v>9.3699999999999992</v>
      </c>
    </row>
    <row r="18" spans="1:53" x14ac:dyDescent="0.25">
      <c r="B18">
        <v>48.2</v>
      </c>
      <c r="C18">
        <v>64.63</v>
      </c>
      <c r="D18">
        <v>57.99</v>
      </c>
      <c r="E18">
        <v>41.43</v>
      </c>
      <c r="F18">
        <v>48.99</v>
      </c>
      <c r="G18">
        <v>57.71</v>
      </c>
      <c r="H18">
        <v>52.99</v>
      </c>
      <c r="I18">
        <v>37.5</v>
      </c>
      <c r="J18">
        <v>51.36</v>
      </c>
      <c r="K18">
        <v>49.21</v>
      </c>
      <c r="L18">
        <v>57.99</v>
      </c>
      <c r="M18">
        <v>44.72</v>
      </c>
      <c r="N18">
        <f t="shared" si="4"/>
        <v>51.355000000000004</v>
      </c>
      <c r="O18">
        <v>13.26</v>
      </c>
      <c r="P18">
        <v>51.36</v>
      </c>
      <c r="Q18">
        <v>3.66</v>
      </c>
      <c r="T18">
        <v>51.93</v>
      </c>
      <c r="U18">
        <v>57.67</v>
      </c>
      <c r="V18">
        <v>43</v>
      </c>
      <c r="W18">
        <v>45.96</v>
      </c>
      <c r="X18">
        <v>44.14</v>
      </c>
      <c r="Y18">
        <v>38.74</v>
      </c>
      <c r="Z18">
        <v>41.26</v>
      </c>
      <c r="AA18">
        <v>34.35</v>
      </c>
      <c r="AB18">
        <v>49.19</v>
      </c>
      <c r="AC18">
        <v>52.5</v>
      </c>
      <c r="AD18">
        <v>43</v>
      </c>
      <c r="AE18">
        <v>55.37</v>
      </c>
      <c r="AF18">
        <f t="shared" si="5"/>
        <v>49.185000000000002</v>
      </c>
      <c r="AG18">
        <v>12.36</v>
      </c>
      <c r="AH18">
        <v>49.19</v>
      </c>
      <c r="AI18">
        <v>-3.85</v>
      </c>
      <c r="AL18">
        <v>49.49</v>
      </c>
      <c r="AM18">
        <v>60.02</v>
      </c>
      <c r="AN18">
        <v>38</v>
      </c>
      <c r="AO18">
        <v>42.41</v>
      </c>
      <c r="AP18">
        <v>56.19</v>
      </c>
      <c r="AQ18">
        <v>43.08</v>
      </c>
      <c r="AR18">
        <v>48.77</v>
      </c>
      <c r="AS18">
        <v>42.98</v>
      </c>
      <c r="AT18">
        <v>51.52</v>
      </c>
      <c r="AU18">
        <v>47.44</v>
      </c>
      <c r="AV18">
        <v>38</v>
      </c>
      <c r="AW18">
        <v>65.05</v>
      </c>
      <c r="AX18">
        <f t="shared" si="6"/>
        <v>51.524999999999999</v>
      </c>
      <c r="AY18">
        <v>27.05</v>
      </c>
      <c r="AZ18">
        <v>51.52</v>
      </c>
      <c r="BA18">
        <v>2.74</v>
      </c>
    </row>
    <row r="19" spans="1:53" x14ac:dyDescent="0.25">
      <c r="B19" s="2">
        <f>AVERAGE(B9:B18)</f>
        <v>59.506000000000007</v>
      </c>
      <c r="C19" s="2">
        <f t="shared" ref="C19:Q19" si="7">AVERAGE(C9:C18)</f>
        <v>62.041999999999994</v>
      </c>
      <c r="D19" s="2">
        <f t="shared" si="7"/>
        <v>45.412999999999997</v>
      </c>
      <c r="E19" s="2">
        <f t="shared" si="7"/>
        <v>42.022000000000006</v>
      </c>
      <c r="F19" s="2">
        <f t="shared" si="7"/>
        <v>57.801000000000002</v>
      </c>
      <c r="G19" s="2">
        <f t="shared" si="7"/>
        <v>42.987000000000009</v>
      </c>
      <c r="H19" s="2">
        <f t="shared" si="7"/>
        <v>44.543999999999997</v>
      </c>
      <c r="I19" s="2">
        <f t="shared" si="7"/>
        <v>36.349000000000004</v>
      </c>
      <c r="J19" s="2">
        <f t="shared" si="7"/>
        <v>50.536000000000008</v>
      </c>
      <c r="K19" s="2">
        <f t="shared" si="7"/>
        <v>48.942999999999998</v>
      </c>
      <c r="L19" s="2">
        <f t="shared" si="7"/>
        <v>45.412999999999997</v>
      </c>
      <c r="M19" s="2">
        <f t="shared" si="7"/>
        <v>55.656000000000006</v>
      </c>
      <c r="N19" s="2">
        <f t="shared" si="7"/>
        <v>50.534499999999994</v>
      </c>
      <c r="O19" s="2">
        <f t="shared" si="7"/>
        <v>36.658999999999999</v>
      </c>
      <c r="P19" s="2">
        <f t="shared" si="7"/>
        <v>50.536000000000008</v>
      </c>
      <c r="Q19" s="2">
        <f t="shared" si="7"/>
        <v>1.1339999999999999</v>
      </c>
      <c r="R19" s="2"/>
      <c r="S19" s="2"/>
      <c r="T19" s="2">
        <f t="shared" ref="T19:AI19" si="8">AVERAGE(T9:T18)</f>
        <v>61.572999999999993</v>
      </c>
      <c r="U19" s="2">
        <f t="shared" si="8"/>
        <v>61.408999999999992</v>
      </c>
      <c r="V19" s="2">
        <f t="shared" si="8"/>
        <v>55.45</v>
      </c>
      <c r="W19" s="2">
        <f t="shared" si="8"/>
        <v>49.711999999999996</v>
      </c>
      <c r="X19" s="2">
        <f t="shared" si="8"/>
        <v>54.941999999999993</v>
      </c>
      <c r="Y19" s="2">
        <f t="shared" si="8"/>
        <v>52.245000000000005</v>
      </c>
      <c r="Z19" s="2">
        <f t="shared" si="8"/>
        <v>52.362000000000002</v>
      </c>
      <c r="AA19" s="2">
        <f t="shared" si="8"/>
        <v>38.382000000000005</v>
      </c>
      <c r="AB19" s="2">
        <f t="shared" si="8"/>
        <v>49.699999999999989</v>
      </c>
      <c r="AC19" s="2">
        <f t="shared" si="8"/>
        <v>52.209000000000003</v>
      </c>
      <c r="AD19" s="2">
        <f t="shared" si="8"/>
        <v>55.45</v>
      </c>
      <c r="AE19" s="2">
        <f t="shared" si="8"/>
        <v>43.948</v>
      </c>
      <c r="AF19" s="2">
        <f t="shared" si="8"/>
        <v>49.698999999999998</v>
      </c>
      <c r="AG19" s="2">
        <f t="shared" si="8"/>
        <v>19.651</v>
      </c>
      <c r="AH19" s="2">
        <f t="shared" si="8"/>
        <v>49.699999999999989</v>
      </c>
      <c r="AI19" s="2">
        <f t="shared" si="8"/>
        <v>-0.11000000000000001</v>
      </c>
      <c r="AJ19" s="2"/>
      <c r="AK19" s="2"/>
      <c r="AL19" s="2">
        <f t="shared" ref="AL19:BA19" si="9">AVERAGE(AL9:AL18)</f>
        <v>60.963000000000001</v>
      </c>
      <c r="AM19" s="2">
        <f t="shared" si="9"/>
        <v>64.295999999999992</v>
      </c>
      <c r="AN19" s="2">
        <f t="shared" si="9"/>
        <v>41.478999999999999</v>
      </c>
      <c r="AO19" s="2">
        <f t="shared" si="9"/>
        <v>47.241999999999997</v>
      </c>
      <c r="AP19" s="2">
        <f t="shared" si="9"/>
        <v>63.073999999999998</v>
      </c>
      <c r="AQ19" s="2">
        <f t="shared" si="9"/>
        <v>44.981000000000002</v>
      </c>
      <c r="AR19" s="2">
        <f t="shared" si="9"/>
        <v>52.319999999999993</v>
      </c>
      <c r="AS19" s="2">
        <f t="shared" si="9"/>
        <v>44.863000000000007</v>
      </c>
      <c r="AT19" s="2">
        <f t="shared" si="9"/>
        <v>50.456999999999994</v>
      </c>
      <c r="AU19" s="2">
        <f t="shared" si="9"/>
        <v>51.335999999999999</v>
      </c>
      <c r="AV19" s="2">
        <f t="shared" si="9"/>
        <v>41.478999999999999</v>
      </c>
      <c r="AW19" s="2">
        <f t="shared" si="9"/>
        <v>59.436</v>
      </c>
      <c r="AX19" s="2">
        <f t="shared" si="9"/>
        <v>50.457499999999996</v>
      </c>
      <c r="AY19" s="2">
        <f t="shared" si="9"/>
        <v>21.792999999999999</v>
      </c>
      <c r="AZ19" s="2">
        <f t="shared" si="9"/>
        <v>50.456999999999994</v>
      </c>
      <c r="BA19" s="2">
        <f t="shared" si="9"/>
        <v>1.0309999999999999</v>
      </c>
    </row>
    <row r="22" spans="1:53" x14ac:dyDescent="0.25">
      <c r="A22" s="1" t="s">
        <v>68</v>
      </c>
      <c r="B22">
        <v>75.05</v>
      </c>
      <c r="C22">
        <v>68.760000000000005</v>
      </c>
      <c r="D22">
        <v>65.14</v>
      </c>
      <c r="E22">
        <v>65.8</v>
      </c>
      <c r="F22">
        <v>69.91</v>
      </c>
      <c r="G22">
        <v>64.75</v>
      </c>
      <c r="H22">
        <v>67.23</v>
      </c>
      <c r="I22">
        <v>48.93</v>
      </c>
      <c r="J22">
        <v>49.78</v>
      </c>
      <c r="K22">
        <v>52.91</v>
      </c>
      <c r="L22">
        <v>65.14</v>
      </c>
      <c r="M22">
        <v>34.42</v>
      </c>
      <c r="N22">
        <f t="shared" si="4"/>
        <v>49.78</v>
      </c>
      <c r="O22">
        <v>30.72</v>
      </c>
      <c r="P22">
        <v>49.78</v>
      </c>
      <c r="Q22">
        <v>0.73</v>
      </c>
      <c r="S22" s="1" t="s">
        <v>68</v>
      </c>
      <c r="T22">
        <v>75.05</v>
      </c>
      <c r="U22">
        <v>67.37</v>
      </c>
      <c r="V22">
        <v>71.58</v>
      </c>
      <c r="W22">
        <v>68.72</v>
      </c>
      <c r="X22">
        <v>74.42</v>
      </c>
      <c r="Y22">
        <v>78.69</v>
      </c>
      <c r="Z22">
        <v>76.489999999999995</v>
      </c>
      <c r="AA22">
        <v>48.62</v>
      </c>
      <c r="AB22">
        <v>50.75</v>
      </c>
      <c r="AC22">
        <v>57.03</v>
      </c>
      <c r="AD22">
        <v>71.58</v>
      </c>
      <c r="AE22">
        <v>29.91</v>
      </c>
      <c r="AF22">
        <f t="shared" si="5"/>
        <v>50.744999999999997</v>
      </c>
      <c r="AG22">
        <v>41.66</v>
      </c>
      <c r="AH22">
        <v>50.75</v>
      </c>
      <c r="AI22">
        <v>1.7</v>
      </c>
      <c r="AK22" s="1" t="s">
        <v>68</v>
      </c>
      <c r="AL22">
        <v>68.349999999999994</v>
      </c>
      <c r="AM22">
        <v>69.709999999999994</v>
      </c>
      <c r="AN22">
        <v>43.25</v>
      </c>
      <c r="AO22">
        <v>52.85</v>
      </c>
      <c r="AP22">
        <v>75</v>
      </c>
      <c r="AQ22">
        <v>46.72</v>
      </c>
      <c r="AR22">
        <v>57.58</v>
      </c>
      <c r="AS22">
        <v>47.49</v>
      </c>
      <c r="AT22">
        <v>51.29</v>
      </c>
      <c r="AU22">
        <v>47.1</v>
      </c>
      <c r="AV22">
        <v>43.25</v>
      </c>
      <c r="AW22">
        <v>59.32</v>
      </c>
      <c r="AX22">
        <f t="shared" si="6"/>
        <v>51.284999999999997</v>
      </c>
      <c r="AY22">
        <v>16.07</v>
      </c>
      <c r="AZ22">
        <v>51.29</v>
      </c>
      <c r="BA22">
        <v>2.76</v>
      </c>
    </row>
    <row r="23" spans="1:53" x14ac:dyDescent="0.25">
      <c r="B23">
        <v>71.59</v>
      </c>
      <c r="C23">
        <v>73.63</v>
      </c>
      <c r="D23">
        <v>57.46</v>
      </c>
      <c r="E23">
        <v>64.510000000000005</v>
      </c>
      <c r="F23">
        <v>75.790000000000006</v>
      </c>
      <c r="G23">
        <v>59.02</v>
      </c>
      <c r="H23">
        <v>66.36</v>
      </c>
      <c r="I23">
        <v>53.69</v>
      </c>
      <c r="J23">
        <v>55.6</v>
      </c>
      <c r="K23">
        <v>57.58</v>
      </c>
      <c r="L23">
        <v>57.46</v>
      </c>
      <c r="M23">
        <v>53.73</v>
      </c>
      <c r="N23">
        <f t="shared" si="4"/>
        <v>55.594999999999999</v>
      </c>
      <c r="O23">
        <v>3.74</v>
      </c>
      <c r="P23">
        <v>55.6</v>
      </c>
      <c r="Q23">
        <v>10.65</v>
      </c>
      <c r="T23">
        <v>71.489999999999995</v>
      </c>
      <c r="U23">
        <v>67.819999999999993</v>
      </c>
      <c r="V23">
        <v>62.78</v>
      </c>
      <c r="W23">
        <v>64.89</v>
      </c>
      <c r="X23">
        <v>71.680000000000007</v>
      </c>
      <c r="Y23">
        <v>66.39</v>
      </c>
      <c r="Z23">
        <v>68.94</v>
      </c>
      <c r="AA23">
        <v>51.35</v>
      </c>
      <c r="AB23">
        <v>52.05</v>
      </c>
      <c r="AC23">
        <v>55.21</v>
      </c>
      <c r="AD23">
        <v>62.78</v>
      </c>
      <c r="AE23">
        <v>41.32</v>
      </c>
      <c r="AF23">
        <f t="shared" si="5"/>
        <v>52.05</v>
      </c>
      <c r="AG23">
        <v>21.47</v>
      </c>
      <c r="AH23">
        <v>52.05</v>
      </c>
      <c r="AI23">
        <v>4.2</v>
      </c>
      <c r="AL23">
        <v>70.790000000000006</v>
      </c>
      <c r="AM23">
        <v>72.95</v>
      </c>
      <c r="AN23">
        <v>63.28</v>
      </c>
      <c r="AO23">
        <v>62.69</v>
      </c>
      <c r="AP23">
        <v>69.16</v>
      </c>
      <c r="AQ23">
        <v>60.66</v>
      </c>
      <c r="AR23">
        <v>64.63</v>
      </c>
      <c r="AS23">
        <v>50.27</v>
      </c>
      <c r="AT23">
        <v>56.99</v>
      </c>
      <c r="AU23">
        <v>52.36</v>
      </c>
      <c r="AV23">
        <v>63.28</v>
      </c>
      <c r="AW23">
        <v>50.7</v>
      </c>
      <c r="AX23">
        <f t="shared" si="6"/>
        <v>56.99</v>
      </c>
      <c r="AY23">
        <v>12.58</v>
      </c>
      <c r="AZ23">
        <v>56.99</v>
      </c>
      <c r="BA23">
        <v>13.33</v>
      </c>
    </row>
    <row r="24" spans="1:53" x14ac:dyDescent="0.25">
      <c r="B24">
        <v>54.82</v>
      </c>
      <c r="C24">
        <v>56.42</v>
      </c>
      <c r="D24">
        <v>60.24</v>
      </c>
      <c r="E24">
        <v>54.1</v>
      </c>
      <c r="F24">
        <v>57.76</v>
      </c>
      <c r="G24">
        <v>59.24</v>
      </c>
      <c r="H24">
        <v>58.49</v>
      </c>
      <c r="I24">
        <v>46.39</v>
      </c>
      <c r="J24">
        <v>49.47</v>
      </c>
      <c r="K24">
        <v>47.82</v>
      </c>
      <c r="L24">
        <v>60.24</v>
      </c>
      <c r="M24">
        <v>38.69</v>
      </c>
      <c r="N24">
        <f t="shared" si="4"/>
        <v>49.465000000000003</v>
      </c>
      <c r="O24">
        <v>21.55</v>
      </c>
      <c r="P24">
        <v>49.47</v>
      </c>
      <c r="Q24">
        <v>-0.78</v>
      </c>
      <c r="T24">
        <v>58.75</v>
      </c>
      <c r="U24">
        <v>61.73</v>
      </c>
      <c r="V24">
        <v>51.51</v>
      </c>
      <c r="W24">
        <v>54.45</v>
      </c>
      <c r="X24">
        <v>66.92</v>
      </c>
      <c r="Y24">
        <v>55.41</v>
      </c>
      <c r="Z24">
        <v>60.63</v>
      </c>
      <c r="AA24">
        <v>52.37</v>
      </c>
      <c r="AB24">
        <v>54.62</v>
      </c>
      <c r="AC24">
        <v>55.26</v>
      </c>
      <c r="AD24">
        <v>51.51</v>
      </c>
      <c r="AE24">
        <v>57.73</v>
      </c>
      <c r="AF24">
        <f t="shared" si="5"/>
        <v>54.62</v>
      </c>
      <c r="AG24">
        <v>6.22</v>
      </c>
      <c r="AH24">
        <v>54.62</v>
      </c>
      <c r="AI24">
        <v>9.86</v>
      </c>
      <c r="AL24">
        <v>57.71</v>
      </c>
      <c r="AM24">
        <v>57.96</v>
      </c>
      <c r="AN24">
        <v>70.849999999999994</v>
      </c>
      <c r="AO24">
        <v>57.14</v>
      </c>
      <c r="AP24">
        <v>53.65</v>
      </c>
      <c r="AQ24">
        <v>65.61</v>
      </c>
      <c r="AR24">
        <v>59.03</v>
      </c>
      <c r="AS24">
        <v>44.1</v>
      </c>
      <c r="AT24">
        <v>51.36</v>
      </c>
      <c r="AU24">
        <v>54.65</v>
      </c>
      <c r="AV24">
        <v>70.849999999999994</v>
      </c>
      <c r="AW24">
        <v>31.87</v>
      </c>
      <c r="AX24">
        <f t="shared" si="6"/>
        <v>51.36</v>
      </c>
      <c r="AY24">
        <v>38.979999999999997</v>
      </c>
      <c r="AZ24">
        <v>51.36</v>
      </c>
      <c r="BA24">
        <v>3.96</v>
      </c>
    </row>
    <row r="25" spans="1:53" x14ac:dyDescent="0.25">
      <c r="B25">
        <v>73.760000000000005</v>
      </c>
      <c r="C25">
        <v>65.41</v>
      </c>
      <c r="D25">
        <v>54.1</v>
      </c>
      <c r="E25">
        <v>59.04</v>
      </c>
      <c r="F25">
        <v>70.3</v>
      </c>
      <c r="G25">
        <v>58.2</v>
      </c>
      <c r="H25">
        <v>63.68</v>
      </c>
      <c r="I25">
        <v>45.12</v>
      </c>
      <c r="J25">
        <v>45.29</v>
      </c>
      <c r="K25">
        <v>55.14</v>
      </c>
      <c r="L25">
        <v>54.1</v>
      </c>
      <c r="M25">
        <v>36.479999999999997</v>
      </c>
      <c r="N25">
        <f t="shared" si="4"/>
        <v>45.29</v>
      </c>
      <c r="O25">
        <v>17.62</v>
      </c>
      <c r="P25">
        <v>45.29</v>
      </c>
      <c r="Q25">
        <v>-8.27</v>
      </c>
      <c r="T25">
        <v>70.650000000000006</v>
      </c>
      <c r="U25">
        <v>80.540000000000006</v>
      </c>
      <c r="V25">
        <v>35.78</v>
      </c>
      <c r="W25">
        <v>38.590000000000003</v>
      </c>
      <c r="X25">
        <v>77.97</v>
      </c>
      <c r="Y25">
        <v>37.700000000000003</v>
      </c>
      <c r="Z25">
        <v>50.83</v>
      </c>
      <c r="AA25">
        <v>42.05</v>
      </c>
      <c r="AB25">
        <v>54.33</v>
      </c>
      <c r="AC25">
        <v>51.17</v>
      </c>
      <c r="AD25">
        <v>35.78</v>
      </c>
      <c r="AE25">
        <v>72.88</v>
      </c>
      <c r="AF25">
        <f t="shared" si="5"/>
        <v>54.33</v>
      </c>
      <c r="AG25">
        <v>37.11</v>
      </c>
      <c r="AH25">
        <v>54.33</v>
      </c>
      <c r="AI25">
        <v>10.130000000000001</v>
      </c>
      <c r="AL25">
        <v>73.25</v>
      </c>
      <c r="AM25">
        <v>65.86</v>
      </c>
      <c r="AN25">
        <v>57.71</v>
      </c>
      <c r="AO25">
        <v>59.22</v>
      </c>
      <c r="AP25">
        <v>64.42</v>
      </c>
      <c r="AQ25">
        <v>54.92</v>
      </c>
      <c r="AR25">
        <v>59.29</v>
      </c>
      <c r="AS25">
        <v>44.68</v>
      </c>
      <c r="AT25">
        <v>46.78</v>
      </c>
      <c r="AU25">
        <v>51.92</v>
      </c>
      <c r="AV25">
        <v>57.71</v>
      </c>
      <c r="AW25">
        <v>35.840000000000003</v>
      </c>
      <c r="AX25">
        <f t="shared" si="6"/>
        <v>46.775000000000006</v>
      </c>
      <c r="AY25">
        <v>21.88</v>
      </c>
      <c r="AZ25">
        <v>46.78</v>
      </c>
      <c r="BA25">
        <v>-4.21</v>
      </c>
    </row>
    <row r="26" spans="1:53" x14ac:dyDescent="0.25">
      <c r="B26">
        <v>59.44</v>
      </c>
      <c r="C26">
        <v>61.76</v>
      </c>
      <c r="D26">
        <v>54.69</v>
      </c>
      <c r="E26">
        <v>52.86</v>
      </c>
      <c r="F26">
        <v>54.9</v>
      </c>
      <c r="G26">
        <v>53.5</v>
      </c>
      <c r="H26">
        <v>54.19</v>
      </c>
      <c r="I26">
        <v>46.64</v>
      </c>
      <c r="J26">
        <v>51.79</v>
      </c>
      <c r="K26">
        <v>55.31</v>
      </c>
      <c r="L26">
        <v>54.69</v>
      </c>
      <c r="M26">
        <v>48.89</v>
      </c>
      <c r="N26">
        <f t="shared" si="4"/>
        <v>51.79</v>
      </c>
      <c r="O26">
        <v>5.81</v>
      </c>
      <c r="P26">
        <v>51.79</v>
      </c>
      <c r="Q26">
        <v>4.3899999999999997</v>
      </c>
      <c r="T26">
        <v>60.69</v>
      </c>
      <c r="U26">
        <v>62.52</v>
      </c>
      <c r="V26">
        <v>30.53</v>
      </c>
      <c r="W26">
        <v>34.229999999999997</v>
      </c>
      <c r="X26">
        <v>65.430000000000007</v>
      </c>
      <c r="Y26">
        <v>33.76</v>
      </c>
      <c r="Z26">
        <v>44.54</v>
      </c>
      <c r="AA26">
        <v>43.01</v>
      </c>
      <c r="AB26">
        <v>52.75</v>
      </c>
      <c r="AC26">
        <v>54.98</v>
      </c>
      <c r="AD26">
        <v>30.53</v>
      </c>
      <c r="AE26">
        <v>74.98</v>
      </c>
      <c r="AF26">
        <f t="shared" si="5"/>
        <v>52.755000000000003</v>
      </c>
      <c r="AG26">
        <v>44.45</v>
      </c>
      <c r="AH26">
        <v>52.75</v>
      </c>
      <c r="AI26">
        <v>7.49</v>
      </c>
      <c r="AL26">
        <v>55.57</v>
      </c>
      <c r="AM26">
        <v>57.28</v>
      </c>
      <c r="AN26">
        <v>59.85</v>
      </c>
      <c r="AO26">
        <v>52.21</v>
      </c>
      <c r="AP26">
        <v>49.71</v>
      </c>
      <c r="AQ26">
        <v>54.78</v>
      </c>
      <c r="AR26">
        <v>52.12</v>
      </c>
      <c r="AS26">
        <v>42.12</v>
      </c>
      <c r="AT26">
        <v>50.17</v>
      </c>
      <c r="AU26">
        <v>52.41</v>
      </c>
      <c r="AV26">
        <v>59.85</v>
      </c>
      <c r="AW26">
        <v>40.49</v>
      </c>
      <c r="AX26">
        <f t="shared" si="6"/>
        <v>50.17</v>
      </c>
      <c r="AY26">
        <v>19.36</v>
      </c>
      <c r="AZ26">
        <v>50.17</v>
      </c>
      <c r="BA26">
        <v>-1.21</v>
      </c>
    </row>
    <row r="27" spans="1:53" x14ac:dyDescent="0.25">
      <c r="B27">
        <v>51.85</v>
      </c>
      <c r="C27">
        <v>45.95</v>
      </c>
      <c r="D27">
        <v>58.13</v>
      </c>
      <c r="E27">
        <v>46.06</v>
      </c>
      <c r="F27">
        <v>43.67</v>
      </c>
      <c r="G27">
        <v>56.56</v>
      </c>
      <c r="H27">
        <v>49.29</v>
      </c>
      <c r="I27">
        <v>41.27</v>
      </c>
      <c r="J27">
        <v>47.82</v>
      </c>
      <c r="K27">
        <v>49.48</v>
      </c>
      <c r="L27">
        <v>58.13</v>
      </c>
      <c r="M27">
        <v>37.5</v>
      </c>
      <c r="N27">
        <f t="shared" si="4"/>
        <v>47.814999999999998</v>
      </c>
      <c r="O27">
        <v>20.64</v>
      </c>
      <c r="P27">
        <v>47.82</v>
      </c>
      <c r="Q27">
        <v>-4.58</v>
      </c>
      <c r="T27">
        <v>51.03</v>
      </c>
      <c r="U27">
        <v>44.16</v>
      </c>
      <c r="V27">
        <v>35.5</v>
      </c>
      <c r="W27">
        <v>54.55</v>
      </c>
      <c r="X27">
        <v>50.5</v>
      </c>
      <c r="Y27">
        <v>41.8</v>
      </c>
      <c r="Z27">
        <v>45.74</v>
      </c>
      <c r="AA27">
        <v>41.8</v>
      </c>
      <c r="AB27">
        <v>48.31</v>
      </c>
      <c r="AC27">
        <v>49.92</v>
      </c>
      <c r="AD27">
        <v>35.5</v>
      </c>
      <c r="AE27">
        <v>61.11</v>
      </c>
      <c r="AF27">
        <f t="shared" si="5"/>
        <v>48.305</v>
      </c>
      <c r="AG27">
        <v>25.61</v>
      </c>
      <c r="AH27">
        <v>48.31</v>
      </c>
      <c r="AI27">
        <v>-3.09</v>
      </c>
      <c r="AL27">
        <v>57.57</v>
      </c>
      <c r="AM27">
        <v>52.65</v>
      </c>
      <c r="AN27">
        <v>69.459999999999994</v>
      </c>
      <c r="AO27">
        <v>54.85</v>
      </c>
      <c r="AP27">
        <v>49.39</v>
      </c>
      <c r="AQ27">
        <v>66.39</v>
      </c>
      <c r="AR27">
        <v>56.64</v>
      </c>
      <c r="AS27">
        <v>50.16</v>
      </c>
      <c r="AT27">
        <v>56.45</v>
      </c>
      <c r="AU27">
        <v>59.58</v>
      </c>
      <c r="AV27">
        <v>69.459999999999994</v>
      </c>
      <c r="AW27">
        <v>43.44</v>
      </c>
      <c r="AX27">
        <f t="shared" si="6"/>
        <v>56.449999999999996</v>
      </c>
      <c r="AY27">
        <v>26.03</v>
      </c>
      <c r="AZ27">
        <v>56.45</v>
      </c>
      <c r="BA27">
        <v>14.23</v>
      </c>
    </row>
    <row r="28" spans="1:53" x14ac:dyDescent="0.25">
      <c r="B28">
        <v>74.27</v>
      </c>
      <c r="C28">
        <v>69.650000000000006</v>
      </c>
      <c r="D28">
        <v>46.89</v>
      </c>
      <c r="E28">
        <v>55.03</v>
      </c>
      <c r="F28">
        <v>75.900000000000006</v>
      </c>
      <c r="G28">
        <v>51.64</v>
      </c>
      <c r="H28">
        <v>61.46</v>
      </c>
      <c r="I28">
        <v>48.03</v>
      </c>
      <c r="J28">
        <v>50.94</v>
      </c>
      <c r="K28">
        <v>54.17</v>
      </c>
      <c r="L28">
        <v>46.89</v>
      </c>
      <c r="M28">
        <v>54.99</v>
      </c>
      <c r="N28">
        <f t="shared" si="4"/>
        <v>50.94</v>
      </c>
      <c r="O28">
        <v>8.1</v>
      </c>
      <c r="P28">
        <v>50.94</v>
      </c>
      <c r="Q28">
        <v>2.15</v>
      </c>
      <c r="T28">
        <v>68.959999999999994</v>
      </c>
      <c r="U28">
        <v>71.38</v>
      </c>
      <c r="V28">
        <v>34.54</v>
      </c>
      <c r="W28">
        <v>35.340000000000003</v>
      </c>
      <c r="X28">
        <v>69.23</v>
      </c>
      <c r="Y28">
        <v>36.89</v>
      </c>
      <c r="Z28">
        <v>48.13</v>
      </c>
      <c r="AA28">
        <v>36.380000000000003</v>
      </c>
      <c r="AB28">
        <v>48.62</v>
      </c>
      <c r="AC28">
        <v>47.44</v>
      </c>
      <c r="AD28">
        <v>34.54</v>
      </c>
      <c r="AE28">
        <v>62.7</v>
      </c>
      <c r="AF28">
        <f t="shared" si="5"/>
        <v>48.620000000000005</v>
      </c>
      <c r="AG28">
        <v>28.16</v>
      </c>
      <c r="AH28">
        <v>48.62</v>
      </c>
      <c r="AI28">
        <v>-3.24</v>
      </c>
      <c r="AL28">
        <v>72.12</v>
      </c>
      <c r="AM28">
        <v>70.41</v>
      </c>
      <c r="AN28">
        <v>68.06</v>
      </c>
      <c r="AO28">
        <v>64.63</v>
      </c>
      <c r="AP28">
        <v>68.97</v>
      </c>
      <c r="AQ28">
        <v>65.569999999999993</v>
      </c>
      <c r="AR28">
        <v>67.23</v>
      </c>
      <c r="AS28">
        <v>50.45</v>
      </c>
      <c r="AT28">
        <v>55.32</v>
      </c>
      <c r="AU28">
        <v>53.23</v>
      </c>
      <c r="AV28">
        <v>68.06</v>
      </c>
      <c r="AW28">
        <v>42.58</v>
      </c>
      <c r="AX28">
        <f t="shared" si="6"/>
        <v>55.32</v>
      </c>
      <c r="AY28">
        <v>25.48</v>
      </c>
      <c r="AZ28">
        <v>55.32</v>
      </c>
      <c r="BA28">
        <v>12.26</v>
      </c>
    </row>
    <row r="29" spans="1:53" x14ac:dyDescent="0.25">
      <c r="B29">
        <v>57.39</v>
      </c>
      <c r="C29">
        <v>59.94</v>
      </c>
      <c r="D29">
        <v>53.19</v>
      </c>
      <c r="E29">
        <v>47.67</v>
      </c>
      <c r="F29">
        <v>52.38</v>
      </c>
      <c r="G29">
        <v>49.04</v>
      </c>
      <c r="H29">
        <v>50.66</v>
      </c>
      <c r="I29">
        <v>43.5</v>
      </c>
      <c r="J29">
        <v>53.29</v>
      </c>
      <c r="K29">
        <v>52.69</v>
      </c>
      <c r="L29">
        <v>53.19</v>
      </c>
      <c r="M29">
        <v>53.4</v>
      </c>
      <c r="N29">
        <f t="shared" si="4"/>
        <v>53.295000000000002</v>
      </c>
      <c r="O29">
        <v>0.21</v>
      </c>
      <c r="P29">
        <v>53.29</v>
      </c>
      <c r="Q29">
        <v>6.33</v>
      </c>
      <c r="T29">
        <v>59.02</v>
      </c>
      <c r="U29">
        <v>57.15</v>
      </c>
      <c r="V29">
        <v>29.32</v>
      </c>
      <c r="W29">
        <v>31.69</v>
      </c>
      <c r="X29">
        <v>60</v>
      </c>
      <c r="Y29">
        <v>32.479999999999997</v>
      </c>
      <c r="Z29">
        <v>42.15</v>
      </c>
      <c r="AA29">
        <v>40.32</v>
      </c>
      <c r="AB29">
        <v>49.76</v>
      </c>
      <c r="AC29">
        <v>51.51</v>
      </c>
      <c r="AD29">
        <v>29.32</v>
      </c>
      <c r="AE29">
        <v>70.2</v>
      </c>
      <c r="AF29">
        <f t="shared" si="5"/>
        <v>49.760000000000005</v>
      </c>
      <c r="AG29">
        <v>40.89</v>
      </c>
      <c r="AH29">
        <v>49.76</v>
      </c>
      <c r="AI29">
        <v>-0.22</v>
      </c>
      <c r="AL29">
        <v>58</v>
      </c>
      <c r="AM29">
        <v>60.11</v>
      </c>
      <c r="AN29">
        <v>73.47</v>
      </c>
      <c r="AO29">
        <v>61.41</v>
      </c>
      <c r="AP29">
        <v>56.16</v>
      </c>
      <c r="AQ29">
        <v>72.61</v>
      </c>
      <c r="AR29">
        <v>63.33</v>
      </c>
      <c r="AS29">
        <v>47.35</v>
      </c>
      <c r="AT29">
        <v>54.84</v>
      </c>
      <c r="AU29">
        <v>56.28</v>
      </c>
      <c r="AV29">
        <v>73.47</v>
      </c>
      <c r="AW29">
        <v>36.21</v>
      </c>
      <c r="AX29">
        <f t="shared" si="6"/>
        <v>54.84</v>
      </c>
      <c r="AY29">
        <v>37.25</v>
      </c>
      <c r="AZ29">
        <v>54.84</v>
      </c>
      <c r="BA29">
        <v>8.09</v>
      </c>
    </row>
    <row r="30" spans="1:53" x14ac:dyDescent="0.25">
      <c r="B30">
        <v>52.78</v>
      </c>
      <c r="C30">
        <v>50.51</v>
      </c>
      <c r="D30">
        <v>55.55</v>
      </c>
      <c r="E30">
        <v>44.32</v>
      </c>
      <c r="F30">
        <v>42.75</v>
      </c>
      <c r="G30">
        <v>48.36</v>
      </c>
      <c r="H30">
        <v>45.38</v>
      </c>
      <c r="I30">
        <v>42.34</v>
      </c>
      <c r="J30">
        <v>51.57</v>
      </c>
      <c r="K30">
        <v>53.14</v>
      </c>
      <c r="L30">
        <v>55.55</v>
      </c>
      <c r="M30">
        <v>47.6</v>
      </c>
      <c r="N30">
        <f t="shared" si="4"/>
        <v>51.575000000000003</v>
      </c>
      <c r="O30">
        <v>7.95</v>
      </c>
      <c r="P30">
        <v>51.57</v>
      </c>
      <c r="Q30">
        <v>4.6399999999999997</v>
      </c>
      <c r="T30">
        <v>51.71</v>
      </c>
      <c r="U30">
        <v>44.44</v>
      </c>
      <c r="V30">
        <v>38.049999999999997</v>
      </c>
      <c r="W30">
        <v>44.1</v>
      </c>
      <c r="X30">
        <v>45.61</v>
      </c>
      <c r="Y30">
        <v>42.62</v>
      </c>
      <c r="Z30">
        <v>44.07</v>
      </c>
      <c r="AA30">
        <v>40.54</v>
      </c>
      <c r="AB30">
        <v>46.81</v>
      </c>
      <c r="AC30">
        <v>50.36</v>
      </c>
      <c r="AD30">
        <v>38.049999999999997</v>
      </c>
      <c r="AE30">
        <v>55.57</v>
      </c>
      <c r="AF30">
        <f t="shared" si="5"/>
        <v>46.81</v>
      </c>
      <c r="AG30">
        <v>17.510000000000002</v>
      </c>
      <c r="AH30">
        <v>46.81</v>
      </c>
      <c r="AI30">
        <v>-4.3099999999999996</v>
      </c>
      <c r="AL30">
        <v>51.65</v>
      </c>
      <c r="AM30">
        <v>46.94</v>
      </c>
      <c r="AN30">
        <v>69.86</v>
      </c>
      <c r="AO30">
        <v>50.92</v>
      </c>
      <c r="AP30">
        <v>45.03</v>
      </c>
      <c r="AQ30">
        <v>63.11</v>
      </c>
      <c r="AR30">
        <v>52.56</v>
      </c>
      <c r="AS30">
        <v>44.34</v>
      </c>
      <c r="AT30">
        <v>52.04</v>
      </c>
      <c r="AU30">
        <v>54.54</v>
      </c>
      <c r="AV30">
        <v>69.86</v>
      </c>
      <c r="AW30">
        <v>34.229999999999997</v>
      </c>
      <c r="AX30">
        <f t="shared" si="6"/>
        <v>52.045000000000002</v>
      </c>
      <c r="AY30">
        <v>35.619999999999997</v>
      </c>
      <c r="AZ30">
        <v>52.04</v>
      </c>
      <c r="BA30">
        <v>3.67</v>
      </c>
    </row>
    <row r="31" spans="1:53" x14ac:dyDescent="0.25">
      <c r="B31">
        <v>53.17</v>
      </c>
      <c r="C31">
        <v>51.06</v>
      </c>
      <c r="D31">
        <v>59.1</v>
      </c>
      <c r="E31">
        <v>50.19</v>
      </c>
      <c r="F31">
        <v>47.49</v>
      </c>
      <c r="G31">
        <v>56.13</v>
      </c>
      <c r="H31">
        <v>51.45</v>
      </c>
      <c r="I31">
        <v>46.48</v>
      </c>
      <c r="J31">
        <v>52.13</v>
      </c>
      <c r="K31">
        <v>54.27</v>
      </c>
      <c r="L31">
        <v>59.1</v>
      </c>
      <c r="M31">
        <v>45.16</v>
      </c>
      <c r="N31">
        <f t="shared" si="4"/>
        <v>52.129999999999995</v>
      </c>
      <c r="O31">
        <v>13.94</v>
      </c>
      <c r="P31">
        <v>52.13</v>
      </c>
      <c r="Q31">
        <v>4.08</v>
      </c>
      <c r="T31">
        <v>50.55</v>
      </c>
      <c r="U31">
        <v>52.9</v>
      </c>
      <c r="V31">
        <v>47.35</v>
      </c>
      <c r="W31">
        <v>43.58</v>
      </c>
      <c r="X31">
        <v>50.83</v>
      </c>
      <c r="Y31">
        <v>48.62</v>
      </c>
      <c r="Z31">
        <v>49.7</v>
      </c>
      <c r="AA31">
        <v>46.06</v>
      </c>
      <c r="AB31">
        <v>50.84</v>
      </c>
      <c r="AC31">
        <v>52.23</v>
      </c>
      <c r="AD31">
        <v>47.35</v>
      </c>
      <c r="AE31">
        <v>54.32</v>
      </c>
      <c r="AF31">
        <f t="shared" si="5"/>
        <v>50.835000000000001</v>
      </c>
      <c r="AG31">
        <v>6.97</v>
      </c>
      <c r="AH31">
        <v>50.84</v>
      </c>
      <c r="AI31">
        <v>0.82</v>
      </c>
      <c r="AL31">
        <v>56.88</v>
      </c>
      <c r="AM31">
        <v>52.26</v>
      </c>
      <c r="AN31">
        <v>66.28</v>
      </c>
      <c r="AO31">
        <v>55.16</v>
      </c>
      <c r="AP31">
        <v>50.3</v>
      </c>
      <c r="AQ31">
        <v>65.22</v>
      </c>
      <c r="AR31">
        <v>56.8</v>
      </c>
      <c r="AS31">
        <v>48.96</v>
      </c>
      <c r="AT31">
        <v>53.57</v>
      </c>
      <c r="AU31">
        <v>57.47</v>
      </c>
      <c r="AV31">
        <v>66.28</v>
      </c>
      <c r="AW31">
        <v>40.86</v>
      </c>
      <c r="AX31">
        <f t="shared" si="6"/>
        <v>53.57</v>
      </c>
      <c r="AY31">
        <v>25.42</v>
      </c>
      <c r="AZ31">
        <v>53.57</v>
      </c>
      <c r="BA31">
        <v>6.86</v>
      </c>
    </row>
    <row r="32" spans="1:53" x14ac:dyDescent="0.25">
      <c r="B32" s="2">
        <f>AVERAGE(B22:B31)</f>
        <v>62.411999999999992</v>
      </c>
      <c r="C32" s="2">
        <f t="shared" ref="C32:BA32" si="10">AVERAGE(C22:C31)</f>
        <v>60.309000000000012</v>
      </c>
      <c r="D32" s="2">
        <f t="shared" si="10"/>
        <v>56.448999999999998</v>
      </c>
      <c r="E32" s="2">
        <f t="shared" si="10"/>
        <v>53.957999999999991</v>
      </c>
      <c r="F32" s="2">
        <f t="shared" si="10"/>
        <v>59.085000000000001</v>
      </c>
      <c r="G32" s="2">
        <f t="shared" si="10"/>
        <v>55.644000000000005</v>
      </c>
      <c r="H32" s="2">
        <f t="shared" si="10"/>
        <v>56.819000000000003</v>
      </c>
      <c r="I32" s="2">
        <f t="shared" si="10"/>
        <v>46.238999999999997</v>
      </c>
      <c r="J32" s="2">
        <f t="shared" si="10"/>
        <v>50.768000000000001</v>
      </c>
      <c r="K32" s="2">
        <f t="shared" si="10"/>
        <v>53.250999999999998</v>
      </c>
      <c r="L32" s="2">
        <f t="shared" si="10"/>
        <v>56.448999999999998</v>
      </c>
      <c r="M32" s="2">
        <f t="shared" si="10"/>
        <v>45.085999999999999</v>
      </c>
      <c r="N32" s="2">
        <f t="shared" si="10"/>
        <v>50.767499999999998</v>
      </c>
      <c r="O32" s="2">
        <f t="shared" si="10"/>
        <v>13.028</v>
      </c>
      <c r="P32" s="2">
        <f t="shared" si="10"/>
        <v>50.768000000000001</v>
      </c>
      <c r="Q32" s="2">
        <f t="shared" si="10"/>
        <v>1.9340000000000004</v>
      </c>
      <c r="R32" s="2"/>
      <c r="S32" s="2"/>
      <c r="T32" s="2">
        <f t="shared" si="10"/>
        <v>61.79</v>
      </c>
      <c r="U32" s="2">
        <f t="shared" si="10"/>
        <v>61.000999999999991</v>
      </c>
      <c r="V32" s="2">
        <f>AVERAGE(V22:V31)</f>
        <v>43.694000000000003</v>
      </c>
      <c r="W32" s="2">
        <f t="shared" si="10"/>
        <v>47.013999999999996</v>
      </c>
      <c r="X32" s="2">
        <f t="shared" si="10"/>
        <v>63.259000000000015</v>
      </c>
      <c r="Y32" s="2">
        <f t="shared" si="10"/>
        <v>47.436</v>
      </c>
      <c r="Z32" s="2">
        <f t="shared" si="10"/>
        <v>53.122</v>
      </c>
      <c r="AA32" s="2">
        <f t="shared" si="10"/>
        <v>44.25</v>
      </c>
      <c r="AB32" s="2">
        <f t="shared" si="10"/>
        <v>50.884</v>
      </c>
      <c r="AC32" s="2">
        <f t="shared" si="10"/>
        <v>52.511000000000003</v>
      </c>
      <c r="AD32" s="2">
        <f t="shared" si="10"/>
        <v>43.694000000000003</v>
      </c>
      <c r="AE32" s="2">
        <f t="shared" si="10"/>
        <v>58.072000000000003</v>
      </c>
      <c r="AF32" s="2">
        <f t="shared" si="10"/>
        <v>50.882999999999996</v>
      </c>
      <c r="AG32" s="2">
        <f t="shared" si="10"/>
        <v>27.005000000000003</v>
      </c>
      <c r="AH32" s="2">
        <f t="shared" si="10"/>
        <v>50.884</v>
      </c>
      <c r="AI32" s="2">
        <f t="shared" si="10"/>
        <v>2.3340000000000005</v>
      </c>
      <c r="AJ32" s="2"/>
      <c r="AK32" s="2"/>
      <c r="AL32" s="2">
        <f t="shared" si="10"/>
        <v>62.189</v>
      </c>
      <c r="AM32" s="2">
        <f t="shared" si="10"/>
        <v>60.612999999999985</v>
      </c>
      <c r="AN32" s="2">
        <f t="shared" si="10"/>
        <v>64.206999999999994</v>
      </c>
      <c r="AO32" s="2">
        <f t="shared" si="10"/>
        <v>57.10799999999999</v>
      </c>
      <c r="AP32" s="2">
        <f t="shared" si="10"/>
        <v>58.178999999999988</v>
      </c>
      <c r="AQ32" s="2">
        <f t="shared" si="10"/>
        <v>61.559000000000005</v>
      </c>
      <c r="AR32" s="2">
        <f t="shared" si="10"/>
        <v>58.920999999999992</v>
      </c>
      <c r="AS32" s="2">
        <f t="shared" si="10"/>
        <v>46.992000000000004</v>
      </c>
      <c r="AT32" s="2">
        <f t="shared" si="10"/>
        <v>52.880999999999993</v>
      </c>
      <c r="AU32" s="2">
        <f t="shared" si="10"/>
        <v>53.954000000000008</v>
      </c>
      <c r="AV32" s="2">
        <f t="shared" si="10"/>
        <v>64.206999999999994</v>
      </c>
      <c r="AW32" s="2">
        <f t="shared" si="10"/>
        <v>41.554000000000002</v>
      </c>
      <c r="AX32" s="2">
        <f t="shared" si="10"/>
        <v>52.880499999999998</v>
      </c>
      <c r="AY32" s="2">
        <f t="shared" si="10"/>
        <v>25.866999999999997</v>
      </c>
      <c r="AZ32" s="2">
        <f t="shared" si="10"/>
        <v>52.880999999999993</v>
      </c>
      <c r="BA32" s="2">
        <f t="shared" si="10"/>
        <v>5.9739999999999993</v>
      </c>
    </row>
    <row r="35" spans="1:53" x14ac:dyDescent="0.25">
      <c r="A35" s="1" t="s">
        <v>16</v>
      </c>
      <c r="B35">
        <v>69.05</v>
      </c>
      <c r="C35">
        <v>66.91</v>
      </c>
      <c r="D35">
        <v>65.19</v>
      </c>
      <c r="E35">
        <v>60.31</v>
      </c>
      <c r="F35">
        <v>62.9</v>
      </c>
      <c r="G35">
        <v>63.93</v>
      </c>
      <c r="H35">
        <v>63.41</v>
      </c>
      <c r="I35">
        <v>37.799999999999997</v>
      </c>
      <c r="J35">
        <v>46.43</v>
      </c>
      <c r="K35">
        <v>50.64</v>
      </c>
      <c r="L35">
        <v>65.19</v>
      </c>
      <c r="M35">
        <v>27.66</v>
      </c>
      <c r="N35">
        <f t="shared" si="4"/>
        <v>46.424999999999997</v>
      </c>
      <c r="O35">
        <v>37.53</v>
      </c>
      <c r="P35">
        <v>46.43</v>
      </c>
      <c r="Q35">
        <v>-11.6</v>
      </c>
      <c r="S35" s="1" t="s">
        <v>16</v>
      </c>
      <c r="T35">
        <v>72.17</v>
      </c>
      <c r="U35">
        <v>67</v>
      </c>
      <c r="V35">
        <v>25.2</v>
      </c>
      <c r="W35">
        <v>33.68</v>
      </c>
      <c r="X35">
        <v>66.67</v>
      </c>
      <c r="Y35">
        <v>24.59</v>
      </c>
      <c r="Z35">
        <v>35.93</v>
      </c>
      <c r="AA35">
        <v>37.71</v>
      </c>
      <c r="AB35">
        <v>48.94</v>
      </c>
      <c r="AC35">
        <v>50.11</v>
      </c>
      <c r="AD35">
        <v>25.2</v>
      </c>
      <c r="AE35">
        <v>72.69</v>
      </c>
      <c r="AF35">
        <f t="shared" si="5"/>
        <v>48.945</v>
      </c>
      <c r="AG35">
        <v>47.49</v>
      </c>
      <c r="AH35">
        <v>48.94</v>
      </c>
      <c r="AI35">
        <v>-1.52</v>
      </c>
      <c r="AK35" s="1" t="s">
        <v>16</v>
      </c>
      <c r="AL35">
        <v>72.33</v>
      </c>
      <c r="AM35">
        <v>71.239999999999995</v>
      </c>
      <c r="AN35">
        <v>70.55</v>
      </c>
      <c r="AO35">
        <v>69.42</v>
      </c>
      <c r="AP35">
        <v>71.31</v>
      </c>
      <c r="AQ35">
        <v>71.31</v>
      </c>
      <c r="AR35">
        <v>71.31</v>
      </c>
      <c r="AS35">
        <v>51.57</v>
      </c>
      <c r="AT35">
        <v>54.77</v>
      </c>
      <c r="AU35">
        <v>57.81</v>
      </c>
      <c r="AV35">
        <v>70.55</v>
      </c>
      <c r="AW35">
        <v>38.99</v>
      </c>
      <c r="AX35">
        <f t="shared" si="6"/>
        <v>54.769999999999996</v>
      </c>
      <c r="AY35">
        <v>31.57</v>
      </c>
      <c r="AZ35">
        <v>54.77</v>
      </c>
      <c r="BA35">
        <v>7.56</v>
      </c>
    </row>
    <row r="36" spans="1:53" x14ac:dyDescent="0.25">
      <c r="B36">
        <v>69.05</v>
      </c>
      <c r="C36">
        <v>67.2</v>
      </c>
      <c r="D36">
        <v>65.900000000000006</v>
      </c>
      <c r="E36">
        <v>61.09</v>
      </c>
      <c r="F36">
        <v>63.2</v>
      </c>
      <c r="G36">
        <v>64.75</v>
      </c>
      <c r="H36">
        <v>63.97</v>
      </c>
      <c r="I36">
        <v>38.299999999999997</v>
      </c>
      <c r="J36">
        <v>46.78</v>
      </c>
      <c r="K36">
        <v>50.64</v>
      </c>
      <c r="L36">
        <v>65.900000000000006</v>
      </c>
      <c r="M36">
        <v>27.66</v>
      </c>
      <c r="N36">
        <f t="shared" si="4"/>
        <v>46.78</v>
      </c>
      <c r="O36">
        <v>38.24</v>
      </c>
      <c r="P36">
        <v>46.78</v>
      </c>
      <c r="Q36">
        <v>-11.01</v>
      </c>
      <c r="T36">
        <v>70.42</v>
      </c>
      <c r="U36">
        <v>72.22</v>
      </c>
      <c r="V36">
        <v>25.01</v>
      </c>
      <c r="W36">
        <v>30.75</v>
      </c>
      <c r="X36">
        <v>59.18</v>
      </c>
      <c r="Y36">
        <v>23.77</v>
      </c>
      <c r="Z36">
        <v>33.92</v>
      </c>
      <c r="AA36">
        <v>34.950000000000003</v>
      </c>
      <c r="AB36">
        <v>47.99</v>
      </c>
      <c r="AC36">
        <v>47.13</v>
      </c>
      <c r="AD36">
        <v>25.01</v>
      </c>
      <c r="AE36">
        <v>70.959999999999994</v>
      </c>
      <c r="AF36">
        <f t="shared" si="5"/>
        <v>47.984999999999999</v>
      </c>
      <c r="AG36">
        <v>45.94</v>
      </c>
      <c r="AH36">
        <v>47.99</v>
      </c>
      <c r="AI36">
        <v>-2.39</v>
      </c>
      <c r="AL36">
        <v>72.33</v>
      </c>
      <c r="AM36">
        <v>71.239999999999995</v>
      </c>
      <c r="AN36">
        <v>70.55</v>
      </c>
      <c r="AO36">
        <v>69.42</v>
      </c>
      <c r="AP36">
        <v>71.31</v>
      </c>
      <c r="AQ36">
        <v>71.31</v>
      </c>
      <c r="AR36">
        <v>71.31</v>
      </c>
      <c r="AS36">
        <v>51.57</v>
      </c>
      <c r="AT36">
        <v>54.77</v>
      </c>
      <c r="AU36">
        <v>57.81</v>
      </c>
      <c r="AV36">
        <v>70.55</v>
      </c>
      <c r="AW36">
        <v>38.99</v>
      </c>
      <c r="AX36">
        <f t="shared" si="6"/>
        <v>54.769999999999996</v>
      </c>
      <c r="AY36">
        <v>31.57</v>
      </c>
      <c r="AZ36">
        <v>54.77</v>
      </c>
      <c r="BA36">
        <v>7.56</v>
      </c>
    </row>
    <row r="37" spans="1:53" x14ac:dyDescent="0.25">
      <c r="B37">
        <v>53.82</v>
      </c>
      <c r="C37">
        <v>68.98</v>
      </c>
      <c r="D37">
        <v>49.44</v>
      </c>
      <c r="E37">
        <v>35.71</v>
      </c>
      <c r="F37">
        <v>47.14</v>
      </c>
      <c r="G37">
        <v>42.04</v>
      </c>
      <c r="H37">
        <v>44.44</v>
      </c>
      <c r="I37">
        <v>32.85</v>
      </c>
      <c r="J37">
        <v>48.27</v>
      </c>
      <c r="K37">
        <v>47.83</v>
      </c>
      <c r="L37">
        <v>49.44</v>
      </c>
      <c r="M37">
        <v>47.09</v>
      </c>
      <c r="N37">
        <f t="shared" si="4"/>
        <v>48.265000000000001</v>
      </c>
      <c r="O37">
        <v>2.35</v>
      </c>
      <c r="P37">
        <v>48.27</v>
      </c>
      <c r="Q37">
        <v>-4.32</v>
      </c>
      <c r="T37">
        <v>55.81</v>
      </c>
      <c r="U37">
        <v>59.59</v>
      </c>
      <c r="V37">
        <v>44.56</v>
      </c>
      <c r="W37">
        <v>34.22</v>
      </c>
      <c r="X37">
        <v>48.74</v>
      </c>
      <c r="Y37">
        <v>36.94</v>
      </c>
      <c r="Z37">
        <v>42.03</v>
      </c>
      <c r="AA37">
        <v>35.700000000000003</v>
      </c>
      <c r="AB37">
        <v>50.18</v>
      </c>
      <c r="AC37">
        <v>48.71</v>
      </c>
      <c r="AD37">
        <v>44.56</v>
      </c>
      <c r="AE37">
        <v>55.79</v>
      </c>
      <c r="AF37">
        <f t="shared" si="5"/>
        <v>50.174999999999997</v>
      </c>
      <c r="AG37">
        <v>11.23</v>
      </c>
      <c r="AH37">
        <v>50.18</v>
      </c>
      <c r="AI37">
        <v>-0.47</v>
      </c>
      <c r="AL37">
        <v>58.23</v>
      </c>
      <c r="AM37">
        <v>69.400000000000006</v>
      </c>
      <c r="AN37">
        <v>50.49</v>
      </c>
      <c r="AO37">
        <v>37.369999999999997</v>
      </c>
      <c r="AP37">
        <v>50.35</v>
      </c>
      <c r="AQ37">
        <v>45.22</v>
      </c>
      <c r="AR37">
        <v>47.65</v>
      </c>
      <c r="AS37">
        <v>36.51</v>
      </c>
      <c r="AT37">
        <v>49.96</v>
      </c>
      <c r="AU37">
        <v>52.88</v>
      </c>
      <c r="AV37">
        <v>50.49</v>
      </c>
      <c r="AW37">
        <v>49.43</v>
      </c>
      <c r="AX37">
        <f t="shared" si="6"/>
        <v>49.96</v>
      </c>
      <c r="AY37">
        <v>1.06</v>
      </c>
      <c r="AZ37">
        <v>49.96</v>
      </c>
      <c r="BA37">
        <v>1.43</v>
      </c>
    </row>
    <row r="38" spans="1:53" x14ac:dyDescent="0.25">
      <c r="B38">
        <v>69.290000000000006</v>
      </c>
      <c r="C38">
        <v>68.819999999999993</v>
      </c>
      <c r="D38">
        <v>68.02</v>
      </c>
      <c r="E38">
        <v>61.51</v>
      </c>
      <c r="F38">
        <v>64.75</v>
      </c>
      <c r="G38">
        <v>64.75</v>
      </c>
      <c r="H38">
        <v>64.75</v>
      </c>
      <c r="I38">
        <v>42.5</v>
      </c>
      <c r="J38">
        <v>51.12</v>
      </c>
      <c r="K38">
        <v>49.43</v>
      </c>
      <c r="L38">
        <v>68.02</v>
      </c>
      <c r="M38">
        <v>34.229999999999997</v>
      </c>
      <c r="N38">
        <f t="shared" si="4"/>
        <v>51.125</v>
      </c>
      <c r="O38">
        <v>33.79</v>
      </c>
      <c r="P38">
        <v>51.12</v>
      </c>
      <c r="Q38">
        <v>1.94</v>
      </c>
      <c r="T38">
        <v>71.92</v>
      </c>
      <c r="U38">
        <v>72.11</v>
      </c>
      <c r="V38">
        <v>32.26</v>
      </c>
      <c r="W38">
        <v>40.630000000000003</v>
      </c>
      <c r="X38">
        <v>67.27</v>
      </c>
      <c r="Y38">
        <v>30.33</v>
      </c>
      <c r="Z38">
        <v>41.81</v>
      </c>
      <c r="AA38">
        <v>41.62</v>
      </c>
      <c r="AB38">
        <v>52.73</v>
      </c>
      <c r="AC38">
        <v>50.5</v>
      </c>
      <c r="AD38">
        <v>32.26</v>
      </c>
      <c r="AE38">
        <v>73.19</v>
      </c>
      <c r="AF38">
        <f t="shared" si="5"/>
        <v>52.724999999999994</v>
      </c>
      <c r="AG38">
        <v>40.93</v>
      </c>
      <c r="AH38">
        <v>52.73</v>
      </c>
      <c r="AI38">
        <v>5.58</v>
      </c>
      <c r="AL38">
        <v>70.930000000000007</v>
      </c>
      <c r="AM38">
        <v>69.39</v>
      </c>
      <c r="AN38">
        <v>74.78</v>
      </c>
      <c r="AO38">
        <v>71.099999999999994</v>
      </c>
      <c r="AP38">
        <v>70.45</v>
      </c>
      <c r="AQ38">
        <v>76.23</v>
      </c>
      <c r="AR38">
        <v>73.23</v>
      </c>
      <c r="AS38">
        <v>51.86</v>
      </c>
      <c r="AT38">
        <v>53.41</v>
      </c>
      <c r="AU38">
        <v>54.26</v>
      </c>
      <c r="AV38">
        <v>74.78</v>
      </c>
      <c r="AW38">
        <v>32.049999999999997</v>
      </c>
      <c r="AX38">
        <f t="shared" si="6"/>
        <v>53.414999999999999</v>
      </c>
      <c r="AY38">
        <v>42.73</v>
      </c>
      <c r="AZ38">
        <v>53.41</v>
      </c>
      <c r="BA38">
        <v>6.7</v>
      </c>
    </row>
    <row r="39" spans="1:53" x14ac:dyDescent="0.25">
      <c r="B39">
        <v>56.13</v>
      </c>
      <c r="C39">
        <v>70.489999999999995</v>
      </c>
      <c r="D39">
        <v>52.04</v>
      </c>
      <c r="E39">
        <v>37.64</v>
      </c>
      <c r="F39">
        <v>50</v>
      </c>
      <c r="G39">
        <v>45.22</v>
      </c>
      <c r="H39">
        <v>47.49</v>
      </c>
      <c r="I39">
        <v>35.76</v>
      </c>
      <c r="J39">
        <v>50.93</v>
      </c>
      <c r="K39">
        <v>51.8</v>
      </c>
      <c r="L39">
        <v>52.04</v>
      </c>
      <c r="M39">
        <v>49.82</v>
      </c>
      <c r="N39">
        <f t="shared" si="4"/>
        <v>50.93</v>
      </c>
      <c r="O39">
        <v>2.2200000000000002</v>
      </c>
      <c r="P39">
        <v>50.93</v>
      </c>
      <c r="Q39">
        <v>1.97</v>
      </c>
      <c r="T39">
        <v>57.63</v>
      </c>
      <c r="U39">
        <v>61.35</v>
      </c>
      <c r="V39">
        <v>39.17</v>
      </c>
      <c r="W39">
        <v>32.799999999999997</v>
      </c>
      <c r="X39">
        <v>48.7</v>
      </c>
      <c r="Y39">
        <v>35.67</v>
      </c>
      <c r="Z39">
        <v>41.18</v>
      </c>
      <c r="AA39">
        <v>35.72</v>
      </c>
      <c r="AB39">
        <v>50.48</v>
      </c>
      <c r="AC39">
        <v>50.62</v>
      </c>
      <c r="AD39">
        <v>39.17</v>
      </c>
      <c r="AE39">
        <v>61.78</v>
      </c>
      <c r="AF39">
        <f t="shared" si="5"/>
        <v>50.475000000000001</v>
      </c>
      <c r="AG39">
        <v>22.61</v>
      </c>
      <c r="AH39">
        <v>50.48</v>
      </c>
      <c r="AI39">
        <v>-0.64</v>
      </c>
      <c r="AL39">
        <v>59.11</v>
      </c>
      <c r="AM39">
        <v>71.92</v>
      </c>
      <c r="AN39">
        <v>51.34</v>
      </c>
      <c r="AO39">
        <v>39.35</v>
      </c>
      <c r="AP39">
        <v>52.21</v>
      </c>
      <c r="AQ39">
        <v>45.22</v>
      </c>
      <c r="AR39">
        <v>48.46</v>
      </c>
      <c r="AS39">
        <v>39.29</v>
      </c>
      <c r="AT39">
        <v>53.22</v>
      </c>
      <c r="AU39">
        <v>53.97</v>
      </c>
      <c r="AV39">
        <v>51.34</v>
      </c>
      <c r="AW39">
        <v>55.11</v>
      </c>
      <c r="AX39">
        <f t="shared" si="6"/>
        <v>53.225000000000001</v>
      </c>
      <c r="AY39">
        <v>3.77</v>
      </c>
      <c r="AZ39">
        <v>53.22</v>
      </c>
      <c r="BA39">
        <v>5.83</v>
      </c>
    </row>
    <row r="40" spans="1:53" x14ac:dyDescent="0.25">
      <c r="B40">
        <v>48.84</v>
      </c>
      <c r="C40">
        <v>67.98</v>
      </c>
      <c r="D40">
        <v>53.01</v>
      </c>
      <c r="E40">
        <v>39.799999999999997</v>
      </c>
      <c r="F40">
        <v>53.85</v>
      </c>
      <c r="G40">
        <v>57.38</v>
      </c>
      <c r="H40">
        <v>55.56</v>
      </c>
      <c r="I40">
        <v>41.44</v>
      </c>
      <c r="J40">
        <v>52.35</v>
      </c>
      <c r="K40">
        <v>49.19</v>
      </c>
      <c r="L40">
        <v>53.01</v>
      </c>
      <c r="M40">
        <v>51.68</v>
      </c>
      <c r="N40">
        <f t="shared" si="4"/>
        <v>52.344999999999999</v>
      </c>
      <c r="O40">
        <v>1.33</v>
      </c>
      <c r="P40">
        <v>52.35</v>
      </c>
      <c r="Q40">
        <v>4.74</v>
      </c>
      <c r="T40">
        <v>51.74</v>
      </c>
      <c r="U40">
        <v>66.38</v>
      </c>
      <c r="V40">
        <v>45.2</v>
      </c>
      <c r="W40">
        <v>39.14</v>
      </c>
      <c r="X40">
        <v>54.17</v>
      </c>
      <c r="Y40">
        <v>53.28</v>
      </c>
      <c r="Z40">
        <v>53.72</v>
      </c>
      <c r="AA40">
        <v>41.83</v>
      </c>
      <c r="AB40">
        <v>49.86</v>
      </c>
      <c r="AC40">
        <v>52.27</v>
      </c>
      <c r="AD40">
        <v>45.2</v>
      </c>
      <c r="AE40">
        <v>54.51</v>
      </c>
      <c r="AF40">
        <f t="shared" si="5"/>
        <v>49.855000000000004</v>
      </c>
      <c r="AG40">
        <v>9.31</v>
      </c>
      <c r="AH40">
        <v>49.86</v>
      </c>
      <c r="AI40">
        <v>-0.73</v>
      </c>
      <c r="AL40">
        <v>52.57</v>
      </c>
      <c r="AM40">
        <v>66.5</v>
      </c>
      <c r="AN40">
        <v>49.22</v>
      </c>
      <c r="AO40">
        <v>38.03</v>
      </c>
      <c r="AP40">
        <v>51.94</v>
      </c>
      <c r="AQ40">
        <v>54.92</v>
      </c>
      <c r="AR40">
        <v>53.39</v>
      </c>
      <c r="AS40">
        <v>40.31</v>
      </c>
      <c r="AT40">
        <v>49.76</v>
      </c>
      <c r="AU40">
        <v>50.38</v>
      </c>
      <c r="AV40">
        <v>49.22</v>
      </c>
      <c r="AW40">
        <v>50.3</v>
      </c>
      <c r="AX40">
        <f t="shared" si="6"/>
        <v>49.76</v>
      </c>
      <c r="AY40">
        <v>1.08</v>
      </c>
      <c r="AZ40">
        <v>49.76</v>
      </c>
      <c r="BA40">
        <v>-0.64</v>
      </c>
    </row>
    <row r="41" spans="1:53" x14ac:dyDescent="0.25">
      <c r="B41">
        <v>69.23</v>
      </c>
      <c r="C41">
        <v>68.8</v>
      </c>
      <c r="D41">
        <v>73.48</v>
      </c>
      <c r="E41">
        <v>65.47</v>
      </c>
      <c r="F41">
        <v>65.650000000000006</v>
      </c>
      <c r="G41">
        <v>70.489999999999995</v>
      </c>
      <c r="H41">
        <v>67.98</v>
      </c>
      <c r="I41">
        <v>43.1</v>
      </c>
      <c r="J41">
        <v>51.18</v>
      </c>
      <c r="K41">
        <v>50.93</v>
      </c>
      <c r="L41">
        <v>73.48</v>
      </c>
      <c r="M41">
        <v>28.89</v>
      </c>
      <c r="N41">
        <f t="shared" si="4"/>
        <v>51.185000000000002</v>
      </c>
      <c r="O41">
        <v>44.59</v>
      </c>
      <c r="P41">
        <v>51.18</v>
      </c>
      <c r="Q41">
        <v>2.57</v>
      </c>
      <c r="T41">
        <v>78.37</v>
      </c>
      <c r="U41">
        <v>77.11</v>
      </c>
      <c r="V41">
        <v>37.880000000000003</v>
      </c>
      <c r="W41">
        <v>45.98</v>
      </c>
      <c r="X41">
        <v>75</v>
      </c>
      <c r="Y41">
        <v>34.43</v>
      </c>
      <c r="Z41">
        <v>47.19</v>
      </c>
      <c r="AA41">
        <v>46.4</v>
      </c>
      <c r="AB41">
        <v>57.56</v>
      </c>
      <c r="AC41">
        <v>58.93</v>
      </c>
      <c r="AD41">
        <v>37.880000000000003</v>
      </c>
      <c r="AE41">
        <v>77.23</v>
      </c>
      <c r="AF41">
        <f t="shared" si="5"/>
        <v>57.555000000000007</v>
      </c>
      <c r="AG41">
        <v>39.35</v>
      </c>
      <c r="AH41">
        <v>57.56</v>
      </c>
      <c r="AI41">
        <v>14.92</v>
      </c>
      <c r="AL41">
        <v>72.900000000000006</v>
      </c>
      <c r="AM41">
        <v>67.709999999999994</v>
      </c>
      <c r="AN41">
        <v>74.239999999999995</v>
      </c>
      <c r="AO41">
        <v>69.930000000000007</v>
      </c>
      <c r="AP41">
        <v>68.89</v>
      </c>
      <c r="AQ41">
        <v>76.23</v>
      </c>
      <c r="AR41">
        <v>72.37</v>
      </c>
      <c r="AS41">
        <v>47.14</v>
      </c>
      <c r="AT41">
        <v>49.86</v>
      </c>
      <c r="AU41">
        <v>54.81</v>
      </c>
      <c r="AV41">
        <v>74.239999999999995</v>
      </c>
      <c r="AW41">
        <v>25.49</v>
      </c>
      <c r="AX41">
        <f t="shared" si="6"/>
        <v>49.864999999999995</v>
      </c>
      <c r="AY41">
        <v>48.75</v>
      </c>
      <c r="AZ41">
        <v>49.86</v>
      </c>
      <c r="BA41">
        <v>-2.72</v>
      </c>
    </row>
    <row r="42" spans="1:53" x14ac:dyDescent="0.25">
      <c r="B42">
        <v>54.58</v>
      </c>
      <c r="C42">
        <v>71.02</v>
      </c>
      <c r="D42">
        <v>49.89</v>
      </c>
      <c r="E42">
        <v>36.67</v>
      </c>
      <c r="F42">
        <v>48.91</v>
      </c>
      <c r="G42">
        <v>42.68</v>
      </c>
      <c r="H42">
        <v>45.58</v>
      </c>
      <c r="I42">
        <v>35.770000000000003</v>
      </c>
      <c r="J42">
        <v>51.8</v>
      </c>
      <c r="K42">
        <v>49.34</v>
      </c>
      <c r="L42">
        <v>49.89</v>
      </c>
      <c r="M42">
        <v>53.71</v>
      </c>
      <c r="N42">
        <f t="shared" si="4"/>
        <v>51.8</v>
      </c>
      <c r="O42">
        <v>3.82</v>
      </c>
      <c r="P42">
        <v>51.8</v>
      </c>
      <c r="Q42">
        <v>2.29</v>
      </c>
      <c r="T42">
        <v>57.51</v>
      </c>
      <c r="U42">
        <v>69.900000000000006</v>
      </c>
      <c r="V42">
        <v>42.18</v>
      </c>
      <c r="W42">
        <v>34.64</v>
      </c>
      <c r="X42">
        <v>52.29</v>
      </c>
      <c r="Y42">
        <v>36.31</v>
      </c>
      <c r="Z42">
        <v>42.86</v>
      </c>
      <c r="AA42">
        <v>38.729999999999997</v>
      </c>
      <c r="AB42">
        <v>54.31</v>
      </c>
      <c r="AC42">
        <v>54.89</v>
      </c>
      <c r="AD42">
        <v>42.18</v>
      </c>
      <c r="AE42">
        <v>66.430000000000007</v>
      </c>
      <c r="AF42">
        <f t="shared" si="5"/>
        <v>54.305000000000007</v>
      </c>
      <c r="AG42">
        <v>24.25</v>
      </c>
      <c r="AH42">
        <v>54.31</v>
      </c>
      <c r="AI42">
        <v>9.4499999999999993</v>
      </c>
      <c r="AL42">
        <v>55.11</v>
      </c>
      <c r="AM42">
        <v>70.67</v>
      </c>
      <c r="AN42">
        <v>55.29</v>
      </c>
      <c r="AO42">
        <v>40.119999999999997</v>
      </c>
      <c r="AP42">
        <v>50.99</v>
      </c>
      <c r="AQ42">
        <v>49.04</v>
      </c>
      <c r="AR42">
        <v>50</v>
      </c>
      <c r="AS42">
        <v>36.74</v>
      </c>
      <c r="AT42">
        <v>51.66</v>
      </c>
      <c r="AU42">
        <v>51.31</v>
      </c>
      <c r="AV42">
        <v>55.29</v>
      </c>
      <c r="AW42">
        <v>48.03</v>
      </c>
      <c r="AX42">
        <f t="shared" si="6"/>
        <v>51.66</v>
      </c>
      <c r="AY42">
        <v>7.26</v>
      </c>
      <c r="AZ42">
        <v>51.66</v>
      </c>
      <c r="BA42">
        <v>2.4900000000000002</v>
      </c>
    </row>
    <row r="43" spans="1:53" x14ac:dyDescent="0.25">
      <c r="B43">
        <v>45.84</v>
      </c>
      <c r="C43">
        <v>66.34</v>
      </c>
      <c r="D43">
        <v>53.24</v>
      </c>
      <c r="E43">
        <v>38.340000000000003</v>
      </c>
      <c r="F43">
        <v>50.76</v>
      </c>
      <c r="G43">
        <v>54.92</v>
      </c>
      <c r="H43">
        <v>52.76</v>
      </c>
      <c r="I43">
        <v>40.47</v>
      </c>
      <c r="J43">
        <v>51.99</v>
      </c>
      <c r="K43">
        <v>43.62</v>
      </c>
      <c r="L43">
        <v>53.24</v>
      </c>
      <c r="M43">
        <v>50.74</v>
      </c>
      <c r="N43">
        <f t="shared" si="4"/>
        <v>51.99</v>
      </c>
      <c r="O43">
        <v>2.5</v>
      </c>
      <c r="P43">
        <v>51.99</v>
      </c>
      <c r="Q43">
        <v>3.12</v>
      </c>
      <c r="T43">
        <v>54.7</v>
      </c>
      <c r="U43">
        <v>68.069999999999993</v>
      </c>
      <c r="V43">
        <v>47.75</v>
      </c>
      <c r="W43">
        <v>42.15</v>
      </c>
      <c r="X43">
        <v>53.97</v>
      </c>
      <c r="Y43">
        <v>55.74</v>
      </c>
      <c r="Z43">
        <v>54.84</v>
      </c>
      <c r="AA43">
        <v>42.81</v>
      </c>
      <c r="AB43">
        <v>50.69</v>
      </c>
      <c r="AC43">
        <v>52.32</v>
      </c>
      <c r="AD43">
        <v>47.75</v>
      </c>
      <c r="AE43">
        <v>53.63</v>
      </c>
      <c r="AF43">
        <f t="shared" si="5"/>
        <v>50.69</v>
      </c>
      <c r="AG43">
        <v>5.88</v>
      </c>
      <c r="AH43">
        <v>50.69</v>
      </c>
      <c r="AI43">
        <v>-0.87</v>
      </c>
      <c r="AL43">
        <v>45.39</v>
      </c>
      <c r="AM43">
        <v>66.77</v>
      </c>
      <c r="AN43">
        <v>54.73</v>
      </c>
      <c r="AO43">
        <v>40.07</v>
      </c>
      <c r="AP43">
        <v>52.17</v>
      </c>
      <c r="AQ43">
        <v>59.02</v>
      </c>
      <c r="AR43">
        <v>55.38</v>
      </c>
      <c r="AS43">
        <v>41.21</v>
      </c>
      <c r="AT43">
        <v>51.51</v>
      </c>
      <c r="AU43">
        <v>43.99</v>
      </c>
      <c r="AV43">
        <v>54.73</v>
      </c>
      <c r="AW43">
        <v>48.28</v>
      </c>
      <c r="AX43">
        <f t="shared" si="6"/>
        <v>51.504999999999995</v>
      </c>
      <c r="AY43">
        <v>6.44</v>
      </c>
      <c r="AZ43">
        <v>51.51</v>
      </c>
      <c r="BA43">
        <v>3.79</v>
      </c>
    </row>
    <row r="44" spans="1:53" x14ac:dyDescent="0.25">
      <c r="B44">
        <v>46.64</v>
      </c>
      <c r="C44">
        <v>70.510000000000005</v>
      </c>
      <c r="D44">
        <v>46.61</v>
      </c>
      <c r="E44">
        <v>32.590000000000003</v>
      </c>
      <c r="F44">
        <v>49.18</v>
      </c>
      <c r="G44">
        <v>47.43</v>
      </c>
      <c r="H44">
        <v>48.29</v>
      </c>
      <c r="I44">
        <v>36.19</v>
      </c>
      <c r="J44">
        <v>49.68</v>
      </c>
      <c r="K44">
        <v>45.45</v>
      </c>
      <c r="L44">
        <v>46.61</v>
      </c>
      <c r="M44">
        <v>52.75</v>
      </c>
      <c r="N44">
        <f t="shared" si="4"/>
        <v>49.68</v>
      </c>
      <c r="O44">
        <v>6.14</v>
      </c>
      <c r="P44">
        <v>49.68</v>
      </c>
      <c r="Q44">
        <v>-0.48</v>
      </c>
      <c r="T44">
        <v>49.74</v>
      </c>
      <c r="U44">
        <v>60.78</v>
      </c>
      <c r="V44">
        <v>44.28</v>
      </c>
      <c r="W44">
        <v>34.619999999999997</v>
      </c>
      <c r="X44">
        <v>48.71</v>
      </c>
      <c r="Y44">
        <v>44.66</v>
      </c>
      <c r="Z44">
        <v>46.6</v>
      </c>
      <c r="AA44">
        <v>38.520000000000003</v>
      </c>
      <c r="AB44">
        <v>49.3</v>
      </c>
      <c r="AC44">
        <v>48.39</v>
      </c>
      <c r="AD44">
        <v>44.28</v>
      </c>
      <c r="AE44">
        <v>54.32</v>
      </c>
      <c r="AF44">
        <f t="shared" si="5"/>
        <v>49.3</v>
      </c>
      <c r="AG44">
        <v>10.050000000000001</v>
      </c>
      <c r="AH44">
        <v>49.3</v>
      </c>
      <c r="AI44">
        <v>-2.29</v>
      </c>
      <c r="AL44">
        <v>49.07</v>
      </c>
      <c r="AM44">
        <v>62.3</v>
      </c>
      <c r="AN44">
        <v>44.02</v>
      </c>
      <c r="AO44">
        <v>41.37</v>
      </c>
      <c r="AP44">
        <v>50.42</v>
      </c>
      <c r="AQ44">
        <v>47.43</v>
      </c>
      <c r="AR44">
        <v>48.88</v>
      </c>
      <c r="AS44">
        <v>37.96</v>
      </c>
      <c r="AT44">
        <v>49.16</v>
      </c>
      <c r="AU44">
        <v>48.01</v>
      </c>
      <c r="AV44">
        <v>44.02</v>
      </c>
      <c r="AW44">
        <v>54.29</v>
      </c>
      <c r="AX44">
        <f t="shared" si="6"/>
        <v>49.155000000000001</v>
      </c>
      <c r="AY44">
        <v>10.28</v>
      </c>
      <c r="AZ44">
        <v>49.16</v>
      </c>
      <c r="BA44">
        <v>-2.65</v>
      </c>
    </row>
    <row r="45" spans="1:53" x14ac:dyDescent="0.25">
      <c r="B45" s="2">
        <f>AVERAGE(B35:B44)</f>
        <v>58.246999999999993</v>
      </c>
      <c r="C45" s="2">
        <f t="shared" ref="C45:BA45" si="11">AVERAGE(C35:C44)</f>
        <v>68.705000000000013</v>
      </c>
      <c r="D45" s="2">
        <f t="shared" si="11"/>
        <v>57.682000000000002</v>
      </c>
      <c r="E45" s="2">
        <f t="shared" si="11"/>
        <v>46.912999999999997</v>
      </c>
      <c r="F45" s="2">
        <f t="shared" si="11"/>
        <v>55.633999999999993</v>
      </c>
      <c r="G45" s="2">
        <f t="shared" si="11"/>
        <v>55.359000000000002</v>
      </c>
      <c r="H45" s="2">
        <f t="shared" si="11"/>
        <v>55.423000000000002</v>
      </c>
      <c r="I45" s="2">
        <f t="shared" si="11"/>
        <v>38.417999999999999</v>
      </c>
      <c r="J45" s="2">
        <f t="shared" si="11"/>
        <v>50.053000000000011</v>
      </c>
      <c r="K45" s="2">
        <f t="shared" si="11"/>
        <v>48.887000000000008</v>
      </c>
      <c r="L45" s="2">
        <f t="shared" si="11"/>
        <v>57.682000000000002</v>
      </c>
      <c r="M45" s="2">
        <f t="shared" si="11"/>
        <v>42.422999999999995</v>
      </c>
      <c r="N45" s="2">
        <f t="shared" si="11"/>
        <v>50.052500000000002</v>
      </c>
      <c r="O45" s="2">
        <f t="shared" si="11"/>
        <v>17.250999999999998</v>
      </c>
      <c r="P45" s="2">
        <f t="shared" si="11"/>
        <v>50.053000000000011</v>
      </c>
      <c r="Q45" s="2">
        <f t="shared" si="11"/>
        <v>-1.0780000000000001</v>
      </c>
      <c r="R45" s="2"/>
      <c r="S45" s="2"/>
      <c r="T45" s="2">
        <f t="shared" si="11"/>
        <v>62.001000000000012</v>
      </c>
      <c r="U45" s="2">
        <f t="shared" si="11"/>
        <v>67.450999999999993</v>
      </c>
      <c r="V45" s="2">
        <f t="shared" si="11"/>
        <v>38.349000000000004</v>
      </c>
      <c r="W45" s="2">
        <f t="shared" si="11"/>
        <v>36.860999999999997</v>
      </c>
      <c r="X45" s="2">
        <f t="shared" si="11"/>
        <v>57.470000000000006</v>
      </c>
      <c r="Y45" s="2">
        <f t="shared" si="11"/>
        <v>37.572000000000003</v>
      </c>
      <c r="Z45" s="2">
        <f t="shared" si="11"/>
        <v>44.008000000000003</v>
      </c>
      <c r="AA45" s="2">
        <f t="shared" si="11"/>
        <v>39.398999999999994</v>
      </c>
      <c r="AB45" s="2">
        <f t="shared" si="11"/>
        <v>51.203999999999994</v>
      </c>
      <c r="AC45" s="2">
        <f t="shared" si="11"/>
        <v>51.387</v>
      </c>
      <c r="AD45" s="2">
        <f t="shared" si="11"/>
        <v>38.349000000000004</v>
      </c>
      <c r="AE45" s="2">
        <f t="shared" si="11"/>
        <v>64.052999999999997</v>
      </c>
      <c r="AF45" s="2">
        <f t="shared" si="11"/>
        <v>51.201000000000001</v>
      </c>
      <c r="AG45" s="2">
        <f t="shared" si="11"/>
        <v>25.703999999999997</v>
      </c>
      <c r="AH45" s="2">
        <f t="shared" si="11"/>
        <v>51.203999999999994</v>
      </c>
      <c r="AI45" s="2">
        <f t="shared" si="11"/>
        <v>2.1040000000000001</v>
      </c>
      <c r="AJ45" s="2"/>
      <c r="AK45" s="2"/>
      <c r="AL45" s="2">
        <f t="shared" si="11"/>
        <v>60.797000000000004</v>
      </c>
      <c r="AM45" s="2">
        <f t="shared" si="11"/>
        <v>68.713999999999984</v>
      </c>
      <c r="AN45" s="2">
        <f t="shared" si="11"/>
        <v>59.521000000000001</v>
      </c>
      <c r="AO45" s="2">
        <f t="shared" si="11"/>
        <v>51.618000000000009</v>
      </c>
      <c r="AP45" s="2">
        <f t="shared" si="11"/>
        <v>59.003999999999998</v>
      </c>
      <c r="AQ45" s="2">
        <f t="shared" si="11"/>
        <v>59.592999999999996</v>
      </c>
      <c r="AR45" s="2">
        <f t="shared" si="11"/>
        <v>59.198</v>
      </c>
      <c r="AS45" s="2">
        <f t="shared" si="11"/>
        <v>43.415999999999997</v>
      </c>
      <c r="AT45" s="2">
        <f t="shared" si="11"/>
        <v>51.807999999999993</v>
      </c>
      <c r="AU45" s="2">
        <f t="shared" si="11"/>
        <v>52.523000000000003</v>
      </c>
      <c r="AV45" s="2">
        <f t="shared" si="11"/>
        <v>59.521000000000001</v>
      </c>
      <c r="AW45" s="2">
        <f t="shared" si="11"/>
        <v>44.095999999999997</v>
      </c>
      <c r="AX45" s="2">
        <f t="shared" si="11"/>
        <v>51.808499999999995</v>
      </c>
      <c r="AY45" s="2">
        <f t="shared" si="11"/>
        <v>18.451000000000001</v>
      </c>
      <c r="AZ45" s="2">
        <f t="shared" si="11"/>
        <v>51.807999999999993</v>
      </c>
      <c r="BA45" s="2">
        <f t="shared" si="11"/>
        <v>2.9350000000000001</v>
      </c>
    </row>
    <row r="48" spans="1:53" x14ac:dyDescent="0.25">
      <c r="A48" s="1" t="s">
        <v>17</v>
      </c>
      <c r="B48">
        <v>69.38</v>
      </c>
      <c r="C48">
        <v>63.02</v>
      </c>
      <c r="D48">
        <v>62.45</v>
      </c>
      <c r="E48">
        <v>60.66</v>
      </c>
      <c r="F48">
        <v>61.86</v>
      </c>
      <c r="G48">
        <v>59.84</v>
      </c>
      <c r="H48">
        <v>60.83</v>
      </c>
      <c r="I48">
        <v>40.299999999999997</v>
      </c>
      <c r="J48">
        <v>41.11</v>
      </c>
      <c r="K48">
        <v>48.64</v>
      </c>
      <c r="L48">
        <v>62.45</v>
      </c>
      <c r="M48">
        <v>19.77</v>
      </c>
      <c r="N48">
        <f t="shared" si="4"/>
        <v>41.11</v>
      </c>
      <c r="O48">
        <v>42.68</v>
      </c>
      <c r="P48">
        <v>41.11</v>
      </c>
      <c r="Q48">
        <v>-14.24</v>
      </c>
      <c r="S48" s="1" t="s">
        <v>17</v>
      </c>
      <c r="T48">
        <v>70.16</v>
      </c>
      <c r="U48">
        <v>72.819999999999993</v>
      </c>
      <c r="V48">
        <v>54.5</v>
      </c>
      <c r="W48">
        <v>53.96</v>
      </c>
      <c r="X48">
        <v>67.39</v>
      </c>
      <c r="Y48">
        <v>50.82</v>
      </c>
      <c r="Z48">
        <v>57.94</v>
      </c>
      <c r="AA48">
        <v>45.42</v>
      </c>
      <c r="AB48">
        <v>54.25</v>
      </c>
      <c r="AC48">
        <v>51.41</v>
      </c>
      <c r="AD48">
        <v>54.5</v>
      </c>
      <c r="AE48">
        <v>54</v>
      </c>
      <c r="AF48">
        <f t="shared" si="5"/>
        <v>54.25</v>
      </c>
      <c r="AG48">
        <v>0.5</v>
      </c>
      <c r="AH48">
        <v>54.25</v>
      </c>
      <c r="AI48">
        <v>9.24</v>
      </c>
      <c r="AK48" s="1" t="s">
        <v>17</v>
      </c>
      <c r="AL48">
        <v>66.05</v>
      </c>
      <c r="AM48">
        <v>67.48</v>
      </c>
      <c r="AN48">
        <v>50.44</v>
      </c>
      <c r="AO48">
        <v>55.52</v>
      </c>
      <c r="AP48">
        <v>65.56</v>
      </c>
      <c r="AQ48">
        <v>48.36</v>
      </c>
      <c r="AR48">
        <v>55.66</v>
      </c>
      <c r="AS48">
        <v>45.5</v>
      </c>
      <c r="AT48">
        <v>49.7</v>
      </c>
      <c r="AU48">
        <v>45.6</v>
      </c>
      <c r="AV48">
        <v>50.44</v>
      </c>
      <c r="AW48">
        <v>48.97</v>
      </c>
      <c r="AX48">
        <f t="shared" si="6"/>
        <v>49.704999999999998</v>
      </c>
      <c r="AY48">
        <v>1.46</v>
      </c>
      <c r="AZ48">
        <v>49.7</v>
      </c>
      <c r="BA48">
        <v>-0.23</v>
      </c>
    </row>
    <row r="49" spans="1:53" x14ac:dyDescent="0.25">
      <c r="B49">
        <v>78</v>
      </c>
      <c r="C49">
        <v>68.73</v>
      </c>
      <c r="D49">
        <v>64.63</v>
      </c>
      <c r="E49">
        <v>64.55</v>
      </c>
      <c r="F49">
        <v>67.540000000000006</v>
      </c>
      <c r="G49">
        <v>63.11</v>
      </c>
      <c r="H49">
        <v>65.25</v>
      </c>
      <c r="I49">
        <v>48.22</v>
      </c>
      <c r="J49">
        <v>51.01</v>
      </c>
      <c r="K49">
        <v>57.46</v>
      </c>
      <c r="L49">
        <v>64.63</v>
      </c>
      <c r="M49">
        <v>37.39</v>
      </c>
      <c r="N49">
        <f t="shared" si="4"/>
        <v>51.01</v>
      </c>
      <c r="O49">
        <v>27.24</v>
      </c>
      <c r="P49">
        <v>51.01</v>
      </c>
      <c r="Q49">
        <v>2.21</v>
      </c>
      <c r="T49">
        <v>70.98</v>
      </c>
      <c r="U49">
        <v>70.27</v>
      </c>
      <c r="V49">
        <v>51.54</v>
      </c>
      <c r="W49">
        <v>51.84</v>
      </c>
      <c r="X49">
        <v>68.67</v>
      </c>
      <c r="Y49">
        <v>46.72</v>
      </c>
      <c r="Z49">
        <v>55.61</v>
      </c>
      <c r="AA49">
        <v>46.76</v>
      </c>
      <c r="AB49">
        <v>56.67</v>
      </c>
      <c r="AC49">
        <v>55.56</v>
      </c>
      <c r="AD49">
        <v>51.54</v>
      </c>
      <c r="AE49">
        <v>61.79</v>
      </c>
      <c r="AF49">
        <f t="shared" si="5"/>
        <v>56.664999999999999</v>
      </c>
      <c r="AG49">
        <v>10.25</v>
      </c>
      <c r="AH49">
        <v>56.67</v>
      </c>
      <c r="AI49">
        <v>12.13</v>
      </c>
      <c r="AL49">
        <v>73.38</v>
      </c>
      <c r="AM49">
        <v>68</v>
      </c>
      <c r="AN49">
        <v>47.63</v>
      </c>
      <c r="AO49">
        <v>53.05</v>
      </c>
      <c r="AP49">
        <v>64.709999999999994</v>
      </c>
      <c r="AQ49">
        <v>45.08</v>
      </c>
      <c r="AR49">
        <v>53.14</v>
      </c>
      <c r="AS49">
        <v>44.57</v>
      </c>
      <c r="AT49">
        <v>50.36</v>
      </c>
      <c r="AU49">
        <v>51.04</v>
      </c>
      <c r="AV49">
        <v>47.63</v>
      </c>
      <c r="AW49">
        <v>53.09</v>
      </c>
      <c r="AX49">
        <f t="shared" si="6"/>
        <v>50.36</v>
      </c>
      <c r="AY49">
        <v>5.46</v>
      </c>
      <c r="AZ49">
        <v>50.36</v>
      </c>
      <c r="BA49">
        <v>0.71</v>
      </c>
    </row>
    <row r="50" spans="1:53" x14ac:dyDescent="0.25">
      <c r="B50">
        <v>53.25</v>
      </c>
      <c r="C50">
        <v>72.55</v>
      </c>
      <c r="D50">
        <v>44.27</v>
      </c>
      <c r="E50">
        <v>47.06</v>
      </c>
      <c r="F50">
        <v>67.239999999999995</v>
      </c>
      <c r="G50">
        <v>49.68</v>
      </c>
      <c r="H50">
        <v>57.14</v>
      </c>
      <c r="I50">
        <v>48.34</v>
      </c>
      <c r="J50">
        <v>52.61</v>
      </c>
      <c r="K50">
        <v>47.32</v>
      </c>
      <c r="L50">
        <v>44.27</v>
      </c>
      <c r="M50">
        <v>60.94</v>
      </c>
      <c r="N50">
        <f t="shared" si="4"/>
        <v>52.605000000000004</v>
      </c>
      <c r="O50">
        <v>16.670000000000002</v>
      </c>
      <c r="P50">
        <v>52.61</v>
      </c>
      <c r="Q50">
        <v>4.76</v>
      </c>
      <c r="T50">
        <v>59.58</v>
      </c>
      <c r="U50">
        <v>63.78</v>
      </c>
      <c r="V50">
        <v>42.96</v>
      </c>
      <c r="W50">
        <v>58.05</v>
      </c>
      <c r="X50">
        <v>66.09</v>
      </c>
      <c r="Y50">
        <v>48.41</v>
      </c>
      <c r="Z50">
        <v>55.88</v>
      </c>
      <c r="AA50">
        <v>42.92</v>
      </c>
      <c r="AB50">
        <v>52.9</v>
      </c>
      <c r="AC50">
        <v>55.82</v>
      </c>
      <c r="AD50">
        <v>42.96</v>
      </c>
      <c r="AE50">
        <v>62.85</v>
      </c>
      <c r="AF50">
        <f t="shared" si="5"/>
        <v>52.905000000000001</v>
      </c>
      <c r="AG50">
        <v>19.89</v>
      </c>
      <c r="AH50">
        <v>52.9</v>
      </c>
      <c r="AI50">
        <v>6.07</v>
      </c>
      <c r="AL50">
        <v>53.37</v>
      </c>
      <c r="AM50">
        <v>48.65</v>
      </c>
      <c r="AN50">
        <v>50.98</v>
      </c>
      <c r="AO50">
        <v>63.1</v>
      </c>
      <c r="AP50">
        <v>54.05</v>
      </c>
      <c r="AQ50">
        <v>50.96</v>
      </c>
      <c r="AR50">
        <v>52.46</v>
      </c>
      <c r="AS50">
        <v>44.69</v>
      </c>
      <c r="AT50">
        <v>53.13</v>
      </c>
      <c r="AU50">
        <v>51.26</v>
      </c>
      <c r="AV50">
        <v>50.98</v>
      </c>
      <c r="AW50">
        <v>55.28</v>
      </c>
      <c r="AX50">
        <f t="shared" si="6"/>
        <v>53.129999999999995</v>
      </c>
      <c r="AY50">
        <v>4.3</v>
      </c>
      <c r="AZ50">
        <v>53.13</v>
      </c>
      <c r="BA50">
        <v>3.55</v>
      </c>
    </row>
    <row r="51" spans="1:53" x14ac:dyDescent="0.25">
      <c r="B51">
        <v>78.97</v>
      </c>
      <c r="C51">
        <v>68.45</v>
      </c>
      <c r="D51">
        <v>65.510000000000005</v>
      </c>
      <c r="E51">
        <v>63.06</v>
      </c>
      <c r="F51">
        <v>64.959999999999994</v>
      </c>
      <c r="G51">
        <v>62.3</v>
      </c>
      <c r="H51">
        <v>63.6</v>
      </c>
      <c r="I51">
        <v>44.23</v>
      </c>
      <c r="J51">
        <v>49.22</v>
      </c>
      <c r="K51">
        <v>58.42</v>
      </c>
      <c r="L51">
        <v>65.510000000000005</v>
      </c>
      <c r="M51">
        <v>32.93</v>
      </c>
      <c r="N51">
        <f t="shared" si="4"/>
        <v>49.22</v>
      </c>
      <c r="O51">
        <v>32.590000000000003</v>
      </c>
      <c r="P51">
        <v>49.22</v>
      </c>
      <c r="Q51">
        <v>-0.78</v>
      </c>
      <c r="T51">
        <v>70.27</v>
      </c>
      <c r="U51">
        <v>70.88</v>
      </c>
      <c r="V51">
        <v>51.49</v>
      </c>
      <c r="W51">
        <v>52.04</v>
      </c>
      <c r="X51">
        <v>65.930000000000007</v>
      </c>
      <c r="Y51">
        <v>49.18</v>
      </c>
      <c r="Z51">
        <v>56.34</v>
      </c>
      <c r="AA51">
        <v>42.52</v>
      </c>
      <c r="AB51">
        <v>50.47</v>
      </c>
      <c r="AC51">
        <v>54</v>
      </c>
      <c r="AD51">
        <v>51.49</v>
      </c>
      <c r="AE51">
        <v>49.46</v>
      </c>
      <c r="AF51">
        <f t="shared" si="5"/>
        <v>50.475000000000001</v>
      </c>
      <c r="AG51">
        <v>2.04</v>
      </c>
      <c r="AH51">
        <v>50.47</v>
      </c>
      <c r="AI51">
        <v>1.79</v>
      </c>
      <c r="AL51">
        <v>73.11</v>
      </c>
      <c r="AM51">
        <v>70.63</v>
      </c>
      <c r="AN51">
        <v>49.39</v>
      </c>
      <c r="AO51">
        <v>53.43</v>
      </c>
      <c r="AP51">
        <v>64.37</v>
      </c>
      <c r="AQ51">
        <v>45.9</v>
      </c>
      <c r="AR51">
        <v>53.59</v>
      </c>
      <c r="AS51">
        <v>44.36</v>
      </c>
      <c r="AT51">
        <v>52.18</v>
      </c>
      <c r="AU51">
        <v>56.78</v>
      </c>
      <c r="AV51">
        <v>49.39</v>
      </c>
      <c r="AW51">
        <v>54.97</v>
      </c>
      <c r="AX51">
        <f t="shared" si="6"/>
        <v>52.18</v>
      </c>
      <c r="AY51">
        <v>5.59</v>
      </c>
      <c r="AZ51">
        <v>52.18</v>
      </c>
      <c r="BA51">
        <v>4.16</v>
      </c>
    </row>
    <row r="52" spans="1:53" x14ac:dyDescent="0.25">
      <c r="B52">
        <v>55.65</v>
      </c>
      <c r="C52">
        <v>74.23</v>
      </c>
      <c r="D52">
        <v>44.27</v>
      </c>
      <c r="E52">
        <v>47.35</v>
      </c>
      <c r="F52">
        <v>67.83</v>
      </c>
      <c r="G52">
        <v>49.68</v>
      </c>
      <c r="H52">
        <v>57.35</v>
      </c>
      <c r="I52">
        <v>48.46</v>
      </c>
      <c r="J52">
        <v>53.06</v>
      </c>
      <c r="K52">
        <v>48.86</v>
      </c>
      <c r="L52">
        <v>44.27</v>
      </c>
      <c r="M52">
        <v>61.85</v>
      </c>
      <c r="N52">
        <f t="shared" si="4"/>
        <v>53.06</v>
      </c>
      <c r="O52">
        <v>17.59</v>
      </c>
      <c r="P52">
        <v>53.06</v>
      </c>
      <c r="Q52">
        <v>5.89</v>
      </c>
      <c r="T52">
        <v>55.84</v>
      </c>
      <c r="U52">
        <v>81.290000000000006</v>
      </c>
      <c r="V52">
        <v>44.61</v>
      </c>
      <c r="W52">
        <v>43.06</v>
      </c>
      <c r="X52">
        <v>68.069999999999993</v>
      </c>
      <c r="Y52">
        <v>51.59</v>
      </c>
      <c r="Z52">
        <v>58.7</v>
      </c>
      <c r="AA52">
        <v>44.41</v>
      </c>
      <c r="AB52">
        <v>54.2</v>
      </c>
      <c r="AC52">
        <v>51.63</v>
      </c>
      <c r="AD52">
        <v>44.61</v>
      </c>
      <c r="AE52">
        <v>63.79</v>
      </c>
      <c r="AF52">
        <f t="shared" si="5"/>
        <v>54.2</v>
      </c>
      <c r="AG52">
        <v>19.18</v>
      </c>
      <c r="AH52">
        <v>54.2</v>
      </c>
      <c r="AI52">
        <v>8.9499999999999993</v>
      </c>
      <c r="AL52">
        <v>54.24</v>
      </c>
      <c r="AM52">
        <v>61.79</v>
      </c>
      <c r="AN52">
        <v>47.83</v>
      </c>
      <c r="AO52">
        <v>40.47</v>
      </c>
      <c r="AP52">
        <v>48.92</v>
      </c>
      <c r="AQ52">
        <v>43.31</v>
      </c>
      <c r="AR52">
        <v>45.95</v>
      </c>
      <c r="AS52">
        <v>38.96</v>
      </c>
      <c r="AT52">
        <v>50.74</v>
      </c>
      <c r="AU52">
        <v>48.5</v>
      </c>
      <c r="AV52">
        <v>47.83</v>
      </c>
      <c r="AW52">
        <v>53.65</v>
      </c>
      <c r="AX52">
        <f t="shared" si="6"/>
        <v>50.739999999999995</v>
      </c>
      <c r="AY52">
        <v>5.83</v>
      </c>
      <c r="AZ52">
        <v>50.74</v>
      </c>
      <c r="BA52">
        <v>-0.76</v>
      </c>
    </row>
    <row r="53" spans="1:53" x14ac:dyDescent="0.25">
      <c r="B53">
        <v>56.36</v>
      </c>
      <c r="C53">
        <v>68.14</v>
      </c>
      <c r="D53">
        <v>49.13</v>
      </c>
      <c r="E53">
        <v>48.03</v>
      </c>
      <c r="F53">
        <v>63.25</v>
      </c>
      <c r="G53">
        <v>60.66</v>
      </c>
      <c r="H53">
        <v>61.92</v>
      </c>
      <c r="I53">
        <v>50.84</v>
      </c>
      <c r="J53">
        <v>53.42</v>
      </c>
      <c r="K53">
        <v>60.28</v>
      </c>
      <c r="L53">
        <v>49.13</v>
      </c>
      <c r="M53">
        <v>57.71</v>
      </c>
      <c r="N53">
        <f t="shared" si="4"/>
        <v>53.42</v>
      </c>
      <c r="O53">
        <v>8.58</v>
      </c>
      <c r="P53">
        <v>53.42</v>
      </c>
      <c r="Q53">
        <v>9.41</v>
      </c>
      <c r="T53">
        <v>45.72</v>
      </c>
      <c r="U53">
        <v>63.84</v>
      </c>
      <c r="V53">
        <v>32.69</v>
      </c>
      <c r="W53">
        <v>38.31</v>
      </c>
      <c r="X53">
        <v>47.67</v>
      </c>
      <c r="Y53">
        <v>33.61</v>
      </c>
      <c r="Z53">
        <v>39.42</v>
      </c>
      <c r="AA53">
        <v>37.450000000000003</v>
      </c>
      <c r="AB53">
        <v>47.58</v>
      </c>
      <c r="AC53">
        <v>44.98</v>
      </c>
      <c r="AD53">
        <v>32.69</v>
      </c>
      <c r="AE53">
        <v>62.48</v>
      </c>
      <c r="AF53">
        <f t="shared" si="5"/>
        <v>47.584999999999994</v>
      </c>
      <c r="AG53">
        <v>29.79</v>
      </c>
      <c r="AH53">
        <v>47.58</v>
      </c>
      <c r="AI53">
        <v>-6.43</v>
      </c>
      <c r="AL53">
        <v>50.24</v>
      </c>
      <c r="AM53">
        <v>59.14</v>
      </c>
      <c r="AN53">
        <v>50.94</v>
      </c>
      <c r="AO53">
        <v>38.729999999999997</v>
      </c>
      <c r="AP53">
        <v>44.44</v>
      </c>
      <c r="AQ53">
        <v>52.46</v>
      </c>
      <c r="AR53">
        <v>48.12</v>
      </c>
      <c r="AS53">
        <v>38</v>
      </c>
      <c r="AT53">
        <v>47.74</v>
      </c>
      <c r="AU53">
        <v>49.96</v>
      </c>
      <c r="AV53">
        <v>50.94</v>
      </c>
      <c r="AW53">
        <v>44.55</v>
      </c>
      <c r="AX53">
        <f t="shared" si="6"/>
        <v>47.744999999999997</v>
      </c>
      <c r="AY53">
        <v>6.39</v>
      </c>
      <c r="AZ53">
        <v>47.74</v>
      </c>
      <c r="BA53">
        <v>-4.12</v>
      </c>
    </row>
    <row r="54" spans="1:53" x14ac:dyDescent="0.25">
      <c r="B54">
        <v>76.53</v>
      </c>
      <c r="C54">
        <v>69.489999999999995</v>
      </c>
      <c r="D54">
        <v>70.61</v>
      </c>
      <c r="E54">
        <v>67.959999999999994</v>
      </c>
      <c r="F54">
        <v>68.290000000000006</v>
      </c>
      <c r="G54">
        <v>68.849999999999994</v>
      </c>
      <c r="H54">
        <v>68.569999999999993</v>
      </c>
      <c r="I54">
        <v>49.23</v>
      </c>
      <c r="J54">
        <v>52.11</v>
      </c>
      <c r="K54">
        <v>61.03</v>
      </c>
      <c r="L54">
        <v>70.61</v>
      </c>
      <c r="M54">
        <v>33.61</v>
      </c>
      <c r="N54">
        <f t="shared" si="4"/>
        <v>52.11</v>
      </c>
      <c r="O54">
        <v>37.01</v>
      </c>
      <c r="P54">
        <v>52.11</v>
      </c>
      <c r="Q54">
        <v>4.42</v>
      </c>
      <c r="T54">
        <v>72.790000000000006</v>
      </c>
      <c r="U54">
        <v>74.45</v>
      </c>
      <c r="V54">
        <v>55.55</v>
      </c>
      <c r="W54">
        <v>57.06</v>
      </c>
      <c r="X54">
        <v>69.89</v>
      </c>
      <c r="Y54">
        <v>53.28</v>
      </c>
      <c r="Z54">
        <v>60.47</v>
      </c>
      <c r="AA54">
        <v>48.75</v>
      </c>
      <c r="AB54">
        <v>56.67</v>
      </c>
      <c r="AC54">
        <v>53</v>
      </c>
      <c r="AD54">
        <v>55.55</v>
      </c>
      <c r="AE54">
        <v>57.79</v>
      </c>
      <c r="AF54">
        <f t="shared" si="5"/>
        <v>56.67</v>
      </c>
      <c r="AG54">
        <v>2.2400000000000002</v>
      </c>
      <c r="AH54">
        <v>56.67</v>
      </c>
      <c r="AI54">
        <v>13.15</v>
      </c>
      <c r="AL54">
        <v>68.650000000000006</v>
      </c>
      <c r="AM54">
        <v>66.459999999999994</v>
      </c>
      <c r="AN54">
        <v>41.67</v>
      </c>
      <c r="AO54">
        <v>48.55</v>
      </c>
      <c r="AP54">
        <v>63.16</v>
      </c>
      <c r="AQ54">
        <v>39.340000000000003</v>
      </c>
      <c r="AR54">
        <v>48.48</v>
      </c>
      <c r="AS54">
        <v>42.35</v>
      </c>
      <c r="AT54">
        <v>48.28</v>
      </c>
      <c r="AU54">
        <v>45.69</v>
      </c>
      <c r="AV54">
        <v>41.67</v>
      </c>
      <c r="AW54">
        <v>54.9</v>
      </c>
      <c r="AX54">
        <f t="shared" si="6"/>
        <v>48.284999999999997</v>
      </c>
      <c r="AY54">
        <v>13.22</v>
      </c>
      <c r="AZ54">
        <v>48.28</v>
      </c>
      <c r="BA54">
        <v>-2.71</v>
      </c>
    </row>
    <row r="55" spans="1:53" x14ac:dyDescent="0.25">
      <c r="B55">
        <v>54.62</v>
      </c>
      <c r="C55">
        <v>52.03</v>
      </c>
      <c r="D55">
        <v>43.57</v>
      </c>
      <c r="E55">
        <v>62.41</v>
      </c>
      <c r="F55">
        <v>64.75</v>
      </c>
      <c r="G55">
        <v>50.32</v>
      </c>
      <c r="H55">
        <v>56.63</v>
      </c>
      <c r="I55">
        <v>45.39</v>
      </c>
      <c r="J55">
        <v>48.17</v>
      </c>
      <c r="K55">
        <v>46.81</v>
      </c>
      <c r="L55">
        <v>43.57</v>
      </c>
      <c r="M55">
        <v>52.78</v>
      </c>
      <c r="N55">
        <f t="shared" si="4"/>
        <v>48.174999999999997</v>
      </c>
      <c r="O55">
        <v>9.2100000000000009</v>
      </c>
      <c r="P55">
        <v>48.17</v>
      </c>
      <c r="Q55">
        <v>-4.4000000000000004</v>
      </c>
      <c r="T55">
        <v>57.57</v>
      </c>
      <c r="U55">
        <v>53.2</v>
      </c>
      <c r="V55">
        <v>41.13</v>
      </c>
      <c r="W55">
        <v>56.89</v>
      </c>
      <c r="X55">
        <v>65.52</v>
      </c>
      <c r="Y55">
        <v>48.41</v>
      </c>
      <c r="Z55">
        <v>55.68</v>
      </c>
      <c r="AA55">
        <v>43.4</v>
      </c>
      <c r="AB55">
        <v>53.51</v>
      </c>
      <c r="AC55">
        <v>58.9</v>
      </c>
      <c r="AD55">
        <v>41.13</v>
      </c>
      <c r="AE55">
        <v>65.900000000000006</v>
      </c>
      <c r="AF55">
        <f t="shared" si="5"/>
        <v>53.515000000000001</v>
      </c>
      <c r="AG55">
        <v>24.77</v>
      </c>
      <c r="AH55">
        <v>53.51</v>
      </c>
      <c r="AI55">
        <v>3.11</v>
      </c>
      <c r="AL55">
        <v>55.36</v>
      </c>
      <c r="AM55">
        <v>64.150000000000006</v>
      </c>
      <c r="AN55">
        <v>43.78</v>
      </c>
      <c r="AO55">
        <v>41.01</v>
      </c>
      <c r="AP55">
        <v>48.87</v>
      </c>
      <c r="AQ55">
        <v>41.4</v>
      </c>
      <c r="AR55">
        <v>44.83</v>
      </c>
      <c r="AS55">
        <v>40.57</v>
      </c>
      <c r="AT55">
        <v>51.94</v>
      </c>
      <c r="AU55">
        <v>49.49</v>
      </c>
      <c r="AV55">
        <v>43.78</v>
      </c>
      <c r="AW55">
        <v>60.1</v>
      </c>
      <c r="AX55">
        <f t="shared" si="6"/>
        <v>51.94</v>
      </c>
      <c r="AY55">
        <v>16.32</v>
      </c>
      <c r="AZ55">
        <v>51.94</v>
      </c>
      <c r="BA55">
        <v>2.88</v>
      </c>
    </row>
    <row r="56" spans="1:53" x14ac:dyDescent="0.25">
      <c r="B56">
        <v>55.17</v>
      </c>
      <c r="C56">
        <v>64.260000000000005</v>
      </c>
      <c r="D56">
        <v>45.42</v>
      </c>
      <c r="E56">
        <v>53.87</v>
      </c>
      <c r="F56">
        <v>62.07</v>
      </c>
      <c r="G56">
        <v>59.02</v>
      </c>
      <c r="H56">
        <v>60.5</v>
      </c>
      <c r="I56">
        <v>48.1</v>
      </c>
      <c r="J56">
        <v>51.53</v>
      </c>
      <c r="K56">
        <v>61.08</v>
      </c>
      <c r="L56">
        <v>45.42</v>
      </c>
      <c r="M56">
        <v>57.64</v>
      </c>
      <c r="N56">
        <f t="shared" si="4"/>
        <v>51.53</v>
      </c>
      <c r="O56">
        <v>12.23</v>
      </c>
      <c r="P56">
        <v>51.53</v>
      </c>
      <c r="Q56">
        <v>2.99</v>
      </c>
      <c r="T56">
        <v>46.53</v>
      </c>
      <c r="U56">
        <v>40.94</v>
      </c>
      <c r="V56">
        <v>32.32</v>
      </c>
      <c r="W56">
        <v>59.63</v>
      </c>
      <c r="X56">
        <v>47.19</v>
      </c>
      <c r="Y56">
        <v>34.43</v>
      </c>
      <c r="Z56">
        <v>39.81</v>
      </c>
      <c r="AA56">
        <v>37.880000000000003</v>
      </c>
      <c r="AB56">
        <v>47.6</v>
      </c>
      <c r="AC56">
        <v>48.74</v>
      </c>
      <c r="AD56">
        <v>32.32</v>
      </c>
      <c r="AE56">
        <v>62.88</v>
      </c>
      <c r="AF56">
        <f t="shared" si="5"/>
        <v>47.6</v>
      </c>
      <c r="AG56">
        <v>30.57</v>
      </c>
      <c r="AH56">
        <v>47.6</v>
      </c>
      <c r="AI56">
        <v>-8.48</v>
      </c>
      <c r="AL56">
        <v>52.31</v>
      </c>
      <c r="AM56">
        <v>54.23</v>
      </c>
      <c r="AN56">
        <v>53.68</v>
      </c>
      <c r="AO56">
        <v>54.36</v>
      </c>
      <c r="AP56">
        <v>49.29</v>
      </c>
      <c r="AQ56">
        <v>56.56</v>
      </c>
      <c r="AR56">
        <v>52.67</v>
      </c>
      <c r="AS56">
        <v>43.59</v>
      </c>
      <c r="AT56">
        <v>52.2</v>
      </c>
      <c r="AU56">
        <v>53.17</v>
      </c>
      <c r="AV56">
        <v>53.68</v>
      </c>
      <c r="AW56">
        <v>50.72</v>
      </c>
      <c r="AX56">
        <f t="shared" si="6"/>
        <v>52.2</v>
      </c>
      <c r="AY56">
        <v>2.97</v>
      </c>
      <c r="AZ56">
        <v>52.2</v>
      </c>
      <c r="BA56">
        <v>4.53</v>
      </c>
    </row>
    <row r="57" spans="1:53" x14ac:dyDescent="0.25">
      <c r="B57">
        <v>47.71</v>
      </c>
      <c r="C57">
        <v>70.88</v>
      </c>
      <c r="D57">
        <v>41.4</v>
      </c>
      <c r="E57">
        <v>38.31</v>
      </c>
      <c r="F57">
        <v>58.06</v>
      </c>
      <c r="G57">
        <v>49.8</v>
      </c>
      <c r="H57">
        <v>53.62</v>
      </c>
      <c r="I57">
        <v>44.55</v>
      </c>
      <c r="J57">
        <v>49.7</v>
      </c>
      <c r="K57">
        <v>46.4</v>
      </c>
      <c r="L57">
        <v>41.4</v>
      </c>
      <c r="M57">
        <v>58.01</v>
      </c>
      <c r="N57">
        <f t="shared" si="4"/>
        <v>49.704999999999998</v>
      </c>
      <c r="O57">
        <v>16.61</v>
      </c>
      <c r="P57">
        <v>49.7</v>
      </c>
      <c r="Q57">
        <v>-0.79</v>
      </c>
      <c r="T57">
        <v>50.11</v>
      </c>
      <c r="U57">
        <v>60</v>
      </c>
      <c r="V57">
        <v>41.37</v>
      </c>
      <c r="W57">
        <v>36.090000000000003</v>
      </c>
      <c r="X57">
        <v>53.85</v>
      </c>
      <c r="Y57">
        <v>44.27</v>
      </c>
      <c r="Z57">
        <v>48.59</v>
      </c>
      <c r="AA57">
        <v>42.54</v>
      </c>
      <c r="AB57">
        <v>51.64</v>
      </c>
      <c r="AC57">
        <v>51.43</v>
      </c>
      <c r="AD57">
        <v>41.37</v>
      </c>
      <c r="AE57">
        <v>61.92</v>
      </c>
      <c r="AF57">
        <f t="shared" si="5"/>
        <v>51.644999999999996</v>
      </c>
      <c r="AG57">
        <v>20.55</v>
      </c>
      <c r="AH57">
        <v>51.64</v>
      </c>
      <c r="AI57">
        <v>3.57</v>
      </c>
      <c r="AL57">
        <v>51.87</v>
      </c>
      <c r="AM57">
        <v>55.48</v>
      </c>
      <c r="AN57">
        <v>55.84</v>
      </c>
      <c r="AO57">
        <v>42.27</v>
      </c>
      <c r="AP57">
        <v>46.32</v>
      </c>
      <c r="AQ57">
        <v>52.17</v>
      </c>
      <c r="AR57">
        <v>49.07</v>
      </c>
      <c r="AS57">
        <v>39.26</v>
      </c>
      <c r="AT57">
        <v>50.04</v>
      </c>
      <c r="AU57">
        <v>50.44</v>
      </c>
      <c r="AV57">
        <v>55.84</v>
      </c>
      <c r="AW57">
        <v>44.24</v>
      </c>
      <c r="AX57">
        <f t="shared" si="6"/>
        <v>50.040000000000006</v>
      </c>
      <c r="AY57">
        <v>11.6</v>
      </c>
      <c r="AZ57">
        <v>50.04</v>
      </c>
      <c r="BA57">
        <v>1.06</v>
      </c>
    </row>
    <row r="58" spans="1:53" x14ac:dyDescent="0.25">
      <c r="B58" s="2">
        <f>AVERAGE(B48:B57)</f>
        <v>62.564</v>
      </c>
      <c r="C58" s="2">
        <f t="shared" ref="C58:BA58" si="12">AVERAGE(C48:C57)</f>
        <v>67.177999999999997</v>
      </c>
      <c r="D58" s="2">
        <f t="shared" si="12"/>
        <v>53.125999999999998</v>
      </c>
      <c r="E58" s="2">
        <f t="shared" si="12"/>
        <v>55.326000000000001</v>
      </c>
      <c r="F58" s="2">
        <f t="shared" si="12"/>
        <v>64.585000000000008</v>
      </c>
      <c r="G58" s="2">
        <f t="shared" si="12"/>
        <v>57.326000000000001</v>
      </c>
      <c r="H58" s="2">
        <f t="shared" si="12"/>
        <v>60.540999999999997</v>
      </c>
      <c r="I58" s="2">
        <f t="shared" si="12"/>
        <v>46.766000000000005</v>
      </c>
      <c r="J58" s="2">
        <f t="shared" si="12"/>
        <v>50.194000000000003</v>
      </c>
      <c r="K58" s="2">
        <f t="shared" si="12"/>
        <v>53.629999999999995</v>
      </c>
      <c r="L58" s="2">
        <f t="shared" si="12"/>
        <v>53.125999999999998</v>
      </c>
      <c r="M58" s="2">
        <f t="shared" si="12"/>
        <v>47.262999999999998</v>
      </c>
      <c r="N58" s="2">
        <f t="shared" si="12"/>
        <v>50.194499999999998</v>
      </c>
      <c r="O58" s="2">
        <f t="shared" si="12"/>
        <v>22.041000000000004</v>
      </c>
      <c r="P58" s="2">
        <f t="shared" si="12"/>
        <v>50.194000000000003</v>
      </c>
      <c r="Q58" s="2">
        <f t="shared" si="12"/>
        <v>0.94699999999999984</v>
      </c>
      <c r="R58" s="2"/>
      <c r="S58" s="2"/>
      <c r="T58" s="2">
        <f t="shared" si="12"/>
        <v>59.954999999999998</v>
      </c>
      <c r="U58" s="2">
        <f t="shared" si="12"/>
        <v>65.147000000000006</v>
      </c>
      <c r="V58" s="2">
        <f t="shared" si="12"/>
        <v>44.816000000000003</v>
      </c>
      <c r="W58" s="2">
        <f t="shared" si="12"/>
        <v>50.693000000000005</v>
      </c>
      <c r="X58" s="2">
        <f t="shared" si="12"/>
        <v>62.027000000000008</v>
      </c>
      <c r="Y58" s="2">
        <f t="shared" si="12"/>
        <v>46.071999999999996</v>
      </c>
      <c r="Z58" s="2">
        <f t="shared" si="12"/>
        <v>52.844000000000008</v>
      </c>
      <c r="AA58" s="2">
        <f t="shared" si="12"/>
        <v>43.204999999999998</v>
      </c>
      <c r="AB58" s="2">
        <f t="shared" si="12"/>
        <v>52.548999999999999</v>
      </c>
      <c r="AC58" s="2">
        <f t="shared" si="12"/>
        <v>52.547000000000004</v>
      </c>
      <c r="AD58" s="2">
        <f t="shared" si="12"/>
        <v>44.816000000000003</v>
      </c>
      <c r="AE58" s="2">
        <f t="shared" si="12"/>
        <v>60.286000000000001</v>
      </c>
      <c r="AF58" s="2">
        <f t="shared" si="12"/>
        <v>52.551000000000002</v>
      </c>
      <c r="AG58" s="2">
        <f t="shared" si="12"/>
        <v>15.978</v>
      </c>
      <c r="AH58" s="2">
        <f t="shared" si="12"/>
        <v>52.548999999999999</v>
      </c>
      <c r="AI58" s="2">
        <f t="shared" si="12"/>
        <v>4.3100000000000005</v>
      </c>
      <c r="AJ58" s="2"/>
      <c r="AK58" s="2"/>
      <c r="AL58" s="2">
        <f t="shared" si="12"/>
        <v>59.858000000000004</v>
      </c>
      <c r="AM58" s="2">
        <f t="shared" si="12"/>
        <v>61.600999999999999</v>
      </c>
      <c r="AN58" s="2">
        <f t="shared" si="12"/>
        <v>49.217999999999996</v>
      </c>
      <c r="AO58" s="2">
        <f t="shared" si="12"/>
        <v>49.048999999999999</v>
      </c>
      <c r="AP58" s="2">
        <f t="shared" si="12"/>
        <v>54.969000000000008</v>
      </c>
      <c r="AQ58" s="2">
        <f t="shared" si="12"/>
        <v>47.553999999999995</v>
      </c>
      <c r="AR58" s="2">
        <f t="shared" si="12"/>
        <v>50.397000000000006</v>
      </c>
      <c r="AS58" s="2">
        <f t="shared" si="12"/>
        <v>42.185000000000002</v>
      </c>
      <c r="AT58" s="2">
        <f t="shared" si="12"/>
        <v>50.631</v>
      </c>
      <c r="AU58" s="2">
        <f t="shared" si="12"/>
        <v>50.192999999999998</v>
      </c>
      <c r="AV58" s="2">
        <f t="shared" si="12"/>
        <v>49.217999999999996</v>
      </c>
      <c r="AW58" s="2">
        <f t="shared" si="12"/>
        <v>52.047000000000004</v>
      </c>
      <c r="AX58" s="2">
        <f t="shared" si="12"/>
        <v>50.6325</v>
      </c>
      <c r="AY58" s="2">
        <f t="shared" si="12"/>
        <v>7.3140000000000001</v>
      </c>
      <c r="AZ58" s="2">
        <f t="shared" si="12"/>
        <v>50.631</v>
      </c>
      <c r="BA58" s="2">
        <f t="shared" si="12"/>
        <v>0.90700000000000003</v>
      </c>
    </row>
    <row r="61" spans="1:53" x14ac:dyDescent="0.25">
      <c r="A61" s="1" t="s">
        <v>18</v>
      </c>
      <c r="B61">
        <v>77.61</v>
      </c>
      <c r="C61">
        <v>69.2</v>
      </c>
      <c r="D61">
        <v>52.23</v>
      </c>
      <c r="E61">
        <v>52.79</v>
      </c>
      <c r="F61">
        <v>73.03</v>
      </c>
      <c r="G61">
        <v>53.28</v>
      </c>
      <c r="H61">
        <v>61.61</v>
      </c>
      <c r="I61">
        <v>42.9</v>
      </c>
      <c r="J61">
        <v>51.84</v>
      </c>
      <c r="K61">
        <v>59.19</v>
      </c>
      <c r="L61">
        <v>52.23</v>
      </c>
      <c r="M61">
        <v>51.44</v>
      </c>
      <c r="N61">
        <f t="shared" si="4"/>
        <v>51.834999999999994</v>
      </c>
      <c r="O61">
        <v>0.8</v>
      </c>
      <c r="P61">
        <v>51.84</v>
      </c>
      <c r="Q61">
        <v>1.89</v>
      </c>
      <c r="S61" s="1" t="s">
        <v>18</v>
      </c>
      <c r="T61">
        <v>73.23</v>
      </c>
      <c r="U61">
        <v>72.099999999999994</v>
      </c>
      <c r="V61">
        <v>51.28</v>
      </c>
      <c r="W61">
        <v>55.87</v>
      </c>
      <c r="X61">
        <v>68.180000000000007</v>
      </c>
      <c r="Y61">
        <v>49.18</v>
      </c>
      <c r="Z61">
        <v>57.14</v>
      </c>
      <c r="AA61">
        <v>47.77</v>
      </c>
      <c r="AB61">
        <v>55.07</v>
      </c>
      <c r="AC61">
        <v>55.17</v>
      </c>
      <c r="AD61">
        <v>51.28</v>
      </c>
      <c r="AE61">
        <v>58.86</v>
      </c>
      <c r="AF61">
        <f t="shared" si="5"/>
        <v>55.07</v>
      </c>
      <c r="AG61">
        <v>7.58</v>
      </c>
      <c r="AH61">
        <v>55.07</v>
      </c>
      <c r="AI61">
        <v>8.9</v>
      </c>
      <c r="AK61" s="1" t="s">
        <v>18</v>
      </c>
      <c r="AL61">
        <v>71.56</v>
      </c>
      <c r="AM61">
        <v>56.83</v>
      </c>
      <c r="AN61">
        <v>8.4700000000000006</v>
      </c>
      <c r="AO61">
        <v>14.28</v>
      </c>
      <c r="AP61">
        <v>60</v>
      </c>
      <c r="AQ61">
        <v>7.38</v>
      </c>
      <c r="AR61">
        <v>13.14</v>
      </c>
      <c r="AS61">
        <v>29.48</v>
      </c>
      <c r="AT61">
        <v>48.66</v>
      </c>
      <c r="AU61">
        <v>52.19</v>
      </c>
      <c r="AV61">
        <v>8.4700000000000006</v>
      </c>
      <c r="AW61">
        <v>88.85</v>
      </c>
      <c r="AX61">
        <f t="shared" si="6"/>
        <v>48.66</v>
      </c>
      <c r="AY61">
        <v>80.38</v>
      </c>
      <c r="AZ61">
        <v>48.66</v>
      </c>
      <c r="BA61">
        <v>-5.56</v>
      </c>
    </row>
    <row r="62" spans="1:53" x14ac:dyDescent="0.25">
      <c r="B62">
        <v>71.290000000000006</v>
      </c>
      <c r="C62">
        <v>74.94</v>
      </c>
      <c r="D62">
        <v>54.68</v>
      </c>
      <c r="E62">
        <v>59.87</v>
      </c>
      <c r="F62">
        <v>74.16</v>
      </c>
      <c r="G62">
        <v>54.1</v>
      </c>
      <c r="H62">
        <v>62.56</v>
      </c>
      <c r="I62">
        <v>52.71</v>
      </c>
      <c r="J62">
        <v>58.87</v>
      </c>
      <c r="K62">
        <v>58.5</v>
      </c>
      <c r="L62">
        <v>54.68</v>
      </c>
      <c r="M62">
        <v>63.05</v>
      </c>
      <c r="N62">
        <f t="shared" si="4"/>
        <v>58.864999999999995</v>
      </c>
      <c r="O62">
        <v>8.3699999999999992</v>
      </c>
      <c r="P62">
        <v>58.87</v>
      </c>
      <c r="Q62">
        <v>16.329999999999998</v>
      </c>
      <c r="T62">
        <v>71.61</v>
      </c>
      <c r="U62">
        <v>71.010000000000005</v>
      </c>
      <c r="V62">
        <v>52.67</v>
      </c>
      <c r="W62">
        <v>56.46</v>
      </c>
      <c r="X62">
        <v>68.599999999999994</v>
      </c>
      <c r="Y62">
        <v>48.36</v>
      </c>
      <c r="Z62">
        <v>56.73</v>
      </c>
      <c r="AA62">
        <v>48.29</v>
      </c>
      <c r="AB62">
        <v>54.5</v>
      </c>
      <c r="AC62">
        <v>52.99</v>
      </c>
      <c r="AD62">
        <v>52.67</v>
      </c>
      <c r="AE62">
        <v>56.33</v>
      </c>
      <c r="AF62">
        <f t="shared" si="5"/>
        <v>54.5</v>
      </c>
      <c r="AG62">
        <v>3.66</v>
      </c>
      <c r="AH62">
        <v>54.5</v>
      </c>
      <c r="AI62">
        <v>9.17</v>
      </c>
      <c r="AL62">
        <v>74.400000000000006</v>
      </c>
      <c r="AM62">
        <v>71.260000000000005</v>
      </c>
      <c r="AN62">
        <v>32.11</v>
      </c>
      <c r="AO62">
        <v>43.15</v>
      </c>
      <c r="AP62">
        <v>70.91</v>
      </c>
      <c r="AQ62">
        <v>31.97</v>
      </c>
      <c r="AR62">
        <v>44.07</v>
      </c>
      <c r="AS62">
        <v>43.21</v>
      </c>
      <c r="AT62">
        <v>52</v>
      </c>
      <c r="AU62">
        <v>51.65</v>
      </c>
      <c r="AV62">
        <v>32.11</v>
      </c>
      <c r="AW62">
        <v>71.89</v>
      </c>
      <c r="AX62">
        <f t="shared" si="6"/>
        <v>52</v>
      </c>
      <c r="AY62">
        <v>39.79</v>
      </c>
      <c r="AZ62">
        <v>52</v>
      </c>
      <c r="BA62">
        <v>4.3</v>
      </c>
    </row>
    <row r="63" spans="1:53" x14ac:dyDescent="0.25">
      <c r="B63">
        <v>63.68</v>
      </c>
      <c r="C63">
        <v>56.24</v>
      </c>
      <c r="D63">
        <v>61.42</v>
      </c>
      <c r="E63">
        <v>48.35</v>
      </c>
      <c r="F63">
        <v>54.07</v>
      </c>
      <c r="G63">
        <v>59.24</v>
      </c>
      <c r="H63">
        <v>56.53</v>
      </c>
      <c r="I63">
        <v>40.729999999999997</v>
      </c>
      <c r="J63">
        <v>52.78</v>
      </c>
      <c r="K63">
        <v>57.54</v>
      </c>
      <c r="L63">
        <v>61.42</v>
      </c>
      <c r="M63">
        <v>44.14</v>
      </c>
      <c r="N63">
        <f t="shared" si="4"/>
        <v>52.78</v>
      </c>
      <c r="O63">
        <v>17.28</v>
      </c>
      <c r="P63">
        <v>52.78</v>
      </c>
      <c r="Q63">
        <v>5.31</v>
      </c>
      <c r="T63">
        <v>59.3</v>
      </c>
      <c r="U63">
        <v>62.79</v>
      </c>
      <c r="V63">
        <v>67.709999999999994</v>
      </c>
      <c r="W63">
        <v>54.84</v>
      </c>
      <c r="X63">
        <v>52.72</v>
      </c>
      <c r="Y63">
        <v>61.78</v>
      </c>
      <c r="Z63">
        <v>56.89</v>
      </c>
      <c r="AA63">
        <v>42.15</v>
      </c>
      <c r="AB63">
        <v>55.66</v>
      </c>
      <c r="AC63">
        <v>55.7</v>
      </c>
      <c r="AD63">
        <v>67.709999999999994</v>
      </c>
      <c r="AE63">
        <v>43.61</v>
      </c>
      <c r="AF63">
        <f t="shared" si="5"/>
        <v>55.66</v>
      </c>
      <c r="AG63">
        <v>24.09</v>
      </c>
      <c r="AH63">
        <v>55.66</v>
      </c>
      <c r="AI63">
        <v>10.59</v>
      </c>
      <c r="AL63">
        <v>53.43</v>
      </c>
      <c r="AM63">
        <v>64.16</v>
      </c>
      <c r="AN63">
        <v>35.380000000000003</v>
      </c>
      <c r="AO63">
        <v>53.41</v>
      </c>
      <c r="AP63">
        <v>62.63</v>
      </c>
      <c r="AQ63">
        <v>39.49</v>
      </c>
      <c r="AR63">
        <v>48.44</v>
      </c>
      <c r="AS63">
        <v>41.2</v>
      </c>
      <c r="AT63">
        <v>52.68</v>
      </c>
      <c r="AU63">
        <v>49.65</v>
      </c>
      <c r="AV63">
        <v>35.380000000000003</v>
      </c>
      <c r="AW63">
        <v>69.97</v>
      </c>
      <c r="AX63">
        <f t="shared" si="6"/>
        <v>52.674999999999997</v>
      </c>
      <c r="AY63">
        <v>34.590000000000003</v>
      </c>
      <c r="AZ63">
        <v>52.68</v>
      </c>
      <c r="BA63">
        <v>1.72</v>
      </c>
    </row>
    <row r="64" spans="1:53" x14ac:dyDescent="0.25">
      <c r="B64">
        <v>76.27</v>
      </c>
      <c r="C64">
        <v>72.849999999999994</v>
      </c>
      <c r="D64">
        <v>71.540000000000006</v>
      </c>
      <c r="E64">
        <v>68.55</v>
      </c>
      <c r="F64">
        <v>70.73</v>
      </c>
      <c r="G64">
        <v>71.31</v>
      </c>
      <c r="H64">
        <v>71.02</v>
      </c>
      <c r="I64">
        <v>50.51</v>
      </c>
      <c r="J64">
        <v>56.31</v>
      </c>
      <c r="K64">
        <v>59.25</v>
      </c>
      <c r="L64">
        <v>71.540000000000006</v>
      </c>
      <c r="M64">
        <v>41.08</v>
      </c>
      <c r="N64">
        <f t="shared" si="4"/>
        <v>56.31</v>
      </c>
      <c r="O64">
        <v>30.46</v>
      </c>
      <c r="P64">
        <v>56.31</v>
      </c>
      <c r="Q64">
        <v>11.53</v>
      </c>
      <c r="T64">
        <v>72.400000000000006</v>
      </c>
      <c r="U64">
        <v>71.36</v>
      </c>
      <c r="V64">
        <v>62.13</v>
      </c>
      <c r="W64">
        <v>62.42</v>
      </c>
      <c r="X64">
        <v>67.62</v>
      </c>
      <c r="Y64">
        <v>58.2</v>
      </c>
      <c r="Z64">
        <v>62.56</v>
      </c>
      <c r="AA64">
        <v>49.31</v>
      </c>
      <c r="AB64">
        <v>55.59</v>
      </c>
      <c r="AC64">
        <v>54.7</v>
      </c>
      <c r="AD64">
        <v>62.13</v>
      </c>
      <c r="AE64">
        <v>49.05</v>
      </c>
      <c r="AF64">
        <f t="shared" si="5"/>
        <v>55.59</v>
      </c>
      <c r="AG64">
        <v>13.08</v>
      </c>
      <c r="AH64">
        <v>55.59</v>
      </c>
      <c r="AI64">
        <v>10.8</v>
      </c>
      <c r="AL64">
        <v>76.39</v>
      </c>
      <c r="AM64">
        <v>76.819999999999993</v>
      </c>
      <c r="AN64">
        <v>37.200000000000003</v>
      </c>
      <c r="AO64">
        <v>48.27</v>
      </c>
      <c r="AP64">
        <v>75.86</v>
      </c>
      <c r="AQ64">
        <v>36.07</v>
      </c>
      <c r="AR64">
        <v>48.89</v>
      </c>
      <c r="AS64">
        <v>47.85</v>
      </c>
      <c r="AT64">
        <v>58.21</v>
      </c>
      <c r="AU64">
        <v>57.87</v>
      </c>
      <c r="AV64">
        <v>37.200000000000003</v>
      </c>
      <c r="AW64">
        <v>79.22</v>
      </c>
      <c r="AX64">
        <f t="shared" si="6"/>
        <v>58.21</v>
      </c>
      <c r="AY64">
        <v>42.02</v>
      </c>
      <c r="AZ64">
        <v>58.21</v>
      </c>
      <c r="BA64">
        <v>14.97</v>
      </c>
    </row>
    <row r="65" spans="1:70" x14ac:dyDescent="0.25">
      <c r="B65">
        <v>57.02</v>
      </c>
      <c r="C65">
        <v>49.55</v>
      </c>
      <c r="D65">
        <v>69.930000000000007</v>
      </c>
      <c r="E65">
        <v>69.41</v>
      </c>
      <c r="F65">
        <v>55.26</v>
      </c>
      <c r="G65">
        <v>66.88</v>
      </c>
      <c r="H65">
        <v>60.52</v>
      </c>
      <c r="I65">
        <v>40.17</v>
      </c>
      <c r="J65">
        <v>52.22</v>
      </c>
      <c r="K65">
        <v>49.64</v>
      </c>
      <c r="L65">
        <v>69.930000000000007</v>
      </c>
      <c r="M65">
        <v>34.51</v>
      </c>
      <c r="N65">
        <f t="shared" si="4"/>
        <v>52.22</v>
      </c>
      <c r="O65">
        <v>35.42</v>
      </c>
      <c r="P65">
        <v>52.22</v>
      </c>
      <c r="Q65">
        <v>4.74</v>
      </c>
      <c r="T65">
        <v>63.68</v>
      </c>
      <c r="U65">
        <v>55.03</v>
      </c>
      <c r="V65">
        <v>61.99</v>
      </c>
      <c r="W65">
        <v>47.49</v>
      </c>
      <c r="X65">
        <v>49.43</v>
      </c>
      <c r="Y65">
        <v>55.41</v>
      </c>
      <c r="Z65">
        <v>52.25</v>
      </c>
      <c r="AA65">
        <v>36.44</v>
      </c>
      <c r="AB65">
        <v>48.18</v>
      </c>
      <c r="AC65">
        <v>55.77</v>
      </c>
      <c r="AD65">
        <v>61.99</v>
      </c>
      <c r="AE65">
        <v>34.369999999999997</v>
      </c>
      <c r="AF65">
        <f t="shared" si="5"/>
        <v>48.18</v>
      </c>
      <c r="AG65">
        <v>27.62</v>
      </c>
      <c r="AH65">
        <v>48.18</v>
      </c>
      <c r="AI65">
        <v>-1.77</v>
      </c>
      <c r="AL65">
        <v>58.6</v>
      </c>
      <c r="AM65">
        <v>64.41</v>
      </c>
      <c r="AN65">
        <v>36.1</v>
      </c>
      <c r="AO65">
        <v>36.25</v>
      </c>
      <c r="AP65">
        <v>60.42</v>
      </c>
      <c r="AQ65">
        <v>36.94</v>
      </c>
      <c r="AR65">
        <v>45.85</v>
      </c>
      <c r="AS65">
        <v>40.46</v>
      </c>
      <c r="AT65">
        <v>52.29</v>
      </c>
      <c r="AU65">
        <v>55.17</v>
      </c>
      <c r="AV65">
        <v>36.1</v>
      </c>
      <c r="AW65">
        <v>68.47</v>
      </c>
      <c r="AX65">
        <f t="shared" si="6"/>
        <v>52.284999999999997</v>
      </c>
      <c r="AY65">
        <v>32.369999999999997</v>
      </c>
      <c r="AZ65">
        <v>52.29</v>
      </c>
      <c r="BA65">
        <v>3.49</v>
      </c>
    </row>
    <row r="66" spans="1:70" x14ac:dyDescent="0.25">
      <c r="B66">
        <v>47.9</v>
      </c>
      <c r="C66">
        <v>51.47</v>
      </c>
      <c r="D66">
        <v>64.55</v>
      </c>
      <c r="E66">
        <v>44.42</v>
      </c>
      <c r="F66">
        <v>44.85</v>
      </c>
      <c r="G66">
        <v>60.66</v>
      </c>
      <c r="H66">
        <v>51.57</v>
      </c>
      <c r="I66">
        <v>38.97</v>
      </c>
      <c r="J66">
        <v>50.67</v>
      </c>
      <c r="K66">
        <v>49.38</v>
      </c>
      <c r="L66">
        <v>64.55</v>
      </c>
      <c r="M66">
        <v>36.799999999999997</v>
      </c>
      <c r="N66">
        <f t="shared" si="4"/>
        <v>50.674999999999997</v>
      </c>
      <c r="O66">
        <v>27.75</v>
      </c>
      <c r="P66">
        <v>50.67</v>
      </c>
      <c r="Q66">
        <v>1.41</v>
      </c>
      <c r="T66">
        <v>55.54</v>
      </c>
      <c r="U66">
        <v>62.48</v>
      </c>
      <c r="V66">
        <v>46.45</v>
      </c>
      <c r="W66">
        <v>34.81</v>
      </c>
      <c r="X66">
        <v>45.13</v>
      </c>
      <c r="Y66">
        <v>41.8</v>
      </c>
      <c r="Z66">
        <v>43.4</v>
      </c>
      <c r="AA66">
        <v>39.65</v>
      </c>
      <c r="AB66">
        <v>51.67</v>
      </c>
      <c r="AC66">
        <v>57.51</v>
      </c>
      <c r="AD66">
        <v>46.45</v>
      </c>
      <c r="AE66">
        <v>56.88</v>
      </c>
      <c r="AF66">
        <f t="shared" si="5"/>
        <v>51.665000000000006</v>
      </c>
      <c r="AG66">
        <v>10.43</v>
      </c>
      <c r="AH66">
        <v>51.67</v>
      </c>
      <c r="AI66">
        <v>4.7</v>
      </c>
      <c r="AL66">
        <v>52.6</v>
      </c>
      <c r="AM66">
        <v>76.97</v>
      </c>
      <c r="AN66">
        <v>44.07</v>
      </c>
      <c r="AO66">
        <v>40.69</v>
      </c>
      <c r="AP66">
        <v>63.89</v>
      </c>
      <c r="AQ66">
        <v>56.56</v>
      </c>
      <c r="AR66">
        <v>60</v>
      </c>
      <c r="AS66">
        <v>46.75</v>
      </c>
      <c r="AT66">
        <v>54.14</v>
      </c>
      <c r="AU66">
        <v>55.44</v>
      </c>
      <c r="AV66">
        <v>44.07</v>
      </c>
      <c r="AW66">
        <v>64.2</v>
      </c>
      <c r="AX66">
        <f t="shared" si="6"/>
        <v>54.135000000000005</v>
      </c>
      <c r="AY66">
        <v>20.14</v>
      </c>
      <c r="AZ66">
        <v>54.14</v>
      </c>
      <c r="BA66">
        <v>7.54</v>
      </c>
    </row>
    <row r="67" spans="1:70" x14ac:dyDescent="0.25">
      <c r="B67">
        <v>75.36</v>
      </c>
      <c r="C67">
        <v>69.17</v>
      </c>
      <c r="D67">
        <v>67.41</v>
      </c>
      <c r="E67">
        <v>66.349999999999994</v>
      </c>
      <c r="F67">
        <v>68.64</v>
      </c>
      <c r="G67">
        <v>66.39</v>
      </c>
      <c r="H67">
        <v>67.5</v>
      </c>
      <c r="I67">
        <v>48.96</v>
      </c>
      <c r="J67">
        <v>51.52</v>
      </c>
      <c r="K67">
        <v>59.94</v>
      </c>
      <c r="L67">
        <v>67.41</v>
      </c>
      <c r="M67">
        <v>35.630000000000003</v>
      </c>
      <c r="N67">
        <f t="shared" si="4"/>
        <v>51.519999999999996</v>
      </c>
      <c r="O67">
        <v>31.78</v>
      </c>
      <c r="P67">
        <v>51.52</v>
      </c>
      <c r="Q67">
        <v>3.05</v>
      </c>
      <c r="T67">
        <v>74.349999999999994</v>
      </c>
      <c r="U67">
        <v>70.28</v>
      </c>
      <c r="V67">
        <v>60.2</v>
      </c>
      <c r="W67">
        <v>60.84</v>
      </c>
      <c r="X67">
        <v>66.349999999999994</v>
      </c>
      <c r="Y67">
        <v>56.56</v>
      </c>
      <c r="Z67">
        <v>61.06</v>
      </c>
      <c r="AA67">
        <v>47.09</v>
      </c>
      <c r="AB67">
        <v>52.78</v>
      </c>
      <c r="AC67">
        <v>57.97</v>
      </c>
      <c r="AD67">
        <v>60.2</v>
      </c>
      <c r="AE67">
        <v>45.36</v>
      </c>
      <c r="AF67">
        <f t="shared" si="5"/>
        <v>52.78</v>
      </c>
      <c r="AG67">
        <v>14.84</v>
      </c>
      <c r="AH67">
        <v>52.78</v>
      </c>
      <c r="AI67">
        <v>5.78</v>
      </c>
      <c r="AL67">
        <v>74.38</v>
      </c>
      <c r="AM67">
        <v>78.489999999999995</v>
      </c>
      <c r="AN67">
        <v>29.7</v>
      </c>
      <c r="AO67">
        <v>41.19</v>
      </c>
      <c r="AP67">
        <v>75.56</v>
      </c>
      <c r="AQ67">
        <v>27.87</v>
      </c>
      <c r="AR67">
        <v>40.72</v>
      </c>
      <c r="AS67">
        <v>44.16</v>
      </c>
      <c r="AT67">
        <v>56.75</v>
      </c>
      <c r="AU67">
        <v>55.11</v>
      </c>
      <c r="AV67">
        <v>29.7</v>
      </c>
      <c r="AW67">
        <v>83.8</v>
      </c>
      <c r="AX67">
        <f t="shared" si="6"/>
        <v>56.75</v>
      </c>
      <c r="AY67">
        <v>54.1</v>
      </c>
      <c r="AZ67">
        <v>56.75</v>
      </c>
      <c r="BA67">
        <v>13.91</v>
      </c>
    </row>
    <row r="68" spans="1:70" x14ac:dyDescent="0.25">
      <c r="B68">
        <v>59.73</v>
      </c>
      <c r="C68">
        <v>58.68</v>
      </c>
      <c r="D68">
        <v>69.78</v>
      </c>
      <c r="E68">
        <v>55.1</v>
      </c>
      <c r="F68">
        <v>53.68</v>
      </c>
      <c r="G68">
        <v>64.97</v>
      </c>
      <c r="H68">
        <v>58.79</v>
      </c>
      <c r="I68">
        <v>41.1</v>
      </c>
      <c r="J68">
        <v>50.84</v>
      </c>
      <c r="K68">
        <v>54.32</v>
      </c>
      <c r="L68">
        <v>69.78</v>
      </c>
      <c r="M68">
        <v>31.9</v>
      </c>
      <c r="N68">
        <f t="shared" si="4"/>
        <v>50.84</v>
      </c>
      <c r="O68">
        <v>37.880000000000003</v>
      </c>
      <c r="P68">
        <v>50.84</v>
      </c>
      <c r="Q68">
        <v>4.01</v>
      </c>
      <c r="T68">
        <v>61.85</v>
      </c>
      <c r="U68">
        <v>63.68</v>
      </c>
      <c r="V68">
        <v>67.53</v>
      </c>
      <c r="W68">
        <v>54.02</v>
      </c>
      <c r="X68">
        <v>52.43</v>
      </c>
      <c r="Y68">
        <v>61.78</v>
      </c>
      <c r="Z68">
        <v>56.73</v>
      </c>
      <c r="AA68">
        <v>40.4</v>
      </c>
      <c r="AB68">
        <v>51.48</v>
      </c>
      <c r="AC68">
        <v>55.56</v>
      </c>
      <c r="AD68">
        <v>67.53</v>
      </c>
      <c r="AE68">
        <v>35.42</v>
      </c>
      <c r="AF68">
        <f t="shared" si="5"/>
        <v>51.475000000000001</v>
      </c>
      <c r="AG68">
        <v>32.1</v>
      </c>
      <c r="AH68">
        <v>51.48</v>
      </c>
      <c r="AI68">
        <v>4.93</v>
      </c>
      <c r="AL68">
        <v>56.48</v>
      </c>
      <c r="AM68">
        <v>63.86</v>
      </c>
      <c r="AN68">
        <v>31.16</v>
      </c>
      <c r="AO68">
        <v>49.56</v>
      </c>
      <c r="AP68">
        <v>61.18</v>
      </c>
      <c r="AQ68">
        <v>33.119999999999997</v>
      </c>
      <c r="AR68">
        <v>42.98</v>
      </c>
      <c r="AS68">
        <v>40.520000000000003</v>
      </c>
      <c r="AT68">
        <v>51.77</v>
      </c>
      <c r="AU68">
        <v>48.27</v>
      </c>
      <c r="AV68">
        <v>31.16</v>
      </c>
      <c r="AW68">
        <v>72.38</v>
      </c>
      <c r="AX68">
        <f t="shared" si="6"/>
        <v>51.769999999999996</v>
      </c>
      <c r="AY68">
        <v>41.21</v>
      </c>
      <c r="AZ68">
        <v>51.77</v>
      </c>
      <c r="BA68">
        <v>2.57</v>
      </c>
    </row>
    <row r="69" spans="1:70" x14ac:dyDescent="0.25">
      <c r="B69">
        <v>47.53</v>
      </c>
      <c r="C69">
        <v>58.63</v>
      </c>
      <c r="D69">
        <v>61.67</v>
      </c>
      <c r="E69">
        <v>42.53</v>
      </c>
      <c r="F69">
        <v>44.3</v>
      </c>
      <c r="G69">
        <v>57.38</v>
      </c>
      <c r="H69">
        <v>50</v>
      </c>
      <c r="I69">
        <v>38.770000000000003</v>
      </c>
      <c r="J69">
        <v>51.27</v>
      </c>
      <c r="K69">
        <v>46.72</v>
      </c>
      <c r="L69">
        <v>61.67</v>
      </c>
      <c r="M69">
        <v>40.869999999999997</v>
      </c>
      <c r="N69">
        <f t="shared" si="4"/>
        <v>51.269999999999996</v>
      </c>
      <c r="O69">
        <v>20.81</v>
      </c>
      <c r="P69">
        <v>51.27</v>
      </c>
      <c r="Q69">
        <v>4.38</v>
      </c>
      <c r="T69">
        <v>52.92</v>
      </c>
      <c r="U69">
        <v>66.150000000000006</v>
      </c>
      <c r="V69">
        <v>46.73</v>
      </c>
      <c r="W69">
        <v>34.04</v>
      </c>
      <c r="X69">
        <v>43.59</v>
      </c>
      <c r="Y69">
        <v>41.8</v>
      </c>
      <c r="Z69">
        <v>42.68</v>
      </c>
      <c r="AA69">
        <v>37.15</v>
      </c>
      <c r="AB69">
        <v>50.11</v>
      </c>
      <c r="AC69">
        <v>54.74</v>
      </c>
      <c r="AD69">
        <v>46.73</v>
      </c>
      <c r="AE69">
        <v>53.48</v>
      </c>
      <c r="AF69">
        <f t="shared" si="5"/>
        <v>50.104999999999997</v>
      </c>
      <c r="AG69">
        <v>6.75</v>
      </c>
      <c r="AH69">
        <v>50.11</v>
      </c>
      <c r="AI69">
        <v>2.29</v>
      </c>
      <c r="AL69">
        <v>57.63</v>
      </c>
      <c r="AM69">
        <v>67.650000000000006</v>
      </c>
      <c r="AN69">
        <v>42.54</v>
      </c>
      <c r="AO69">
        <v>50.83</v>
      </c>
      <c r="AP69">
        <v>62.14</v>
      </c>
      <c r="AQ69">
        <v>52.46</v>
      </c>
      <c r="AR69">
        <v>56.89</v>
      </c>
      <c r="AS69">
        <v>46.75</v>
      </c>
      <c r="AT69">
        <v>54.2</v>
      </c>
      <c r="AU69">
        <v>60.67</v>
      </c>
      <c r="AV69">
        <v>42.54</v>
      </c>
      <c r="AW69">
        <v>65.86</v>
      </c>
      <c r="AX69">
        <f t="shared" si="6"/>
        <v>54.2</v>
      </c>
      <c r="AY69">
        <v>23.32</v>
      </c>
      <c r="AZ69">
        <v>54.2</v>
      </c>
      <c r="BA69">
        <v>6.43</v>
      </c>
    </row>
    <row r="70" spans="1:70" x14ac:dyDescent="0.25">
      <c r="B70">
        <v>49.44</v>
      </c>
      <c r="C70">
        <v>44.77</v>
      </c>
      <c r="D70">
        <v>69.86</v>
      </c>
      <c r="E70">
        <v>57.09</v>
      </c>
      <c r="F70">
        <v>46.72</v>
      </c>
      <c r="G70">
        <v>67.59</v>
      </c>
      <c r="H70">
        <v>55.25</v>
      </c>
      <c r="I70">
        <v>37.69</v>
      </c>
      <c r="J70">
        <v>50.42</v>
      </c>
      <c r="K70">
        <v>50.04</v>
      </c>
      <c r="L70">
        <v>69.86</v>
      </c>
      <c r="M70">
        <v>30.98</v>
      </c>
      <c r="N70">
        <f t="shared" si="4"/>
        <v>50.42</v>
      </c>
      <c r="O70">
        <v>38.880000000000003</v>
      </c>
      <c r="P70">
        <v>50.42</v>
      </c>
      <c r="Q70">
        <v>-0.81</v>
      </c>
      <c r="T70">
        <v>49.89</v>
      </c>
      <c r="U70">
        <v>63.46</v>
      </c>
      <c r="V70">
        <v>53.01</v>
      </c>
      <c r="W70">
        <v>37.69</v>
      </c>
      <c r="X70">
        <v>46.72</v>
      </c>
      <c r="Y70">
        <v>50.59</v>
      </c>
      <c r="Z70">
        <v>48.58</v>
      </c>
      <c r="AA70">
        <v>36.65</v>
      </c>
      <c r="AB70">
        <v>50.67</v>
      </c>
      <c r="AC70">
        <v>50.83</v>
      </c>
      <c r="AD70">
        <v>53.01</v>
      </c>
      <c r="AE70">
        <v>48.32</v>
      </c>
      <c r="AF70">
        <f t="shared" si="5"/>
        <v>50.664999999999999</v>
      </c>
      <c r="AG70">
        <v>4.6900000000000004</v>
      </c>
      <c r="AH70">
        <v>50.67</v>
      </c>
      <c r="AI70">
        <v>1.82</v>
      </c>
      <c r="AL70">
        <v>49.41</v>
      </c>
      <c r="AM70">
        <v>58.14</v>
      </c>
      <c r="AN70">
        <v>47.1</v>
      </c>
      <c r="AO70">
        <v>47.42</v>
      </c>
      <c r="AP70">
        <v>50.61</v>
      </c>
      <c r="AQ70">
        <v>49.01</v>
      </c>
      <c r="AR70">
        <v>49.8</v>
      </c>
      <c r="AS70">
        <v>40.090000000000003</v>
      </c>
      <c r="AT70">
        <v>49.6</v>
      </c>
      <c r="AU70">
        <v>48.81</v>
      </c>
      <c r="AV70">
        <v>47.1</v>
      </c>
      <c r="AW70">
        <v>52.11</v>
      </c>
      <c r="AX70">
        <f t="shared" si="6"/>
        <v>49.605000000000004</v>
      </c>
      <c r="AY70">
        <v>5.01</v>
      </c>
      <c r="AZ70">
        <v>49.6</v>
      </c>
      <c r="BA70">
        <v>-1.54</v>
      </c>
    </row>
    <row r="71" spans="1:70" x14ac:dyDescent="0.25">
      <c r="B71" s="2">
        <f>AVERAGE(B61:B70)</f>
        <v>62.582999999999991</v>
      </c>
      <c r="C71" s="2">
        <f t="shared" ref="C71:BA71" si="13">AVERAGE(C61:C70)</f>
        <v>60.55</v>
      </c>
      <c r="D71" s="2">
        <f t="shared" si="13"/>
        <v>64.306999999999988</v>
      </c>
      <c r="E71" s="2">
        <f t="shared" si="13"/>
        <v>56.446000000000005</v>
      </c>
      <c r="F71" s="2">
        <f t="shared" si="13"/>
        <v>58.544000000000004</v>
      </c>
      <c r="G71" s="2">
        <f t="shared" si="13"/>
        <v>62.180000000000007</v>
      </c>
      <c r="H71" s="2">
        <f t="shared" si="13"/>
        <v>59.534999999999989</v>
      </c>
      <c r="I71" s="2">
        <f t="shared" si="13"/>
        <v>43.250999999999998</v>
      </c>
      <c r="J71" s="2">
        <f t="shared" si="13"/>
        <v>52.673999999999992</v>
      </c>
      <c r="K71" s="2">
        <f t="shared" si="13"/>
        <v>54.451999999999998</v>
      </c>
      <c r="L71" s="2">
        <f t="shared" si="13"/>
        <v>64.306999999999988</v>
      </c>
      <c r="M71" s="2">
        <f t="shared" si="13"/>
        <v>41.04</v>
      </c>
      <c r="N71" s="2">
        <f t="shared" si="13"/>
        <v>52.67349999999999</v>
      </c>
      <c r="O71" s="2">
        <f t="shared" si="13"/>
        <v>24.943000000000001</v>
      </c>
      <c r="P71" s="2">
        <f t="shared" si="13"/>
        <v>52.673999999999992</v>
      </c>
      <c r="Q71" s="2">
        <f t="shared" si="13"/>
        <v>5.1839999999999993</v>
      </c>
      <c r="R71" s="2"/>
      <c r="S71" s="2"/>
      <c r="T71" s="2">
        <f t="shared" si="13"/>
        <v>63.476999999999997</v>
      </c>
      <c r="U71" s="2">
        <f t="shared" si="13"/>
        <v>65.833999999999989</v>
      </c>
      <c r="V71" s="2">
        <f t="shared" si="13"/>
        <v>56.969999999999992</v>
      </c>
      <c r="W71" s="2">
        <f t="shared" si="13"/>
        <v>49.847999999999999</v>
      </c>
      <c r="X71" s="2">
        <f t="shared" si="13"/>
        <v>56.076999999999998</v>
      </c>
      <c r="Y71" s="2">
        <f t="shared" si="13"/>
        <v>52.545999999999992</v>
      </c>
      <c r="Z71" s="2">
        <f t="shared" si="13"/>
        <v>53.802</v>
      </c>
      <c r="AA71" s="2">
        <f t="shared" si="13"/>
        <v>42.489999999999995</v>
      </c>
      <c r="AB71" s="2">
        <f t="shared" si="13"/>
        <v>52.571000000000005</v>
      </c>
      <c r="AC71" s="2">
        <f t="shared" si="13"/>
        <v>55.093999999999994</v>
      </c>
      <c r="AD71" s="2">
        <f t="shared" si="13"/>
        <v>56.969999999999992</v>
      </c>
      <c r="AE71" s="2">
        <f t="shared" si="13"/>
        <v>48.168000000000006</v>
      </c>
      <c r="AF71" s="2">
        <f t="shared" si="13"/>
        <v>52.569000000000003</v>
      </c>
      <c r="AG71" s="2">
        <f t="shared" si="13"/>
        <v>14.484</v>
      </c>
      <c r="AH71" s="2">
        <f t="shared" si="13"/>
        <v>52.571000000000005</v>
      </c>
      <c r="AI71" s="2">
        <f t="shared" si="13"/>
        <v>5.7210000000000001</v>
      </c>
      <c r="AJ71" s="2"/>
      <c r="AK71" s="2"/>
      <c r="AL71" s="2">
        <f t="shared" si="13"/>
        <v>62.488</v>
      </c>
      <c r="AM71" s="2">
        <f t="shared" si="13"/>
        <v>67.859000000000009</v>
      </c>
      <c r="AN71" s="2">
        <f t="shared" si="13"/>
        <v>34.383000000000003</v>
      </c>
      <c r="AO71" s="2">
        <f t="shared" si="13"/>
        <v>42.505000000000003</v>
      </c>
      <c r="AP71" s="2">
        <f t="shared" si="13"/>
        <v>64.319999999999993</v>
      </c>
      <c r="AQ71" s="2">
        <f t="shared" si="13"/>
        <v>37.086999999999996</v>
      </c>
      <c r="AR71" s="2">
        <f t="shared" si="13"/>
        <v>45.078000000000003</v>
      </c>
      <c r="AS71" s="2">
        <f t="shared" si="13"/>
        <v>42.047000000000004</v>
      </c>
      <c r="AT71" s="2">
        <f t="shared" si="13"/>
        <v>53.029999999999994</v>
      </c>
      <c r="AU71" s="2">
        <f t="shared" si="13"/>
        <v>53.483000000000004</v>
      </c>
      <c r="AV71" s="2">
        <f t="shared" si="13"/>
        <v>34.383000000000003</v>
      </c>
      <c r="AW71" s="2">
        <f t="shared" si="13"/>
        <v>71.674999999999997</v>
      </c>
      <c r="AX71" s="2">
        <f t="shared" si="13"/>
        <v>53.028999999999996</v>
      </c>
      <c r="AY71" s="2">
        <f t="shared" si="13"/>
        <v>37.292999999999999</v>
      </c>
      <c r="AZ71" s="2">
        <f t="shared" si="13"/>
        <v>53.029999999999994</v>
      </c>
      <c r="BA71" s="2">
        <f t="shared" si="13"/>
        <v>4.7830000000000004</v>
      </c>
    </row>
    <row r="74" spans="1:70" x14ac:dyDescent="0.25">
      <c r="A74" s="1" t="s">
        <v>21</v>
      </c>
      <c r="B74">
        <v>63</v>
      </c>
      <c r="C74">
        <v>100</v>
      </c>
      <c r="D74">
        <v>0</v>
      </c>
      <c r="E74">
        <v>0</v>
      </c>
      <c r="F74">
        <v>100</v>
      </c>
      <c r="G74">
        <v>0</v>
      </c>
      <c r="H74">
        <v>0</v>
      </c>
      <c r="I74">
        <v>23.32</v>
      </c>
      <c r="J74">
        <v>50</v>
      </c>
      <c r="K74">
        <v>50</v>
      </c>
      <c r="L74">
        <v>0</v>
      </c>
      <c r="M74">
        <v>100</v>
      </c>
      <c r="N74">
        <f t="shared" ref="N74:N135" si="14">(L74+M74)/2</f>
        <v>50</v>
      </c>
      <c r="O74">
        <v>100</v>
      </c>
      <c r="P74">
        <v>50</v>
      </c>
      <c r="Q74">
        <v>0</v>
      </c>
      <c r="S74" s="1" t="s">
        <v>21</v>
      </c>
      <c r="T74">
        <v>63</v>
      </c>
      <c r="U74">
        <v>67.78</v>
      </c>
      <c r="V74">
        <v>100</v>
      </c>
      <c r="W74">
        <v>79.599999999999994</v>
      </c>
      <c r="X74">
        <v>67.78</v>
      </c>
      <c r="Y74">
        <v>100</v>
      </c>
      <c r="Z74">
        <v>80.790000000000006</v>
      </c>
      <c r="AA74">
        <v>39.799999999999997</v>
      </c>
      <c r="AB74">
        <v>50</v>
      </c>
      <c r="AC74">
        <v>50</v>
      </c>
      <c r="AD74">
        <v>100</v>
      </c>
      <c r="AE74">
        <v>0</v>
      </c>
      <c r="AF74">
        <f t="shared" ref="AF74:AF135" si="15">(AD74+AE74)/2</f>
        <v>50</v>
      </c>
      <c r="AG74">
        <v>100</v>
      </c>
      <c r="AH74">
        <v>50</v>
      </c>
      <c r="AI74">
        <v>0</v>
      </c>
      <c r="AK74" s="1" t="s">
        <v>21</v>
      </c>
      <c r="AL74">
        <v>63</v>
      </c>
      <c r="AM74">
        <v>67.78</v>
      </c>
      <c r="AN74">
        <v>100</v>
      </c>
      <c r="AO74">
        <v>79.599999999999994</v>
      </c>
      <c r="AP74">
        <v>67.78</v>
      </c>
      <c r="AQ74">
        <v>100</v>
      </c>
      <c r="AR74">
        <v>80.790000000000006</v>
      </c>
      <c r="AS74">
        <v>39.799999999999997</v>
      </c>
      <c r="AT74">
        <v>50</v>
      </c>
      <c r="AU74">
        <v>50</v>
      </c>
      <c r="AV74">
        <v>100</v>
      </c>
      <c r="AW74">
        <v>0</v>
      </c>
      <c r="AX74">
        <f t="shared" ref="AX74:AX135" si="16">(AV74+AW74)/2</f>
        <v>50</v>
      </c>
      <c r="AY74">
        <v>100</v>
      </c>
      <c r="AZ74">
        <v>50</v>
      </c>
      <c r="BA74">
        <v>0</v>
      </c>
      <c r="BP74" s="1"/>
      <c r="BQ74" s="1"/>
      <c r="BR74" s="1"/>
    </row>
    <row r="75" spans="1:70" x14ac:dyDescent="0.25">
      <c r="A75" s="1"/>
      <c r="B75">
        <v>70.22</v>
      </c>
      <c r="C75">
        <v>100</v>
      </c>
      <c r="D75">
        <v>0</v>
      </c>
      <c r="E75">
        <v>0</v>
      </c>
      <c r="F75">
        <v>100</v>
      </c>
      <c r="G75">
        <v>0</v>
      </c>
      <c r="H75">
        <v>0</v>
      </c>
      <c r="I75">
        <v>23.32</v>
      </c>
      <c r="J75">
        <v>50</v>
      </c>
      <c r="K75">
        <v>52.26</v>
      </c>
      <c r="L75">
        <v>0</v>
      </c>
      <c r="M75">
        <v>100</v>
      </c>
      <c r="N75">
        <f t="shared" si="14"/>
        <v>50</v>
      </c>
      <c r="O75">
        <v>100</v>
      </c>
      <c r="P75">
        <v>50</v>
      </c>
      <c r="Q75">
        <v>0</v>
      </c>
      <c r="S75" s="1"/>
      <c r="T75">
        <v>63</v>
      </c>
      <c r="U75">
        <v>67.78</v>
      </c>
      <c r="V75">
        <v>100</v>
      </c>
      <c r="W75">
        <v>79.599999999999994</v>
      </c>
      <c r="X75">
        <v>67.78</v>
      </c>
      <c r="Y75">
        <v>100</v>
      </c>
      <c r="Z75">
        <v>80.790000000000006</v>
      </c>
      <c r="AA75">
        <v>39.799999999999997</v>
      </c>
      <c r="AB75">
        <v>50</v>
      </c>
      <c r="AC75">
        <v>50</v>
      </c>
      <c r="AD75">
        <v>100</v>
      </c>
      <c r="AE75">
        <v>0</v>
      </c>
      <c r="AF75">
        <f t="shared" si="15"/>
        <v>50</v>
      </c>
      <c r="AG75">
        <v>100</v>
      </c>
      <c r="AH75">
        <v>50</v>
      </c>
      <c r="AI75">
        <v>0</v>
      </c>
      <c r="AK75" s="1"/>
      <c r="AL75">
        <v>63</v>
      </c>
      <c r="AM75">
        <v>67.78</v>
      </c>
      <c r="AN75">
        <v>100</v>
      </c>
      <c r="AO75">
        <v>79.599999999999994</v>
      </c>
      <c r="AP75">
        <v>67.78</v>
      </c>
      <c r="AQ75">
        <v>100</v>
      </c>
      <c r="AR75">
        <v>80.790000000000006</v>
      </c>
      <c r="AS75">
        <v>39.799999999999997</v>
      </c>
      <c r="AT75">
        <v>50</v>
      </c>
      <c r="AU75">
        <v>50</v>
      </c>
      <c r="AV75">
        <v>100</v>
      </c>
      <c r="AW75">
        <v>0</v>
      </c>
      <c r="AX75">
        <f t="shared" si="16"/>
        <v>50</v>
      </c>
      <c r="AY75">
        <v>100</v>
      </c>
      <c r="AZ75">
        <v>50</v>
      </c>
      <c r="BA75">
        <v>0</v>
      </c>
      <c r="BP75" s="1"/>
      <c r="BQ75" s="1"/>
      <c r="BR75" s="1"/>
    </row>
    <row r="76" spans="1:70" x14ac:dyDescent="0.25">
      <c r="A76" s="1"/>
      <c r="B76">
        <v>55.49</v>
      </c>
      <c r="C76">
        <v>73.98</v>
      </c>
      <c r="D76">
        <v>37.06</v>
      </c>
      <c r="E76">
        <v>25.68</v>
      </c>
      <c r="F76">
        <v>44.33</v>
      </c>
      <c r="G76">
        <v>27.39</v>
      </c>
      <c r="H76">
        <v>33.86</v>
      </c>
      <c r="I76">
        <v>35.03</v>
      </c>
      <c r="J76">
        <v>53.52</v>
      </c>
      <c r="K76">
        <v>53.81</v>
      </c>
      <c r="L76">
        <v>37.06</v>
      </c>
      <c r="M76">
        <v>69.98</v>
      </c>
      <c r="N76">
        <f t="shared" si="14"/>
        <v>53.52</v>
      </c>
      <c r="O76">
        <v>32.93</v>
      </c>
      <c r="P76">
        <v>53.52</v>
      </c>
      <c r="Q76">
        <v>6.53</v>
      </c>
      <c r="S76" s="1"/>
      <c r="T76">
        <v>53.92</v>
      </c>
      <c r="U76">
        <v>56.59</v>
      </c>
      <c r="V76">
        <v>100</v>
      </c>
      <c r="W76">
        <v>69.12</v>
      </c>
      <c r="X76">
        <v>55.67</v>
      </c>
      <c r="Y76">
        <v>100</v>
      </c>
      <c r="Z76">
        <v>71.53</v>
      </c>
      <c r="AA76">
        <v>34.56</v>
      </c>
      <c r="AB76">
        <v>50</v>
      </c>
      <c r="AC76">
        <v>50</v>
      </c>
      <c r="AD76">
        <v>100</v>
      </c>
      <c r="AE76">
        <v>0</v>
      </c>
      <c r="AF76">
        <f t="shared" si="15"/>
        <v>50</v>
      </c>
      <c r="AG76">
        <v>100</v>
      </c>
      <c r="AH76">
        <v>50</v>
      </c>
      <c r="AI76">
        <v>0</v>
      </c>
      <c r="AK76" s="1"/>
      <c r="AL76">
        <v>53.92</v>
      </c>
      <c r="AM76">
        <v>56.59</v>
      </c>
      <c r="AN76">
        <v>100</v>
      </c>
      <c r="AO76">
        <v>69.12</v>
      </c>
      <c r="AP76">
        <v>55.67</v>
      </c>
      <c r="AQ76">
        <v>100</v>
      </c>
      <c r="AR76">
        <v>71.53</v>
      </c>
      <c r="AS76">
        <v>34.56</v>
      </c>
      <c r="AT76">
        <v>50</v>
      </c>
      <c r="AU76">
        <v>50</v>
      </c>
      <c r="AV76">
        <v>100</v>
      </c>
      <c r="AW76">
        <v>0</v>
      </c>
      <c r="AX76">
        <f t="shared" si="16"/>
        <v>50</v>
      </c>
      <c r="AY76">
        <v>100</v>
      </c>
      <c r="AZ76">
        <v>50</v>
      </c>
      <c r="BA76">
        <v>0</v>
      </c>
      <c r="BP76" s="1"/>
      <c r="BQ76" s="1"/>
      <c r="BR76" s="1"/>
    </row>
    <row r="77" spans="1:70" x14ac:dyDescent="0.25">
      <c r="A77" s="1"/>
      <c r="B77">
        <v>72.459999999999994</v>
      </c>
      <c r="C77">
        <v>100</v>
      </c>
      <c r="D77">
        <v>0</v>
      </c>
      <c r="E77">
        <v>0</v>
      </c>
      <c r="F77">
        <v>100</v>
      </c>
      <c r="G77">
        <v>0</v>
      </c>
      <c r="H77">
        <v>0</v>
      </c>
      <c r="I77">
        <v>23.32</v>
      </c>
      <c r="J77">
        <v>50</v>
      </c>
      <c r="K77">
        <v>60.48</v>
      </c>
      <c r="L77">
        <v>0</v>
      </c>
      <c r="M77">
        <v>100</v>
      </c>
      <c r="N77">
        <f t="shared" si="14"/>
        <v>50</v>
      </c>
      <c r="O77">
        <v>100</v>
      </c>
      <c r="P77">
        <v>50</v>
      </c>
      <c r="Q77">
        <v>0</v>
      </c>
      <c r="S77" s="1"/>
      <c r="T77">
        <v>63</v>
      </c>
      <c r="U77">
        <v>67.78</v>
      </c>
      <c r="V77">
        <v>100</v>
      </c>
      <c r="W77">
        <v>79.599999999999994</v>
      </c>
      <c r="X77">
        <v>67.78</v>
      </c>
      <c r="Y77">
        <v>100</v>
      </c>
      <c r="Z77">
        <v>80.790000000000006</v>
      </c>
      <c r="AA77">
        <v>39.799999999999997</v>
      </c>
      <c r="AB77">
        <v>50</v>
      </c>
      <c r="AC77">
        <v>50</v>
      </c>
      <c r="AD77">
        <v>100</v>
      </c>
      <c r="AE77">
        <v>0</v>
      </c>
      <c r="AF77">
        <f t="shared" si="15"/>
        <v>50</v>
      </c>
      <c r="AG77">
        <v>100</v>
      </c>
      <c r="AH77">
        <v>50</v>
      </c>
      <c r="AI77">
        <v>0</v>
      </c>
      <c r="AK77" s="1"/>
      <c r="AL77">
        <v>63</v>
      </c>
      <c r="AM77">
        <v>67.78</v>
      </c>
      <c r="AN77">
        <v>100</v>
      </c>
      <c r="AO77">
        <v>79.599999999999994</v>
      </c>
      <c r="AP77">
        <v>67.78</v>
      </c>
      <c r="AQ77">
        <v>100</v>
      </c>
      <c r="AR77">
        <v>80.790000000000006</v>
      </c>
      <c r="AS77">
        <v>39.799999999999997</v>
      </c>
      <c r="AT77">
        <v>50</v>
      </c>
      <c r="AU77">
        <v>50</v>
      </c>
      <c r="AV77">
        <v>100</v>
      </c>
      <c r="AW77">
        <v>0</v>
      </c>
      <c r="AX77">
        <f t="shared" si="16"/>
        <v>50</v>
      </c>
      <c r="AY77">
        <v>100</v>
      </c>
      <c r="AZ77">
        <v>50</v>
      </c>
      <c r="BA77">
        <v>0</v>
      </c>
      <c r="BP77" s="1"/>
      <c r="BQ77" s="1"/>
      <c r="BR77" s="1"/>
    </row>
    <row r="78" spans="1:70" x14ac:dyDescent="0.25">
      <c r="A78" s="1"/>
      <c r="B78">
        <v>51.27</v>
      </c>
      <c r="C78">
        <v>71.87</v>
      </c>
      <c r="D78">
        <v>49.46</v>
      </c>
      <c r="E78">
        <v>28.56</v>
      </c>
      <c r="F78">
        <v>43.62</v>
      </c>
      <c r="G78">
        <v>41.4</v>
      </c>
      <c r="H78">
        <v>42.48</v>
      </c>
      <c r="I78">
        <v>25.45</v>
      </c>
      <c r="J78">
        <v>49.73</v>
      </c>
      <c r="K78">
        <v>45.62</v>
      </c>
      <c r="L78">
        <v>49.46</v>
      </c>
      <c r="M78">
        <v>50</v>
      </c>
      <c r="N78">
        <f t="shared" si="14"/>
        <v>49.730000000000004</v>
      </c>
      <c r="O78">
        <v>0.54</v>
      </c>
      <c r="P78">
        <v>49.73</v>
      </c>
      <c r="Q78">
        <v>-1.86</v>
      </c>
      <c r="S78" s="1"/>
      <c r="T78">
        <v>53.92</v>
      </c>
      <c r="U78">
        <v>56.59</v>
      </c>
      <c r="V78">
        <v>100</v>
      </c>
      <c r="W78">
        <v>69.12</v>
      </c>
      <c r="X78">
        <v>55.67</v>
      </c>
      <c r="Y78">
        <v>100</v>
      </c>
      <c r="Z78">
        <v>71.53</v>
      </c>
      <c r="AA78">
        <v>34.56</v>
      </c>
      <c r="AB78">
        <v>50</v>
      </c>
      <c r="AC78">
        <v>50</v>
      </c>
      <c r="AD78">
        <v>100</v>
      </c>
      <c r="AE78">
        <v>0</v>
      </c>
      <c r="AF78">
        <f t="shared" si="15"/>
        <v>50</v>
      </c>
      <c r="AG78">
        <v>100</v>
      </c>
      <c r="AH78">
        <v>50</v>
      </c>
      <c r="AI78">
        <v>0</v>
      </c>
      <c r="AK78" s="1"/>
      <c r="AL78">
        <v>53.92</v>
      </c>
      <c r="AM78">
        <v>56.59</v>
      </c>
      <c r="AN78">
        <v>100</v>
      </c>
      <c r="AO78">
        <v>69.12</v>
      </c>
      <c r="AP78">
        <v>55.67</v>
      </c>
      <c r="AQ78">
        <v>100</v>
      </c>
      <c r="AR78">
        <v>71.53</v>
      </c>
      <c r="AS78">
        <v>34.56</v>
      </c>
      <c r="AT78">
        <v>50</v>
      </c>
      <c r="AU78">
        <v>50</v>
      </c>
      <c r="AV78">
        <v>100</v>
      </c>
      <c r="AW78">
        <v>0</v>
      </c>
      <c r="AX78">
        <f t="shared" si="16"/>
        <v>50</v>
      </c>
      <c r="AY78">
        <v>100</v>
      </c>
      <c r="AZ78">
        <v>50</v>
      </c>
      <c r="BA78">
        <v>0</v>
      </c>
      <c r="BP78" s="1"/>
      <c r="BQ78" s="1"/>
      <c r="BR78" s="1"/>
    </row>
    <row r="79" spans="1:70" x14ac:dyDescent="0.25">
      <c r="A79" s="1"/>
      <c r="B79">
        <v>48.06</v>
      </c>
      <c r="C79">
        <v>56.95</v>
      </c>
      <c r="D79">
        <v>40.630000000000003</v>
      </c>
      <c r="E79">
        <v>37.04</v>
      </c>
      <c r="F79">
        <v>39.090000000000003</v>
      </c>
      <c r="G79">
        <v>35.25</v>
      </c>
      <c r="H79">
        <v>37.07</v>
      </c>
      <c r="I79">
        <v>31.84</v>
      </c>
      <c r="J79">
        <v>48.77</v>
      </c>
      <c r="K79">
        <v>48.74</v>
      </c>
      <c r="L79">
        <v>40.630000000000003</v>
      </c>
      <c r="M79">
        <v>56.92</v>
      </c>
      <c r="N79">
        <f t="shared" si="14"/>
        <v>48.775000000000006</v>
      </c>
      <c r="O79">
        <v>16.29</v>
      </c>
      <c r="P79">
        <v>48.77</v>
      </c>
      <c r="Q79">
        <v>-2.97</v>
      </c>
      <c r="S79" s="1"/>
      <c r="T79">
        <v>50.53</v>
      </c>
      <c r="U79">
        <v>47.54</v>
      </c>
      <c r="V79">
        <v>100</v>
      </c>
      <c r="W79">
        <v>61.64</v>
      </c>
      <c r="X79">
        <v>47.1</v>
      </c>
      <c r="Y79">
        <v>100</v>
      </c>
      <c r="Z79">
        <v>64.040000000000006</v>
      </c>
      <c r="AA79">
        <v>30.82</v>
      </c>
      <c r="AB79">
        <v>50</v>
      </c>
      <c r="AC79">
        <v>50</v>
      </c>
      <c r="AD79">
        <v>100</v>
      </c>
      <c r="AE79">
        <v>0</v>
      </c>
      <c r="AF79">
        <f t="shared" si="15"/>
        <v>50</v>
      </c>
      <c r="AG79">
        <v>100</v>
      </c>
      <c r="AH79">
        <v>50</v>
      </c>
      <c r="AI79">
        <v>0</v>
      </c>
      <c r="AK79" s="1"/>
      <c r="AL79">
        <v>50.53</v>
      </c>
      <c r="AM79">
        <v>47.54</v>
      </c>
      <c r="AN79">
        <v>100</v>
      </c>
      <c r="AO79">
        <v>61.64</v>
      </c>
      <c r="AP79">
        <v>47.1</v>
      </c>
      <c r="AQ79">
        <v>100</v>
      </c>
      <c r="AR79">
        <v>64.040000000000006</v>
      </c>
      <c r="AS79">
        <v>30.82</v>
      </c>
      <c r="AT79">
        <v>50</v>
      </c>
      <c r="AU79">
        <v>50</v>
      </c>
      <c r="AV79">
        <v>100</v>
      </c>
      <c r="AW79">
        <v>0</v>
      </c>
      <c r="AX79">
        <f t="shared" si="16"/>
        <v>50</v>
      </c>
      <c r="AY79">
        <v>100</v>
      </c>
      <c r="AZ79">
        <v>50</v>
      </c>
      <c r="BA79">
        <v>0</v>
      </c>
      <c r="BP79" s="1"/>
      <c r="BQ79" s="1"/>
      <c r="BR79" s="1"/>
    </row>
    <row r="80" spans="1:70" x14ac:dyDescent="0.25">
      <c r="A80" s="1"/>
      <c r="B80">
        <v>68.510000000000005</v>
      </c>
      <c r="C80">
        <v>100</v>
      </c>
      <c r="D80">
        <v>0</v>
      </c>
      <c r="E80">
        <v>0</v>
      </c>
      <c r="F80">
        <v>100</v>
      </c>
      <c r="G80">
        <v>0</v>
      </c>
      <c r="H80">
        <v>0</v>
      </c>
      <c r="I80">
        <v>23.32</v>
      </c>
      <c r="J80">
        <v>50</v>
      </c>
      <c r="K80">
        <v>51.01</v>
      </c>
      <c r="L80">
        <v>0</v>
      </c>
      <c r="M80">
        <v>100</v>
      </c>
      <c r="N80">
        <f t="shared" si="14"/>
        <v>50</v>
      </c>
      <c r="O80">
        <v>100</v>
      </c>
      <c r="P80">
        <v>50</v>
      </c>
      <c r="Q80">
        <v>0</v>
      </c>
      <c r="S80" s="1"/>
      <c r="T80">
        <v>63</v>
      </c>
      <c r="U80">
        <v>67.78</v>
      </c>
      <c r="V80">
        <v>100</v>
      </c>
      <c r="W80">
        <v>79.599999999999994</v>
      </c>
      <c r="X80">
        <v>67.78</v>
      </c>
      <c r="Y80">
        <v>100</v>
      </c>
      <c r="Z80">
        <v>80.790000000000006</v>
      </c>
      <c r="AA80">
        <v>39.799999999999997</v>
      </c>
      <c r="AB80">
        <v>50</v>
      </c>
      <c r="AC80">
        <v>50</v>
      </c>
      <c r="AD80">
        <v>100</v>
      </c>
      <c r="AE80">
        <v>0</v>
      </c>
      <c r="AF80">
        <f t="shared" si="15"/>
        <v>50</v>
      </c>
      <c r="AG80">
        <v>100</v>
      </c>
      <c r="AH80">
        <v>50</v>
      </c>
      <c r="AI80">
        <v>0</v>
      </c>
      <c r="AK80" s="1"/>
      <c r="AL80">
        <v>74.040000000000006</v>
      </c>
      <c r="AM80">
        <v>70.87</v>
      </c>
      <c r="AN80">
        <v>90.07</v>
      </c>
      <c r="AO80">
        <v>76.44</v>
      </c>
      <c r="AP80">
        <v>68.790000000000006</v>
      </c>
      <c r="AQ80">
        <v>88.52</v>
      </c>
      <c r="AR80">
        <v>77.42</v>
      </c>
      <c r="AS80">
        <v>46.82</v>
      </c>
      <c r="AT80">
        <v>55.8</v>
      </c>
      <c r="AU80">
        <v>59.13</v>
      </c>
      <c r="AV80">
        <v>90.07</v>
      </c>
      <c r="AW80">
        <v>21.52</v>
      </c>
      <c r="AX80">
        <f t="shared" si="16"/>
        <v>55.794999999999995</v>
      </c>
      <c r="AY80">
        <v>68.55</v>
      </c>
      <c r="AZ80">
        <v>55.8</v>
      </c>
      <c r="BA80">
        <v>12.97</v>
      </c>
      <c r="BP80" s="1"/>
      <c r="BQ80" s="1"/>
      <c r="BR80" s="1"/>
    </row>
    <row r="81" spans="1:70" x14ac:dyDescent="0.25">
      <c r="A81" s="1"/>
      <c r="B81">
        <v>59.13</v>
      </c>
      <c r="C81">
        <v>73.099999999999994</v>
      </c>
      <c r="D81">
        <v>21.9</v>
      </c>
      <c r="E81">
        <v>18.190000000000001</v>
      </c>
      <c r="F81">
        <v>38.33</v>
      </c>
      <c r="G81">
        <v>14.65</v>
      </c>
      <c r="H81">
        <v>21.2</v>
      </c>
      <c r="I81">
        <v>33.630000000000003</v>
      </c>
      <c r="J81">
        <v>51.33</v>
      </c>
      <c r="K81">
        <v>57.24</v>
      </c>
      <c r="L81">
        <v>21.9</v>
      </c>
      <c r="M81">
        <v>80.75</v>
      </c>
      <c r="N81">
        <f t="shared" si="14"/>
        <v>51.325000000000003</v>
      </c>
      <c r="O81">
        <v>58.85</v>
      </c>
      <c r="P81">
        <v>51.33</v>
      </c>
      <c r="Q81">
        <v>2.84</v>
      </c>
      <c r="S81" s="1"/>
      <c r="T81">
        <v>53.92</v>
      </c>
      <c r="U81">
        <v>56.59</v>
      </c>
      <c r="V81">
        <v>100</v>
      </c>
      <c r="W81">
        <v>69.12</v>
      </c>
      <c r="X81">
        <v>55.67</v>
      </c>
      <c r="Y81">
        <v>100</v>
      </c>
      <c r="Z81">
        <v>71.53</v>
      </c>
      <c r="AA81">
        <v>34.56</v>
      </c>
      <c r="AB81">
        <v>50</v>
      </c>
      <c r="AC81">
        <v>50</v>
      </c>
      <c r="AD81">
        <v>100</v>
      </c>
      <c r="AE81">
        <v>0</v>
      </c>
      <c r="AF81">
        <f t="shared" si="15"/>
        <v>50</v>
      </c>
      <c r="AG81">
        <v>100</v>
      </c>
      <c r="AH81">
        <v>50</v>
      </c>
      <c r="AI81">
        <v>0</v>
      </c>
      <c r="AK81" s="1"/>
      <c r="AL81">
        <v>53.65</v>
      </c>
      <c r="AM81">
        <v>56.59</v>
      </c>
      <c r="AN81">
        <v>100</v>
      </c>
      <c r="AO81">
        <v>69.12</v>
      </c>
      <c r="AP81">
        <v>55.67</v>
      </c>
      <c r="AQ81">
        <v>100</v>
      </c>
      <c r="AR81">
        <v>71.53</v>
      </c>
      <c r="AS81">
        <v>34.56</v>
      </c>
      <c r="AT81">
        <v>50</v>
      </c>
      <c r="AU81">
        <v>55.33</v>
      </c>
      <c r="AV81">
        <v>100</v>
      </c>
      <c r="AW81">
        <v>0</v>
      </c>
      <c r="AX81">
        <f t="shared" si="16"/>
        <v>50</v>
      </c>
      <c r="AY81">
        <v>100</v>
      </c>
      <c r="AZ81">
        <v>50</v>
      </c>
      <c r="BA81">
        <v>0</v>
      </c>
      <c r="BP81" s="1"/>
      <c r="BQ81" s="1"/>
      <c r="BR81" s="1"/>
    </row>
    <row r="82" spans="1:70" x14ac:dyDescent="0.25">
      <c r="A82" s="1"/>
      <c r="B82">
        <v>56.27</v>
      </c>
      <c r="C82">
        <v>60.13</v>
      </c>
      <c r="D82">
        <v>32.15</v>
      </c>
      <c r="E82">
        <v>32.450000000000003</v>
      </c>
      <c r="F82">
        <v>35.29</v>
      </c>
      <c r="G82">
        <v>24.59</v>
      </c>
      <c r="H82">
        <v>28.99</v>
      </c>
      <c r="I82">
        <v>33.14</v>
      </c>
      <c r="J82">
        <v>49.81</v>
      </c>
      <c r="K82">
        <v>57.6</v>
      </c>
      <c r="L82">
        <v>32.15</v>
      </c>
      <c r="M82">
        <v>67.47</v>
      </c>
      <c r="N82">
        <f t="shared" si="14"/>
        <v>49.81</v>
      </c>
      <c r="O82">
        <v>35.32</v>
      </c>
      <c r="P82">
        <v>49.81</v>
      </c>
      <c r="Q82">
        <v>0.56000000000000005</v>
      </c>
      <c r="S82" s="1"/>
      <c r="T82">
        <v>50.53</v>
      </c>
      <c r="U82">
        <v>47.54</v>
      </c>
      <c r="V82">
        <v>100</v>
      </c>
      <c r="W82">
        <v>61.64</v>
      </c>
      <c r="X82">
        <v>47.1</v>
      </c>
      <c r="Y82">
        <v>100</v>
      </c>
      <c r="Z82">
        <v>64.040000000000006</v>
      </c>
      <c r="AA82">
        <v>30.82</v>
      </c>
      <c r="AB82">
        <v>50</v>
      </c>
      <c r="AC82">
        <v>50</v>
      </c>
      <c r="AD82">
        <v>100</v>
      </c>
      <c r="AE82">
        <v>0</v>
      </c>
      <c r="AF82">
        <f t="shared" si="15"/>
        <v>50</v>
      </c>
      <c r="AG82">
        <v>100</v>
      </c>
      <c r="AH82">
        <v>50</v>
      </c>
      <c r="AI82">
        <v>0</v>
      </c>
      <c r="AK82" s="1"/>
      <c r="AL82">
        <v>49.93</v>
      </c>
      <c r="AM82">
        <v>47.6</v>
      </c>
      <c r="AN82">
        <v>99.31</v>
      </c>
      <c r="AO82">
        <v>61.49</v>
      </c>
      <c r="AP82">
        <v>47.08</v>
      </c>
      <c r="AQ82">
        <v>99.18</v>
      </c>
      <c r="AR82">
        <v>63.85</v>
      </c>
      <c r="AS82">
        <v>31.54</v>
      </c>
      <c r="AT82">
        <v>50.12</v>
      </c>
      <c r="AU82">
        <v>51.96</v>
      </c>
      <c r="AV82">
        <v>99.31</v>
      </c>
      <c r="AW82">
        <v>0.93</v>
      </c>
      <c r="AX82">
        <f t="shared" si="16"/>
        <v>50.120000000000005</v>
      </c>
      <c r="AY82">
        <v>98.38</v>
      </c>
      <c r="AZ82">
        <v>50.12</v>
      </c>
      <c r="BA82">
        <v>0.44</v>
      </c>
      <c r="BP82" s="1"/>
      <c r="BQ82" s="1"/>
      <c r="BR82" s="1"/>
    </row>
    <row r="83" spans="1:70" x14ac:dyDescent="0.25">
      <c r="A83" s="1"/>
      <c r="B83">
        <v>56.64</v>
      </c>
      <c r="C83">
        <v>63.42</v>
      </c>
      <c r="D83">
        <v>34.44</v>
      </c>
      <c r="E83">
        <v>27.89</v>
      </c>
      <c r="F83">
        <v>43.64</v>
      </c>
      <c r="G83">
        <v>28.46</v>
      </c>
      <c r="H83">
        <v>34.450000000000003</v>
      </c>
      <c r="I83">
        <v>39.86</v>
      </c>
      <c r="J83">
        <v>52.16</v>
      </c>
      <c r="K83">
        <v>57.28</v>
      </c>
      <c r="L83">
        <v>34.44</v>
      </c>
      <c r="M83">
        <v>69.88</v>
      </c>
      <c r="N83">
        <f t="shared" si="14"/>
        <v>52.16</v>
      </c>
      <c r="O83">
        <v>35.44</v>
      </c>
      <c r="P83">
        <v>52.16</v>
      </c>
      <c r="Q83">
        <v>5.04</v>
      </c>
      <c r="S83" s="1"/>
      <c r="T83">
        <v>47.62</v>
      </c>
      <c r="U83">
        <v>48.87</v>
      </c>
      <c r="V83">
        <v>100</v>
      </c>
      <c r="W83">
        <v>63.87</v>
      </c>
      <c r="X83">
        <v>48.75</v>
      </c>
      <c r="Y83">
        <v>100</v>
      </c>
      <c r="Z83">
        <v>65.540000000000006</v>
      </c>
      <c r="AA83">
        <v>31.93</v>
      </c>
      <c r="AB83">
        <v>50</v>
      </c>
      <c r="AC83">
        <v>50</v>
      </c>
      <c r="AD83">
        <v>100</v>
      </c>
      <c r="AE83">
        <v>0</v>
      </c>
      <c r="AF83">
        <f t="shared" si="15"/>
        <v>50</v>
      </c>
      <c r="AG83">
        <v>100</v>
      </c>
      <c r="AH83">
        <v>50</v>
      </c>
      <c r="AI83">
        <v>0</v>
      </c>
      <c r="AK83" s="1"/>
      <c r="AL83">
        <v>54.02</v>
      </c>
      <c r="AM83">
        <v>50.51</v>
      </c>
      <c r="AN83">
        <v>87.02</v>
      </c>
      <c r="AO83">
        <v>60.95</v>
      </c>
      <c r="AP83">
        <v>50.57</v>
      </c>
      <c r="AQ83">
        <v>88.14</v>
      </c>
      <c r="AR83">
        <v>64.27</v>
      </c>
      <c r="AS83">
        <v>38.15</v>
      </c>
      <c r="AT83">
        <v>51.24</v>
      </c>
      <c r="AU83">
        <v>58.24</v>
      </c>
      <c r="AV83">
        <v>87.02</v>
      </c>
      <c r="AW83">
        <v>15.46</v>
      </c>
      <c r="AX83">
        <f t="shared" si="16"/>
        <v>51.239999999999995</v>
      </c>
      <c r="AY83">
        <v>71.569999999999993</v>
      </c>
      <c r="AZ83">
        <v>51.24</v>
      </c>
      <c r="BA83">
        <v>1.61</v>
      </c>
      <c r="BP83" s="1"/>
      <c r="BQ83" s="1"/>
      <c r="BR83" s="1"/>
    </row>
    <row r="84" spans="1:70" x14ac:dyDescent="0.25">
      <c r="A84" s="1"/>
      <c r="B84" s="2">
        <f>AVERAGE(B74:B83)</f>
        <v>60.104999999999997</v>
      </c>
      <c r="C84" s="2">
        <f t="shared" ref="C84:BA84" si="17">AVERAGE(C74:C83)</f>
        <v>79.944999999999993</v>
      </c>
      <c r="D84" s="2">
        <f t="shared" si="17"/>
        <v>21.564</v>
      </c>
      <c r="E84" s="2">
        <f t="shared" si="17"/>
        <v>16.981000000000002</v>
      </c>
      <c r="F84" s="2">
        <f t="shared" si="17"/>
        <v>64.429999999999993</v>
      </c>
      <c r="G84" s="2">
        <f t="shared" si="17"/>
        <v>17.173999999999999</v>
      </c>
      <c r="H84" s="2">
        <f t="shared" si="17"/>
        <v>19.805</v>
      </c>
      <c r="I84" s="2">
        <f t="shared" si="17"/>
        <v>29.223000000000003</v>
      </c>
      <c r="J84" s="2">
        <f t="shared" si="17"/>
        <v>50.531999999999996</v>
      </c>
      <c r="K84" s="2">
        <f t="shared" si="17"/>
        <v>53.403999999999996</v>
      </c>
      <c r="L84" s="2">
        <f t="shared" si="17"/>
        <v>21.564</v>
      </c>
      <c r="M84" s="2">
        <f t="shared" si="17"/>
        <v>79.500000000000014</v>
      </c>
      <c r="N84" s="2">
        <f t="shared" si="17"/>
        <v>50.531999999999996</v>
      </c>
      <c r="O84" s="2">
        <f t="shared" si="17"/>
        <v>57.937000000000012</v>
      </c>
      <c r="P84" s="2">
        <f t="shared" si="17"/>
        <v>50.531999999999996</v>
      </c>
      <c r="Q84" s="2">
        <f t="shared" si="17"/>
        <v>1.014</v>
      </c>
      <c r="R84" s="2"/>
      <c r="S84" s="2"/>
      <c r="T84" s="2">
        <f t="shared" si="17"/>
        <v>56.244000000000007</v>
      </c>
      <c r="U84" s="2">
        <f t="shared" si="17"/>
        <v>58.484000000000002</v>
      </c>
      <c r="V84" s="2">
        <f t="shared" si="17"/>
        <v>100</v>
      </c>
      <c r="W84" s="2">
        <f t="shared" si="17"/>
        <v>71.290999999999997</v>
      </c>
      <c r="X84" s="2">
        <f t="shared" si="17"/>
        <v>58.108000000000004</v>
      </c>
      <c r="Y84" s="2">
        <f t="shared" si="17"/>
        <v>100</v>
      </c>
      <c r="Z84" s="2">
        <f t="shared" si="17"/>
        <v>73.137</v>
      </c>
      <c r="AA84" s="2">
        <f t="shared" si="17"/>
        <v>35.644999999999996</v>
      </c>
      <c r="AB84" s="2">
        <f t="shared" si="17"/>
        <v>50</v>
      </c>
      <c r="AC84" s="2">
        <f t="shared" si="17"/>
        <v>50</v>
      </c>
      <c r="AD84" s="2">
        <f t="shared" si="17"/>
        <v>100</v>
      </c>
      <c r="AE84" s="2">
        <f t="shared" si="17"/>
        <v>0</v>
      </c>
      <c r="AF84" s="2">
        <f t="shared" si="17"/>
        <v>50</v>
      </c>
      <c r="AG84" s="2">
        <f t="shared" si="17"/>
        <v>100</v>
      </c>
      <c r="AH84" s="2">
        <f t="shared" si="17"/>
        <v>50</v>
      </c>
      <c r="AI84" s="2">
        <f t="shared" si="17"/>
        <v>0</v>
      </c>
      <c r="AJ84" s="2"/>
      <c r="AK84" s="2"/>
      <c r="AL84" s="2">
        <f t="shared" si="17"/>
        <v>57.900999999999996</v>
      </c>
      <c r="AM84" s="2">
        <f t="shared" si="17"/>
        <v>58.963000000000001</v>
      </c>
      <c r="AN84" s="2">
        <f t="shared" si="17"/>
        <v>97.639999999999986</v>
      </c>
      <c r="AO84" s="2">
        <f t="shared" si="17"/>
        <v>70.667999999999992</v>
      </c>
      <c r="AP84" s="2">
        <f t="shared" si="17"/>
        <v>58.38900000000001</v>
      </c>
      <c r="AQ84" s="2">
        <f t="shared" si="17"/>
        <v>97.584000000000003</v>
      </c>
      <c r="AR84" s="2">
        <f t="shared" si="17"/>
        <v>72.654000000000011</v>
      </c>
      <c r="AS84" s="2">
        <f t="shared" si="17"/>
        <v>37.040999999999997</v>
      </c>
      <c r="AT84" s="2">
        <f t="shared" si="17"/>
        <v>50.716000000000001</v>
      </c>
      <c r="AU84" s="2">
        <f t="shared" si="17"/>
        <v>52.465999999999994</v>
      </c>
      <c r="AV84" s="2">
        <f t="shared" si="17"/>
        <v>97.639999999999986</v>
      </c>
      <c r="AW84" s="2">
        <f t="shared" si="17"/>
        <v>3.7909999999999995</v>
      </c>
      <c r="AX84" s="2">
        <f t="shared" si="17"/>
        <v>50.715500000000006</v>
      </c>
      <c r="AY84" s="2">
        <f t="shared" si="17"/>
        <v>93.85</v>
      </c>
      <c r="AZ84" s="2">
        <f t="shared" si="17"/>
        <v>50.716000000000001</v>
      </c>
      <c r="BA84" s="2">
        <f t="shared" si="17"/>
        <v>1.502</v>
      </c>
      <c r="BP84" s="2"/>
      <c r="BQ84" s="2"/>
      <c r="BR84" s="2"/>
    </row>
    <row r="87" spans="1:70" x14ac:dyDescent="0.25">
      <c r="A87" s="1" t="s">
        <v>22</v>
      </c>
      <c r="B87">
        <v>84.56</v>
      </c>
      <c r="C87">
        <v>79.89</v>
      </c>
      <c r="D87">
        <v>57.44</v>
      </c>
      <c r="E87">
        <v>66.67</v>
      </c>
      <c r="F87">
        <v>84.52</v>
      </c>
      <c r="G87">
        <v>61.21</v>
      </c>
      <c r="H87">
        <v>71</v>
      </c>
      <c r="I87">
        <v>59.49</v>
      </c>
      <c r="J87">
        <v>64.28</v>
      </c>
      <c r="K87">
        <v>77.14</v>
      </c>
      <c r="L87">
        <v>57.44</v>
      </c>
      <c r="M87">
        <v>71.12</v>
      </c>
      <c r="N87">
        <f t="shared" si="14"/>
        <v>64.28</v>
      </c>
      <c r="O87">
        <v>13.68</v>
      </c>
      <c r="P87">
        <v>64.28</v>
      </c>
      <c r="Q87">
        <v>24.81</v>
      </c>
      <c r="S87" s="1" t="s">
        <v>22</v>
      </c>
      <c r="T87">
        <v>86.4</v>
      </c>
      <c r="U87">
        <v>85.97</v>
      </c>
      <c r="V87">
        <v>64.709999999999994</v>
      </c>
      <c r="W87">
        <v>72.61</v>
      </c>
      <c r="X87">
        <v>89.01</v>
      </c>
      <c r="Y87">
        <v>69.83</v>
      </c>
      <c r="Z87">
        <v>78.260000000000005</v>
      </c>
      <c r="AA87">
        <v>65.7</v>
      </c>
      <c r="AB87">
        <v>69.38</v>
      </c>
      <c r="AC87">
        <v>79.3</v>
      </c>
      <c r="AD87">
        <v>64.709999999999994</v>
      </c>
      <c r="AE87">
        <v>74.05</v>
      </c>
      <c r="AF87">
        <f t="shared" si="15"/>
        <v>69.38</v>
      </c>
      <c r="AG87">
        <v>9.34</v>
      </c>
      <c r="AH87">
        <v>69.38</v>
      </c>
      <c r="AI87">
        <v>36.54</v>
      </c>
      <c r="AK87" s="1" t="s">
        <v>22</v>
      </c>
      <c r="AL87">
        <v>80.03</v>
      </c>
      <c r="AM87">
        <v>78.97</v>
      </c>
      <c r="AN87">
        <v>82.48</v>
      </c>
      <c r="AO87">
        <v>80.27</v>
      </c>
      <c r="AP87">
        <v>80.83</v>
      </c>
      <c r="AQ87">
        <v>83.62</v>
      </c>
      <c r="AR87">
        <v>82.2</v>
      </c>
      <c r="AS87">
        <v>68.02</v>
      </c>
      <c r="AT87">
        <v>69.47</v>
      </c>
      <c r="AU87">
        <v>72.25</v>
      </c>
      <c r="AV87">
        <v>82.48</v>
      </c>
      <c r="AW87">
        <v>56.46</v>
      </c>
      <c r="AX87">
        <f t="shared" si="16"/>
        <v>69.47</v>
      </c>
      <c r="AY87">
        <v>26.02</v>
      </c>
      <c r="AZ87">
        <v>69.47</v>
      </c>
      <c r="BA87">
        <v>37.229999999999997</v>
      </c>
      <c r="BP87" s="1">
        <f t="shared" ref="BP87:BR96" si="18">(O87+AG87+AY87)/3</f>
        <v>16.346666666666668</v>
      </c>
      <c r="BQ87" s="1">
        <f t="shared" si="18"/>
        <v>67.709999999999994</v>
      </c>
      <c r="BR87" s="1">
        <f t="shared" si="18"/>
        <v>32.859999999999992</v>
      </c>
    </row>
    <row r="88" spans="1:70" x14ac:dyDescent="0.25">
      <c r="A88" s="1"/>
      <c r="B88">
        <v>78.67</v>
      </c>
      <c r="C88">
        <v>100</v>
      </c>
      <c r="D88">
        <v>3.66</v>
      </c>
      <c r="E88">
        <v>6.92</v>
      </c>
      <c r="F88">
        <v>100</v>
      </c>
      <c r="G88">
        <v>4.3099999999999996</v>
      </c>
      <c r="H88">
        <v>8.26</v>
      </c>
      <c r="I88">
        <v>26.27</v>
      </c>
      <c r="J88">
        <v>51.83</v>
      </c>
      <c r="K88">
        <v>68.8</v>
      </c>
      <c r="L88">
        <v>3.66</v>
      </c>
      <c r="M88">
        <v>100</v>
      </c>
      <c r="N88">
        <f t="shared" si="14"/>
        <v>51.83</v>
      </c>
      <c r="O88">
        <v>96.34</v>
      </c>
      <c r="P88">
        <v>51.83</v>
      </c>
      <c r="Q88">
        <v>6.87</v>
      </c>
      <c r="S88" s="1"/>
      <c r="T88">
        <v>78.95</v>
      </c>
      <c r="U88">
        <v>90.13</v>
      </c>
      <c r="V88">
        <v>55.56</v>
      </c>
      <c r="W88">
        <v>55.38</v>
      </c>
      <c r="X88">
        <v>84.44</v>
      </c>
      <c r="Y88">
        <v>65.52</v>
      </c>
      <c r="Z88">
        <v>73.790000000000006</v>
      </c>
      <c r="AA88">
        <v>46.64</v>
      </c>
      <c r="AB88">
        <v>55.05</v>
      </c>
      <c r="AC88">
        <v>65.11</v>
      </c>
      <c r="AD88">
        <v>55.56</v>
      </c>
      <c r="AE88">
        <v>54.55</v>
      </c>
      <c r="AF88">
        <f t="shared" si="15"/>
        <v>55.055</v>
      </c>
      <c r="AG88">
        <v>1.01</v>
      </c>
      <c r="AH88">
        <v>55.05</v>
      </c>
      <c r="AI88">
        <v>8.2200000000000006</v>
      </c>
      <c r="AK88" s="1"/>
      <c r="AL88">
        <v>82.38</v>
      </c>
      <c r="AM88">
        <v>82.99</v>
      </c>
      <c r="AN88">
        <v>61.27</v>
      </c>
      <c r="AO88">
        <v>66.709999999999994</v>
      </c>
      <c r="AP88">
        <v>81.25</v>
      </c>
      <c r="AQ88">
        <v>67.239999999999995</v>
      </c>
      <c r="AR88">
        <v>73.58</v>
      </c>
      <c r="AS88">
        <v>50.46</v>
      </c>
      <c r="AT88">
        <v>52.82</v>
      </c>
      <c r="AU88">
        <v>60.52</v>
      </c>
      <c r="AV88">
        <v>61.27</v>
      </c>
      <c r="AW88">
        <v>44.38</v>
      </c>
      <c r="AX88">
        <f t="shared" si="16"/>
        <v>52.825000000000003</v>
      </c>
      <c r="AY88">
        <v>16.89</v>
      </c>
      <c r="AZ88">
        <v>52.82</v>
      </c>
      <c r="BA88">
        <v>7.71</v>
      </c>
      <c r="BP88" s="1">
        <f t="shared" si="18"/>
        <v>38.080000000000005</v>
      </c>
      <c r="BQ88" s="1">
        <f t="shared" si="18"/>
        <v>53.233333333333327</v>
      </c>
      <c r="BR88" s="1">
        <f t="shared" si="18"/>
        <v>7.6000000000000005</v>
      </c>
    </row>
    <row r="89" spans="1:70" x14ac:dyDescent="0.25">
      <c r="A89" s="1"/>
      <c r="B89">
        <v>57.79</v>
      </c>
      <c r="C89">
        <v>70.790000000000006</v>
      </c>
      <c r="D89">
        <v>36.22</v>
      </c>
      <c r="E89">
        <v>30.54</v>
      </c>
      <c r="F89">
        <v>46.88</v>
      </c>
      <c r="G89">
        <v>29.8</v>
      </c>
      <c r="H89">
        <v>36.44</v>
      </c>
      <c r="I89">
        <v>37.51</v>
      </c>
      <c r="J89">
        <v>52.61</v>
      </c>
      <c r="K89">
        <v>59.61</v>
      </c>
      <c r="L89">
        <v>36.22</v>
      </c>
      <c r="M89">
        <v>69.010000000000005</v>
      </c>
      <c r="N89">
        <f t="shared" si="14"/>
        <v>52.615000000000002</v>
      </c>
      <c r="O89">
        <v>32.79</v>
      </c>
      <c r="P89">
        <v>52.61</v>
      </c>
      <c r="Q89">
        <v>5.68</v>
      </c>
      <c r="S89" s="1"/>
      <c r="T89">
        <v>60.02</v>
      </c>
      <c r="U89">
        <v>69.930000000000007</v>
      </c>
      <c r="V89">
        <v>41.25</v>
      </c>
      <c r="W89">
        <v>43.3</v>
      </c>
      <c r="X89">
        <v>70.87</v>
      </c>
      <c r="Y89">
        <v>48.34</v>
      </c>
      <c r="Z89">
        <v>57.48</v>
      </c>
      <c r="AA89">
        <v>47.09</v>
      </c>
      <c r="AB89">
        <v>53.51</v>
      </c>
      <c r="AC89">
        <v>61.1</v>
      </c>
      <c r="AD89">
        <v>41.25</v>
      </c>
      <c r="AE89">
        <v>65.77</v>
      </c>
      <c r="AF89">
        <f t="shared" si="15"/>
        <v>53.51</v>
      </c>
      <c r="AG89">
        <v>24.53</v>
      </c>
      <c r="AH89">
        <v>53.51</v>
      </c>
      <c r="AI89">
        <v>6.76</v>
      </c>
      <c r="AK89" s="1"/>
      <c r="AL89">
        <v>55.44</v>
      </c>
      <c r="AM89">
        <v>55.73</v>
      </c>
      <c r="AN89">
        <v>55.95</v>
      </c>
      <c r="AO89">
        <v>51.7</v>
      </c>
      <c r="AP89">
        <v>61.74</v>
      </c>
      <c r="AQ89">
        <v>60.93</v>
      </c>
      <c r="AR89">
        <v>61.33</v>
      </c>
      <c r="AS89">
        <v>48.99</v>
      </c>
      <c r="AT89">
        <v>52.33</v>
      </c>
      <c r="AU89">
        <v>51.56</v>
      </c>
      <c r="AV89">
        <v>55.95</v>
      </c>
      <c r="AW89">
        <v>48.72</v>
      </c>
      <c r="AX89">
        <f t="shared" si="16"/>
        <v>52.335000000000001</v>
      </c>
      <c r="AY89">
        <v>7.23</v>
      </c>
      <c r="AZ89">
        <v>52.33</v>
      </c>
      <c r="BA89">
        <v>5.0199999999999996</v>
      </c>
      <c r="BP89" s="1">
        <f t="shared" si="18"/>
        <v>21.516666666666666</v>
      </c>
      <c r="BQ89" s="1">
        <f t="shared" si="18"/>
        <v>52.816666666666663</v>
      </c>
      <c r="BR89" s="1">
        <f t="shared" si="18"/>
        <v>5.82</v>
      </c>
    </row>
    <row r="90" spans="1:70" x14ac:dyDescent="0.25">
      <c r="A90" s="1"/>
      <c r="B90">
        <v>71.36</v>
      </c>
      <c r="C90">
        <v>93.33</v>
      </c>
      <c r="D90">
        <v>4.41</v>
      </c>
      <c r="E90">
        <v>8.11</v>
      </c>
      <c r="F90">
        <v>85.71</v>
      </c>
      <c r="G90">
        <v>5.17</v>
      </c>
      <c r="H90">
        <v>9.76</v>
      </c>
      <c r="I90">
        <v>26.52</v>
      </c>
      <c r="J90">
        <v>50.69</v>
      </c>
      <c r="K90">
        <v>47.24</v>
      </c>
      <c r="L90">
        <v>4.41</v>
      </c>
      <c r="M90">
        <v>96.97</v>
      </c>
      <c r="N90">
        <f t="shared" si="14"/>
        <v>50.69</v>
      </c>
      <c r="O90">
        <v>92.56</v>
      </c>
      <c r="P90">
        <v>50.69</v>
      </c>
      <c r="Q90">
        <v>2.9</v>
      </c>
      <c r="S90" s="1"/>
      <c r="T90">
        <v>79.67</v>
      </c>
      <c r="U90">
        <v>91.48</v>
      </c>
      <c r="V90">
        <v>42.22</v>
      </c>
      <c r="W90">
        <v>43.86</v>
      </c>
      <c r="X90">
        <v>84.06</v>
      </c>
      <c r="Y90">
        <v>50</v>
      </c>
      <c r="Z90">
        <v>62.7</v>
      </c>
      <c r="AA90">
        <v>39.979999999999997</v>
      </c>
      <c r="AB90">
        <v>52.93</v>
      </c>
      <c r="AC90">
        <v>63.88</v>
      </c>
      <c r="AD90">
        <v>42.22</v>
      </c>
      <c r="AE90">
        <v>63.64</v>
      </c>
      <c r="AF90">
        <f t="shared" si="15"/>
        <v>52.93</v>
      </c>
      <c r="AG90">
        <v>21.41</v>
      </c>
      <c r="AH90">
        <v>52.93</v>
      </c>
      <c r="AI90">
        <v>5.51</v>
      </c>
      <c r="AK90" s="1"/>
      <c r="AL90">
        <v>74.83</v>
      </c>
      <c r="AM90">
        <v>75.83</v>
      </c>
      <c r="AN90">
        <v>44.88</v>
      </c>
      <c r="AO90">
        <v>52.89</v>
      </c>
      <c r="AP90">
        <v>75.36</v>
      </c>
      <c r="AQ90">
        <v>44.83</v>
      </c>
      <c r="AR90">
        <v>56.22</v>
      </c>
      <c r="AS90">
        <v>47.44</v>
      </c>
      <c r="AT90">
        <v>55.33</v>
      </c>
      <c r="AU90">
        <v>54.25</v>
      </c>
      <c r="AV90">
        <v>44.88</v>
      </c>
      <c r="AW90">
        <v>65.78</v>
      </c>
      <c r="AX90">
        <f t="shared" si="16"/>
        <v>55.33</v>
      </c>
      <c r="AY90">
        <v>20.9</v>
      </c>
      <c r="AZ90">
        <v>55.33</v>
      </c>
      <c r="BA90">
        <v>10.44</v>
      </c>
      <c r="BP90" s="1">
        <f t="shared" si="18"/>
        <v>44.956666666666671</v>
      </c>
      <c r="BQ90" s="1">
        <f t="shared" si="18"/>
        <v>52.983333333333327</v>
      </c>
      <c r="BR90" s="1">
        <f t="shared" si="18"/>
        <v>6.2833333333333341</v>
      </c>
    </row>
    <row r="91" spans="1:70" x14ac:dyDescent="0.25">
      <c r="A91" s="1"/>
      <c r="B91">
        <v>61.21</v>
      </c>
      <c r="C91">
        <v>79.86</v>
      </c>
      <c r="D91">
        <v>21.63</v>
      </c>
      <c r="E91">
        <v>20.059999999999999</v>
      </c>
      <c r="F91">
        <v>51.16</v>
      </c>
      <c r="G91">
        <v>14.57</v>
      </c>
      <c r="H91">
        <v>22.68</v>
      </c>
      <c r="I91">
        <v>37.159999999999997</v>
      </c>
      <c r="J91">
        <v>55.03</v>
      </c>
      <c r="K91">
        <v>59.13</v>
      </c>
      <c r="L91">
        <v>21.63</v>
      </c>
      <c r="M91">
        <v>88.44</v>
      </c>
      <c r="N91">
        <f t="shared" si="14"/>
        <v>55.034999999999997</v>
      </c>
      <c r="O91">
        <v>66.81</v>
      </c>
      <c r="P91">
        <v>55.03</v>
      </c>
      <c r="Q91">
        <v>9.5299999999999994</v>
      </c>
      <c r="S91" s="1"/>
      <c r="T91">
        <v>62.43</v>
      </c>
      <c r="U91">
        <v>83.33</v>
      </c>
      <c r="V91">
        <v>26.79</v>
      </c>
      <c r="W91">
        <v>27.34</v>
      </c>
      <c r="X91">
        <v>71.209999999999994</v>
      </c>
      <c r="Y91">
        <v>31.13</v>
      </c>
      <c r="Z91">
        <v>43.32</v>
      </c>
      <c r="AA91">
        <v>39.5</v>
      </c>
      <c r="AB91">
        <v>52.21</v>
      </c>
      <c r="AC91">
        <v>59.48</v>
      </c>
      <c r="AD91">
        <v>26.79</v>
      </c>
      <c r="AE91">
        <v>77.64</v>
      </c>
      <c r="AF91">
        <f t="shared" si="15"/>
        <v>52.215000000000003</v>
      </c>
      <c r="AG91">
        <v>50.86</v>
      </c>
      <c r="AH91">
        <v>52.21</v>
      </c>
      <c r="AI91">
        <v>7.05</v>
      </c>
      <c r="AK91" s="1"/>
      <c r="AL91">
        <v>56.38</v>
      </c>
      <c r="AM91">
        <v>64.83</v>
      </c>
      <c r="AN91">
        <v>44.04</v>
      </c>
      <c r="AO91">
        <v>44.92</v>
      </c>
      <c r="AP91">
        <v>62.5</v>
      </c>
      <c r="AQ91">
        <v>46.36</v>
      </c>
      <c r="AR91">
        <v>53.23</v>
      </c>
      <c r="AS91">
        <v>45.43</v>
      </c>
      <c r="AT91">
        <v>51.31</v>
      </c>
      <c r="AU91">
        <v>47.11</v>
      </c>
      <c r="AV91">
        <v>44.04</v>
      </c>
      <c r="AW91">
        <v>58.59</v>
      </c>
      <c r="AX91">
        <f t="shared" si="16"/>
        <v>51.314999999999998</v>
      </c>
      <c r="AY91">
        <v>14.55</v>
      </c>
      <c r="AZ91">
        <v>51.31</v>
      </c>
      <c r="BA91">
        <v>4.97</v>
      </c>
      <c r="BP91" s="1">
        <f t="shared" si="18"/>
        <v>44.073333333333331</v>
      </c>
      <c r="BQ91" s="1">
        <f t="shared" si="18"/>
        <v>52.85</v>
      </c>
      <c r="BR91" s="1">
        <f t="shared" si="18"/>
        <v>7.1833333333333327</v>
      </c>
    </row>
    <row r="92" spans="1:70" x14ac:dyDescent="0.25">
      <c r="A92" s="1"/>
      <c r="B92">
        <v>52.16</v>
      </c>
      <c r="C92">
        <v>58.04</v>
      </c>
      <c r="D92">
        <v>33.729999999999997</v>
      </c>
      <c r="E92">
        <v>29.08</v>
      </c>
      <c r="F92">
        <v>40.909999999999997</v>
      </c>
      <c r="G92">
        <v>27.84</v>
      </c>
      <c r="H92">
        <v>33.130000000000003</v>
      </c>
      <c r="I92">
        <v>40.64</v>
      </c>
      <c r="J92">
        <v>52.44</v>
      </c>
      <c r="K92">
        <v>50.51</v>
      </c>
      <c r="L92">
        <v>33.729999999999997</v>
      </c>
      <c r="M92">
        <v>71.150000000000006</v>
      </c>
      <c r="N92">
        <f t="shared" si="14"/>
        <v>52.44</v>
      </c>
      <c r="O92">
        <v>37.42</v>
      </c>
      <c r="P92">
        <v>52.44</v>
      </c>
      <c r="Q92">
        <v>6.26</v>
      </c>
      <c r="S92" s="1"/>
      <c r="T92">
        <v>53.77</v>
      </c>
      <c r="U92">
        <v>59.86</v>
      </c>
      <c r="V92">
        <v>29.21</v>
      </c>
      <c r="W92">
        <v>42.3</v>
      </c>
      <c r="X92">
        <v>64.81</v>
      </c>
      <c r="Y92">
        <v>36.08</v>
      </c>
      <c r="Z92">
        <v>46.36</v>
      </c>
      <c r="AA92">
        <v>45.55</v>
      </c>
      <c r="AB92">
        <v>51.81</v>
      </c>
      <c r="AC92">
        <v>55.27</v>
      </c>
      <c r="AD92">
        <v>29.21</v>
      </c>
      <c r="AE92">
        <v>74.400000000000006</v>
      </c>
      <c r="AF92">
        <f t="shared" si="15"/>
        <v>51.805000000000007</v>
      </c>
      <c r="AG92">
        <v>45.19</v>
      </c>
      <c r="AH92">
        <v>51.81</v>
      </c>
      <c r="AI92">
        <v>2.31</v>
      </c>
      <c r="AK92" s="1"/>
      <c r="AL92">
        <v>47.83</v>
      </c>
      <c r="AM92">
        <v>48.02</v>
      </c>
      <c r="AN92">
        <v>49.74</v>
      </c>
      <c r="AO92">
        <v>36.58</v>
      </c>
      <c r="AP92">
        <v>41.12</v>
      </c>
      <c r="AQ92">
        <v>45.36</v>
      </c>
      <c r="AR92">
        <v>43.14</v>
      </c>
      <c r="AS92">
        <v>37.51</v>
      </c>
      <c r="AT92">
        <v>47.52</v>
      </c>
      <c r="AU92">
        <v>43.61</v>
      </c>
      <c r="AV92">
        <v>49.74</v>
      </c>
      <c r="AW92">
        <v>45.3</v>
      </c>
      <c r="AX92">
        <f t="shared" si="16"/>
        <v>47.519999999999996</v>
      </c>
      <c r="AY92">
        <v>4.4400000000000004</v>
      </c>
      <c r="AZ92">
        <v>47.52</v>
      </c>
      <c r="BA92">
        <v>-5.08</v>
      </c>
      <c r="BP92" s="1">
        <f t="shared" si="18"/>
        <v>29.016666666666666</v>
      </c>
      <c r="BQ92" s="1">
        <f t="shared" si="18"/>
        <v>50.59</v>
      </c>
      <c r="BR92" s="1">
        <f t="shared" si="18"/>
        <v>1.1633333333333333</v>
      </c>
    </row>
    <row r="93" spans="1:70" x14ac:dyDescent="0.25">
      <c r="A93" s="1"/>
      <c r="B93">
        <v>75.819999999999993</v>
      </c>
      <c r="C93">
        <v>95.24</v>
      </c>
      <c r="D93">
        <v>4.3499999999999996</v>
      </c>
      <c r="E93">
        <v>7.55</v>
      </c>
      <c r="F93">
        <v>85.71</v>
      </c>
      <c r="G93">
        <v>5.17</v>
      </c>
      <c r="H93">
        <v>9.76</v>
      </c>
      <c r="I93">
        <v>26.21</v>
      </c>
      <c r="J93">
        <v>50.51</v>
      </c>
      <c r="K93">
        <v>60.27</v>
      </c>
      <c r="L93">
        <v>4.3499999999999996</v>
      </c>
      <c r="M93">
        <v>96.67</v>
      </c>
      <c r="N93">
        <f t="shared" si="14"/>
        <v>50.51</v>
      </c>
      <c r="O93">
        <v>92.32</v>
      </c>
      <c r="P93">
        <v>50.51</v>
      </c>
      <c r="Q93">
        <v>1.17</v>
      </c>
      <c r="S93" s="1"/>
      <c r="T93">
        <v>72.42</v>
      </c>
      <c r="U93">
        <v>91.3</v>
      </c>
      <c r="V93">
        <v>41.95</v>
      </c>
      <c r="W93">
        <v>46.8</v>
      </c>
      <c r="X93">
        <v>87.69</v>
      </c>
      <c r="Y93">
        <v>49.14</v>
      </c>
      <c r="Z93">
        <v>62.98</v>
      </c>
      <c r="AA93">
        <v>49.44</v>
      </c>
      <c r="AB93">
        <v>58.4</v>
      </c>
      <c r="AC93">
        <v>57.36</v>
      </c>
      <c r="AD93">
        <v>41.95</v>
      </c>
      <c r="AE93">
        <v>74.849999999999994</v>
      </c>
      <c r="AF93">
        <f t="shared" si="15"/>
        <v>58.4</v>
      </c>
      <c r="AG93">
        <v>32.9</v>
      </c>
      <c r="AH93">
        <v>58.4</v>
      </c>
      <c r="AI93">
        <v>16.329999999999998</v>
      </c>
      <c r="AK93" s="1"/>
      <c r="AL93">
        <v>77</v>
      </c>
      <c r="AM93">
        <v>93.75</v>
      </c>
      <c r="AN93">
        <v>23.26</v>
      </c>
      <c r="AO93">
        <v>29.65</v>
      </c>
      <c r="AP93">
        <v>82.86</v>
      </c>
      <c r="AQ93">
        <v>25</v>
      </c>
      <c r="AR93">
        <v>38.409999999999997</v>
      </c>
      <c r="AS93">
        <v>36.94</v>
      </c>
      <c r="AT93">
        <v>52.54</v>
      </c>
      <c r="AU93">
        <v>55.02</v>
      </c>
      <c r="AV93">
        <v>23.26</v>
      </c>
      <c r="AW93">
        <v>81.819999999999993</v>
      </c>
      <c r="AX93">
        <f t="shared" si="16"/>
        <v>52.54</v>
      </c>
      <c r="AY93">
        <v>58.56</v>
      </c>
      <c r="AZ93">
        <v>52.54</v>
      </c>
      <c r="BA93">
        <v>9.6999999999999993</v>
      </c>
      <c r="BP93" s="1">
        <f t="shared" si="18"/>
        <v>61.26</v>
      </c>
      <c r="BQ93" s="1">
        <f t="shared" si="18"/>
        <v>53.816666666666663</v>
      </c>
      <c r="BR93" s="1">
        <f t="shared" si="18"/>
        <v>9.0666666666666664</v>
      </c>
    </row>
    <row r="94" spans="1:70" x14ac:dyDescent="0.25">
      <c r="A94" s="1"/>
      <c r="B94">
        <v>55.82</v>
      </c>
      <c r="C94">
        <v>57.54</v>
      </c>
      <c r="D94">
        <v>29.05</v>
      </c>
      <c r="E94">
        <v>24.81</v>
      </c>
      <c r="F94">
        <v>45.35</v>
      </c>
      <c r="G94">
        <v>25.83</v>
      </c>
      <c r="H94">
        <v>32.909999999999997</v>
      </c>
      <c r="I94">
        <v>33.21</v>
      </c>
      <c r="J94">
        <v>47.44</v>
      </c>
      <c r="K94">
        <v>52.95</v>
      </c>
      <c r="L94">
        <v>29.05</v>
      </c>
      <c r="M94">
        <v>65.83</v>
      </c>
      <c r="N94">
        <f t="shared" si="14"/>
        <v>47.44</v>
      </c>
      <c r="O94">
        <v>36.78</v>
      </c>
      <c r="P94">
        <v>47.44</v>
      </c>
      <c r="Q94">
        <v>-6.59</v>
      </c>
      <c r="S94" s="1"/>
      <c r="T94">
        <v>58.49</v>
      </c>
      <c r="U94">
        <v>73.260000000000005</v>
      </c>
      <c r="V94">
        <v>40.81</v>
      </c>
      <c r="W94">
        <v>43.8</v>
      </c>
      <c r="X94">
        <v>73.2</v>
      </c>
      <c r="Y94">
        <v>47.02</v>
      </c>
      <c r="Z94">
        <v>57.26</v>
      </c>
      <c r="AA94">
        <v>49.25</v>
      </c>
      <c r="AB94">
        <v>54.71</v>
      </c>
      <c r="AC94">
        <v>52.99</v>
      </c>
      <c r="AD94">
        <v>40.81</v>
      </c>
      <c r="AE94">
        <v>68.62</v>
      </c>
      <c r="AF94">
        <f t="shared" si="15"/>
        <v>54.715000000000003</v>
      </c>
      <c r="AG94">
        <v>27.81</v>
      </c>
      <c r="AH94">
        <v>54.71</v>
      </c>
      <c r="AI94">
        <v>10.95</v>
      </c>
      <c r="AK94" s="1"/>
      <c r="AL94">
        <v>61.3</v>
      </c>
      <c r="AM94">
        <v>69.61</v>
      </c>
      <c r="AN94">
        <v>42.8</v>
      </c>
      <c r="AO94">
        <v>36.26</v>
      </c>
      <c r="AP94">
        <v>56.86</v>
      </c>
      <c r="AQ94">
        <v>38.409999999999997</v>
      </c>
      <c r="AR94">
        <v>45.85</v>
      </c>
      <c r="AS94">
        <v>42.24</v>
      </c>
      <c r="AT94">
        <v>56.54</v>
      </c>
      <c r="AU94">
        <v>57.94</v>
      </c>
      <c r="AV94">
        <v>42.8</v>
      </c>
      <c r="AW94">
        <v>70.28</v>
      </c>
      <c r="AX94">
        <f t="shared" si="16"/>
        <v>56.54</v>
      </c>
      <c r="AY94">
        <v>27.48</v>
      </c>
      <c r="AZ94">
        <v>56.54</v>
      </c>
      <c r="BA94">
        <v>12.4</v>
      </c>
      <c r="BP94" s="1">
        <f t="shared" si="18"/>
        <v>30.69</v>
      </c>
      <c r="BQ94" s="1">
        <f t="shared" si="18"/>
        <v>52.896666666666668</v>
      </c>
      <c r="BR94" s="1">
        <f t="shared" si="18"/>
        <v>5.586666666666666</v>
      </c>
    </row>
    <row r="95" spans="1:70" x14ac:dyDescent="0.25">
      <c r="A95" s="1"/>
      <c r="B95">
        <v>52.88</v>
      </c>
      <c r="C95">
        <v>61.22</v>
      </c>
      <c r="D95">
        <v>23.43</v>
      </c>
      <c r="E95">
        <v>32.69</v>
      </c>
      <c r="F95">
        <v>37.25</v>
      </c>
      <c r="G95">
        <v>19.59</v>
      </c>
      <c r="H95">
        <v>25.68</v>
      </c>
      <c r="I95">
        <v>39.03</v>
      </c>
      <c r="J95">
        <v>50.83</v>
      </c>
      <c r="K95">
        <v>51.6</v>
      </c>
      <c r="L95">
        <v>23.43</v>
      </c>
      <c r="M95">
        <v>78.23</v>
      </c>
      <c r="N95">
        <f t="shared" si="14"/>
        <v>50.83</v>
      </c>
      <c r="O95">
        <v>54.8</v>
      </c>
      <c r="P95">
        <v>50.83</v>
      </c>
      <c r="Q95">
        <v>2.65</v>
      </c>
      <c r="S95" s="1"/>
      <c r="T95">
        <v>55.31</v>
      </c>
      <c r="U95">
        <v>66.489999999999995</v>
      </c>
      <c r="V95">
        <v>42.83</v>
      </c>
      <c r="W95">
        <v>42.32</v>
      </c>
      <c r="X95">
        <v>62.67</v>
      </c>
      <c r="Y95">
        <v>48.45</v>
      </c>
      <c r="Z95">
        <v>54.65</v>
      </c>
      <c r="AA95">
        <v>50.6</v>
      </c>
      <c r="AB95">
        <v>55.14</v>
      </c>
      <c r="AC95">
        <v>54.1</v>
      </c>
      <c r="AD95">
        <v>42.83</v>
      </c>
      <c r="AE95">
        <v>67.45</v>
      </c>
      <c r="AF95">
        <f t="shared" si="15"/>
        <v>55.14</v>
      </c>
      <c r="AG95">
        <v>24.61</v>
      </c>
      <c r="AH95">
        <v>55.14</v>
      </c>
      <c r="AI95">
        <v>12.95</v>
      </c>
      <c r="AK95" s="1"/>
      <c r="AL95">
        <v>50.08</v>
      </c>
      <c r="AM95">
        <v>55.11</v>
      </c>
      <c r="AN95">
        <v>42.13</v>
      </c>
      <c r="AO95">
        <v>42.36</v>
      </c>
      <c r="AP95">
        <v>37.93</v>
      </c>
      <c r="AQ95">
        <v>34.020000000000003</v>
      </c>
      <c r="AR95">
        <v>35.869999999999997</v>
      </c>
      <c r="AS95">
        <v>38.729999999999997</v>
      </c>
      <c r="AT95">
        <v>51.51</v>
      </c>
      <c r="AU95">
        <v>46.95</v>
      </c>
      <c r="AV95">
        <v>42.13</v>
      </c>
      <c r="AW95">
        <v>60.88</v>
      </c>
      <c r="AX95">
        <f t="shared" si="16"/>
        <v>51.505000000000003</v>
      </c>
      <c r="AY95">
        <v>18.739999999999998</v>
      </c>
      <c r="AZ95">
        <v>51.51</v>
      </c>
      <c r="BA95">
        <v>1.07</v>
      </c>
      <c r="BP95" s="1">
        <f t="shared" si="18"/>
        <v>32.716666666666661</v>
      </c>
      <c r="BQ95" s="1">
        <f t="shared" si="18"/>
        <v>52.493333333333332</v>
      </c>
      <c r="BR95" s="1">
        <f t="shared" si="18"/>
        <v>5.5566666666666658</v>
      </c>
    </row>
    <row r="96" spans="1:70" x14ac:dyDescent="0.25">
      <c r="A96" s="1"/>
      <c r="B96">
        <v>55.04</v>
      </c>
      <c r="C96">
        <v>54.66</v>
      </c>
      <c r="D96">
        <v>35.15</v>
      </c>
      <c r="E96">
        <v>31.09</v>
      </c>
      <c r="F96">
        <v>43.53</v>
      </c>
      <c r="G96">
        <v>32.6</v>
      </c>
      <c r="H96">
        <v>37.28</v>
      </c>
      <c r="I96">
        <v>40.159999999999997</v>
      </c>
      <c r="J96">
        <v>49.62</v>
      </c>
      <c r="K96">
        <v>56.54</v>
      </c>
      <c r="L96">
        <v>35.15</v>
      </c>
      <c r="M96">
        <v>64.08</v>
      </c>
      <c r="N96">
        <f t="shared" si="14"/>
        <v>49.614999999999995</v>
      </c>
      <c r="O96">
        <v>28.93</v>
      </c>
      <c r="P96">
        <v>49.62</v>
      </c>
      <c r="Q96">
        <v>0.54</v>
      </c>
      <c r="S96" s="1"/>
      <c r="T96">
        <v>53.64</v>
      </c>
      <c r="U96">
        <v>60.05</v>
      </c>
      <c r="V96">
        <v>38.869999999999997</v>
      </c>
      <c r="W96">
        <v>37.07</v>
      </c>
      <c r="X96">
        <v>54.84</v>
      </c>
      <c r="Y96">
        <v>44.93</v>
      </c>
      <c r="Z96">
        <v>49.39</v>
      </c>
      <c r="AA96">
        <v>44.52</v>
      </c>
      <c r="AB96">
        <v>49.51</v>
      </c>
      <c r="AC96">
        <v>50.52</v>
      </c>
      <c r="AD96">
        <v>38.869999999999997</v>
      </c>
      <c r="AE96">
        <v>60.16</v>
      </c>
      <c r="AF96">
        <f t="shared" si="15"/>
        <v>49.515000000000001</v>
      </c>
      <c r="AG96">
        <v>21.29</v>
      </c>
      <c r="AH96">
        <v>49.51</v>
      </c>
      <c r="AI96">
        <v>-0.76</v>
      </c>
      <c r="AK96" s="1"/>
      <c r="AL96">
        <v>53.29</v>
      </c>
      <c r="AM96">
        <v>56.01</v>
      </c>
      <c r="AN96">
        <v>36.49</v>
      </c>
      <c r="AO96">
        <v>37.29</v>
      </c>
      <c r="AP96">
        <v>47.85</v>
      </c>
      <c r="AQ96">
        <v>34.36</v>
      </c>
      <c r="AR96">
        <v>40</v>
      </c>
      <c r="AS96">
        <v>40.119999999999997</v>
      </c>
      <c r="AT96">
        <v>51.78</v>
      </c>
      <c r="AU96">
        <v>54.87</v>
      </c>
      <c r="AV96">
        <v>36.49</v>
      </c>
      <c r="AW96">
        <v>67.069999999999993</v>
      </c>
      <c r="AX96">
        <f t="shared" si="16"/>
        <v>51.78</v>
      </c>
      <c r="AY96">
        <v>30.58</v>
      </c>
      <c r="AZ96">
        <v>51.78</v>
      </c>
      <c r="BA96">
        <v>4.3899999999999997</v>
      </c>
      <c r="BP96" s="1">
        <f t="shared" si="18"/>
        <v>26.933333333333334</v>
      </c>
      <c r="BQ96" s="1">
        <f t="shared" si="18"/>
        <v>50.303333333333335</v>
      </c>
      <c r="BR96" s="1">
        <f t="shared" si="18"/>
        <v>1.39</v>
      </c>
    </row>
    <row r="97" spans="1:70" x14ac:dyDescent="0.25">
      <c r="A97" s="1"/>
      <c r="B97" s="2">
        <f>AVERAGE(B87:B96)</f>
        <v>64.530999999999992</v>
      </c>
      <c r="C97" s="2">
        <f t="shared" ref="C97:BA97" si="19">AVERAGE(C87:C96)</f>
        <v>75.056999999999988</v>
      </c>
      <c r="D97" s="2">
        <f t="shared" si="19"/>
        <v>24.907</v>
      </c>
      <c r="E97" s="2">
        <f t="shared" si="19"/>
        <v>25.751999999999999</v>
      </c>
      <c r="F97" s="2">
        <f t="shared" si="19"/>
        <v>62.10199999999999</v>
      </c>
      <c r="G97" s="2">
        <f t="shared" si="19"/>
        <v>22.608999999999998</v>
      </c>
      <c r="H97" s="2">
        <f t="shared" si="19"/>
        <v>28.689999999999998</v>
      </c>
      <c r="I97" s="2">
        <f t="shared" si="19"/>
        <v>36.620000000000005</v>
      </c>
      <c r="J97" s="2">
        <f t="shared" si="19"/>
        <v>52.527999999999999</v>
      </c>
      <c r="K97" s="2">
        <f t="shared" si="19"/>
        <v>58.378999999999998</v>
      </c>
      <c r="L97" s="2">
        <f t="shared" si="19"/>
        <v>24.907</v>
      </c>
      <c r="M97" s="2">
        <f t="shared" si="19"/>
        <v>80.150000000000006</v>
      </c>
      <c r="N97" s="2">
        <f t="shared" si="19"/>
        <v>52.528499999999994</v>
      </c>
      <c r="O97" s="2">
        <f t="shared" si="19"/>
        <v>55.242999999999995</v>
      </c>
      <c r="P97" s="2">
        <f t="shared" si="19"/>
        <v>52.527999999999999</v>
      </c>
      <c r="Q97" s="2">
        <f t="shared" si="19"/>
        <v>5.3819999999999997</v>
      </c>
      <c r="R97" s="2"/>
      <c r="S97" s="2"/>
      <c r="T97" s="2">
        <f t="shared" si="19"/>
        <v>66.11</v>
      </c>
      <c r="U97" s="2">
        <f t="shared" si="19"/>
        <v>77.179999999999993</v>
      </c>
      <c r="V97" s="2">
        <f t="shared" si="19"/>
        <v>42.419999999999995</v>
      </c>
      <c r="W97" s="2">
        <f t="shared" si="19"/>
        <v>45.478000000000002</v>
      </c>
      <c r="X97" s="2">
        <f t="shared" si="19"/>
        <v>74.28</v>
      </c>
      <c r="Y97" s="2">
        <f t="shared" si="19"/>
        <v>49.043999999999997</v>
      </c>
      <c r="Z97" s="2">
        <f t="shared" si="19"/>
        <v>58.619000000000007</v>
      </c>
      <c r="AA97" s="2">
        <f t="shared" si="19"/>
        <v>47.826999999999998</v>
      </c>
      <c r="AB97" s="2">
        <f t="shared" si="19"/>
        <v>55.265000000000001</v>
      </c>
      <c r="AC97" s="2">
        <f t="shared" si="19"/>
        <v>59.911000000000001</v>
      </c>
      <c r="AD97" s="2">
        <f t="shared" si="19"/>
        <v>42.419999999999995</v>
      </c>
      <c r="AE97" s="2">
        <f t="shared" si="19"/>
        <v>68.113</v>
      </c>
      <c r="AF97" s="2">
        <f t="shared" si="19"/>
        <v>55.266499999999994</v>
      </c>
      <c r="AG97" s="2">
        <f t="shared" si="19"/>
        <v>25.895000000000003</v>
      </c>
      <c r="AH97" s="2">
        <f t="shared" si="19"/>
        <v>55.265000000000001</v>
      </c>
      <c r="AI97" s="2">
        <f t="shared" si="19"/>
        <v>10.586</v>
      </c>
      <c r="AJ97" s="2"/>
      <c r="AK97" s="2"/>
      <c r="AL97" s="2">
        <f t="shared" si="19"/>
        <v>63.855999999999995</v>
      </c>
      <c r="AM97" s="2">
        <f t="shared" si="19"/>
        <v>68.084999999999994</v>
      </c>
      <c r="AN97" s="2">
        <f t="shared" si="19"/>
        <v>48.304000000000002</v>
      </c>
      <c r="AO97" s="2">
        <f t="shared" si="19"/>
        <v>47.863</v>
      </c>
      <c r="AP97" s="2">
        <f t="shared" si="19"/>
        <v>62.83</v>
      </c>
      <c r="AQ97" s="2">
        <f t="shared" si="19"/>
        <v>48.012999999999998</v>
      </c>
      <c r="AR97" s="2">
        <f t="shared" si="19"/>
        <v>52.983000000000004</v>
      </c>
      <c r="AS97" s="2">
        <f t="shared" si="19"/>
        <v>45.588000000000001</v>
      </c>
      <c r="AT97" s="2">
        <f t="shared" si="19"/>
        <v>54.114999999999995</v>
      </c>
      <c r="AU97" s="2">
        <f t="shared" si="19"/>
        <v>54.407999999999994</v>
      </c>
      <c r="AV97" s="2">
        <f t="shared" si="19"/>
        <v>48.304000000000002</v>
      </c>
      <c r="AW97" s="2">
        <f t="shared" si="19"/>
        <v>59.927999999999997</v>
      </c>
      <c r="AX97" s="2">
        <f t="shared" si="19"/>
        <v>54.116</v>
      </c>
      <c r="AY97" s="2">
        <f t="shared" si="19"/>
        <v>22.538999999999998</v>
      </c>
      <c r="AZ97" s="2">
        <f t="shared" si="19"/>
        <v>54.114999999999995</v>
      </c>
      <c r="BA97" s="2">
        <f t="shared" si="19"/>
        <v>8.7850000000000001</v>
      </c>
      <c r="BP97" s="2">
        <f t="shared" ref="BP97:BR97" si="20">AVERAGE(BP87:BP96)</f>
        <v>34.558999999999997</v>
      </c>
      <c r="BQ97" s="2">
        <f t="shared" si="20"/>
        <v>53.969333333333324</v>
      </c>
      <c r="BR97" s="2">
        <f t="shared" si="20"/>
        <v>8.2510000000000012</v>
      </c>
    </row>
    <row r="100" spans="1:70" x14ac:dyDescent="0.25">
      <c r="A100" s="1" t="s">
        <v>23</v>
      </c>
      <c r="B100">
        <v>76.67</v>
      </c>
      <c r="C100">
        <v>76.78</v>
      </c>
      <c r="D100">
        <v>61.71</v>
      </c>
      <c r="E100">
        <v>63.89</v>
      </c>
      <c r="F100">
        <v>75.489999999999995</v>
      </c>
      <c r="G100">
        <v>63.11</v>
      </c>
      <c r="H100">
        <v>68.75</v>
      </c>
      <c r="I100">
        <v>56.59</v>
      </c>
      <c r="J100">
        <v>62.01</v>
      </c>
      <c r="K100">
        <v>66.91</v>
      </c>
      <c r="L100">
        <v>61.71</v>
      </c>
      <c r="M100">
        <v>62.32</v>
      </c>
      <c r="N100">
        <f>(L100+M100)/2</f>
        <v>62.015000000000001</v>
      </c>
      <c r="O100">
        <v>0.6</v>
      </c>
      <c r="P100">
        <v>62.01</v>
      </c>
      <c r="Q100">
        <v>27.22</v>
      </c>
      <c r="S100" s="1" t="s">
        <v>23</v>
      </c>
      <c r="T100">
        <v>78.87</v>
      </c>
      <c r="U100">
        <v>77.849999999999994</v>
      </c>
      <c r="V100">
        <v>70.87</v>
      </c>
      <c r="W100">
        <v>73.98</v>
      </c>
      <c r="X100">
        <v>80</v>
      </c>
      <c r="Y100">
        <v>72.13</v>
      </c>
      <c r="Z100">
        <v>75.86</v>
      </c>
      <c r="AA100">
        <v>63.35</v>
      </c>
      <c r="AB100">
        <v>65.14</v>
      </c>
      <c r="AC100">
        <v>70.739999999999995</v>
      </c>
      <c r="AD100">
        <v>70.87</v>
      </c>
      <c r="AE100">
        <v>59.4</v>
      </c>
      <c r="AF100">
        <f>(AD100+AE100)/2</f>
        <v>65.135000000000005</v>
      </c>
      <c r="AG100">
        <v>11.47</v>
      </c>
      <c r="AH100">
        <v>65.14</v>
      </c>
      <c r="AI100">
        <v>28.28</v>
      </c>
      <c r="AK100" s="1" t="s">
        <v>23</v>
      </c>
      <c r="AL100">
        <v>74.959999999999994</v>
      </c>
      <c r="AM100">
        <v>67.540000000000006</v>
      </c>
      <c r="AN100">
        <v>54.75</v>
      </c>
      <c r="AO100">
        <v>50.76</v>
      </c>
      <c r="AP100">
        <v>66.67</v>
      </c>
      <c r="AQ100">
        <v>47.54</v>
      </c>
      <c r="AR100">
        <v>55.5</v>
      </c>
      <c r="AS100">
        <v>45.46</v>
      </c>
      <c r="AT100">
        <v>58.63</v>
      </c>
      <c r="AU100">
        <v>61.16</v>
      </c>
      <c r="AV100">
        <v>54.75</v>
      </c>
      <c r="AW100">
        <v>62.51</v>
      </c>
      <c r="AX100">
        <f>(AV100+AW100)/2</f>
        <v>58.629999999999995</v>
      </c>
      <c r="AY100">
        <v>7.76</v>
      </c>
      <c r="AZ100">
        <v>58.63</v>
      </c>
      <c r="BA100">
        <v>16.09</v>
      </c>
      <c r="BP100" s="1">
        <f t="shared" ref="BP100:BR109" si="21">(O100+AG100+AY100)/3</f>
        <v>6.6099999999999994</v>
      </c>
      <c r="BQ100" s="1">
        <f t="shared" si="21"/>
        <v>61.926666666666669</v>
      </c>
      <c r="BR100" s="1">
        <f t="shared" si="21"/>
        <v>23.863333333333333</v>
      </c>
    </row>
    <row r="101" spans="1:70" x14ac:dyDescent="0.25">
      <c r="A101" s="1"/>
      <c r="B101">
        <v>86.98</v>
      </c>
      <c r="C101">
        <v>90.52</v>
      </c>
      <c r="D101">
        <v>36.4</v>
      </c>
      <c r="E101">
        <v>46.91</v>
      </c>
      <c r="F101">
        <v>88</v>
      </c>
      <c r="G101">
        <v>36.07</v>
      </c>
      <c r="H101">
        <v>51.16</v>
      </c>
      <c r="I101">
        <v>49.79</v>
      </c>
      <c r="J101">
        <v>62.06</v>
      </c>
      <c r="K101">
        <v>75.38</v>
      </c>
      <c r="L101">
        <v>36.4</v>
      </c>
      <c r="M101">
        <v>87.72</v>
      </c>
      <c r="N101">
        <f t="shared" ref="N101:N109" si="22">(L101+M101)/2</f>
        <v>62.06</v>
      </c>
      <c r="O101">
        <v>51.32</v>
      </c>
      <c r="P101">
        <v>62.06</v>
      </c>
      <c r="Q101">
        <v>26.46</v>
      </c>
      <c r="S101" s="1"/>
      <c r="T101">
        <v>85.23</v>
      </c>
      <c r="U101">
        <v>83.81</v>
      </c>
      <c r="V101">
        <v>54.73</v>
      </c>
      <c r="W101">
        <v>63.06</v>
      </c>
      <c r="X101">
        <v>90.36</v>
      </c>
      <c r="Y101">
        <v>61.48</v>
      </c>
      <c r="Z101">
        <v>73.17</v>
      </c>
      <c r="AA101">
        <v>61.94</v>
      </c>
      <c r="AB101">
        <v>68.239999999999995</v>
      </c>
      <c r="AC101">
        <v>80.819999999999993</v>
      </c>
      <c r="AD101">
        <v>54.73</v>
      </c>
      <c r="AE101">
        <v>81.739999999999995</v>
      </c>
      <c r="AF101">
        <f t="shared" ref="AF101:AF109" si="23">(AD101+AE101)/2</f>
        <v>68.234999999999999</v>
      </c>
      <c r="AG101">
        <v>27.01</v>
      </c>
      <c r="AH101">
        <v>68.239999999999995</v>
      </c>
      <c r="AI101">
        <v>33.450000000000003</v>
      </c>
      <c r="AK101" s="1"/>
      <c r="AL101">
        <v>82.19</v>
      </c>
      <c r="AM101">
        <v>79.37</v>
      </c>
      <c r="AN101">
        <v>23.3</v>
      </c>
      <c r="AO101">
        <v>27.09</v>
      </c>
      <c r="AP101">
        <v>67.739999999999995</v>
      </c>
      <c r="AQ101">
        <v>17.21</v>
      </c>
      <c r="AR101">
        <v>27.45</v>
      </c>
      <c r="AS101">
        <v>36.729999999999997</v>
      </c>
      <c r="AT101">
        <v>55.05</v>
      </c>
      <c r="AU101">
        <v>76.95</v>
      </c>
      <c r="AV101">
        <v>23.3</v>
      </c>
      <c r="AW101">
        <v>86.79</v>
      </c>
      <c r="AX101">
        <f t="shared" ref="AX101:AX109" si="24">(AV101+AW101)/2</f>
        <v>55.045000000000002</v>
      </c>
      <c r="AY101">
        <v>63.49</v>
      </c>
      <c r="AZ101">
        <v>55.05</v>
      </c>
      <c r="BA101">
        <v>9.82</v>
      </c>
      <c r="BP101" s="1">
        <f t="shared" si="21"/>
        <v>47.273333333333333</v>
      </c>
      <c r="BQ101" s="1">
        <f t="shared" si="21"/>
        <v>61.783333333333339</v>
      </c>
      <c r="BR101" s="1">
        <f t="shared" si="21"/>
        <v>23.243333333333336</v>
      </c>
    </row>
    <row r="102" spans="1:70" x14ac:dyDescent="0.25">
      <c r="A102" s="1"/>
      <c r="B102">
        <v>68.290000000000006</v>
      </c>
      <c r="C102">
        <v>68.34</v>
      </c>
      <c r="D102">
        <v>38.15</v>
      </c>
      <c r="E102">
        <v>42.3</v>
      </c>
      <c r="F102">
        <v>70.239999999999995</v>
      </c>
      <c r="G102">
        <v>37.58</v>
      </c>
      <c r="H102">
        <v>48.96</v>
      </c>
      <c r="I102">
        <v>50.1</v>
      </c>
      <c r="J102">
        <v>59.53</v>
      </c>
      <c r="K102">
        <v>69.040000000000006</v>
      </c>
      <c r="L102">
        <v>38.15</v>
      </c>
      <c r="M102">
        <v>80.900000000000006</v>
      </c>
      <c r="N102">
        <f t="shared" si="22"/>
        <v>59.525000000000006</v>
      </c>
      <c r="O102">
        <v>42.75</v>
      </c>
      <c r="P102">
        <v>59.53</v>
      </c>
      <c r="Q102">
        <v>18.53</v>
      </c>
      <c r="S102" s="1"/>
      <c r="T102">
        <v>68.239999999999995</v>
      </c>
      <c r="U102">
        <v>71.42</v>
      </c>
      <c r="V102">
        <v>49.06</v>
      </c>
      <c r="W102">
        <v>56.69</v>
      </c>
      <c r="X102">
        <v>75.89</v>
      </c>
      <c r="Y102">
        <v>54.14</v>
      </c>
      <c r="Z102">
        <v>63.2</v>
      </c>
      <c r="AA102">
        <v>57.19</v>
      </c>
      <c r="AB102">
        <v>59.91</v>
      </c>
      <c r="AC102">
        <v>68.95</v>
      </c>
      <c r="AD102">
        <v>49.06</v>
      </c>
      <c r="AE102">
        <v>70.75</v>
      </c>
      <c r="AF102">
        <f t="shared" si="23"/>
        <v>59.905000000000001</v>
      </c>
      <c r="AG102">
        <v>21.69</v>
      </c>
      <c r="AH102">
        <v>59.91</v>
      </c>
      <c r="AI102">
        <v>20.43</v>
      </c>
      <c r="AK102" s="1"/>
      <c r="AL102">
        <v>65.66</v>
      </c>
      <c r="AM102">
        <v>69.62</v>
      </c>
      <c r="AN102">
        <v>33.270000000000003</v>
      </c>
      <c r="AO102">
        <v>37.17</v>
      </c>
      <c r="AP102">
        <v>65</v>
      </c>
      <c r="AQ102">
        <v>33.119999999999997</v>
      </c>
      <c r="AR102">
        <v>43.88</v>
      </c>
      <c r="AS102">
        <v>45.89</v>
      </c>
      <c r="AT102">
        <v>56.67</v>
      </c>
      <c r="AU102">
        <v>66.75</v>
      </c>
      <c r="AV102">
        <v>33.270000000000003</v>
      </c>
      <c r="AW102">
        <v>80.069999999999993</v>
      </c>
      <c r="AX102">
        <f t="shared" si="24"/>
        <v>56.67</v>
      </c>
      <c r="AY102">
        <v>46.8</v>
      </c>
      <c r="AZ102">
        <v>56.67</v>
      </c>
      <c r="BA102">
        <v>15.05</v>
      </c>
      <c r="BP102" s="1">
        <f t="shared" si="21"/>
        <v>37.08</v>
      </c>
      <c r="BQ102" s="1">
        <f t="shared" si="21"/>
        <v>58.70333333333334</v>
      </c>
      <c r="BR102" s="1">
        <f t="shared" si="21"/>
        <v>18.003333333333334</v>
      </c>
    </row>
    <row r="103" spans="1:70" x14ac:dyDescent="0.25">
      <c r="A103" s="1"/>
      <c r="B103">
        <v>84.02</v>
      </c>
      <c r="C103">
        <v>83.91</v>
      </c>
      <c r="D103">
        <v>43.75</v>
      </c>
      <c r="E103">
        <v>57.42</v>
      </c>
      <c r="F103">
        <v>85.71</v>
      </c>
      <c r="G103">
        <v>44.26</v>
      </c>
      <c r="H103">
        <v>58.38</v>
      </c>
      <c r="I103">
        <v>55.11</v>
      </c>
      <c r="J103">
        <v>64.010000000000005</v>
      </c>
      <c r="K103">
        <v>74.47</v>
      </c>
      <c r="L103">
        <v>43.75</v>
      </c>
      <c r="M103">
        <v>84.27</v>
      </c>
      <c r="N103">
        <f t="shared" si="22"/>
        <v>64.009999999999991</v>
      </c>
      <c r="O103">
        <v>40.51</v>
      </c>
      <c r="P103">
        <v>64.010000000000005</v>
      </c>
      <c r="Q103">
        <v>25.81</v>
      </c>
      <c r="S103" s="1"/>
      <c r="T103">
        <v>84.14</v>
      </c>
      <c r="U103">
        <v>80.37</v>
      </c>
      <c r="V103">
        <v>56.8</v>
      </c>
      <c r="W103">
        <v>65.989999999999995</v>
      </c>
      <c r="X103">
        <v>80.95</v>
      </c>
      <c r="Y103">
        <v>55.74</v>
      </c>
      <c r="Z103">
        <v>66.02</v>
      </c>
      <c r="AA103">
        <v>58.35</v>
      </c>
      <c r="AB103">
        <v>63.46</v>
      </c>
      <c r="AC103">
        <v>73.739999999999995</v>
      </c>
      <c r="AD103">
        <v>56.8</v>
      </c>
      <c r="AE103">
        <v>70.12</v>
      </c>
      <c r="AF103">
        <f t="shared" si="23"/>
        <v>63.46</v>
      </c>
      <c r="AG103">
        <v>13.32</v>
      </c>
      <c r="AH103">
        <v>63.46</v>
      </c>
      <c r="AI103">
        <v>24.58</v>
      </c>
      <c r="AK103" s="1"/>
      <c r="AL103">
        <v>85.29</v>
      </c>
      <c r="AM103">
        <v>81.12</v>
      </c>
      <c r="AN103">
        <v>54.01</v>
      </c>
      <c r="AO103">
        <v>63.61</v>
      </c>
      <c r="AP103">
        <v>81.010000000000005</v>
      </c>
      <c r="AQ103">
        <v>52.46</v>
      </c>
      <c r="AR103">
        <v>63.68</v>
      </c>
      <c r="AS103">
        <v>57.53</v>
      </c>
      <c r="AT103">
        <v>64.55</v>
      </c>
      <c r="AU103">
        <v>73.209999999999994</v>
      </c>
      <c r="AV103">
        <v>54.01</v>
      </c>
      <c r="AW103">
        <v>75.099999999999994</v>
      </c>
      <c r="AX103">
        <f t="shared" si="24"/>
        <v>64.554999999999993</v>
      </c>
      <c r="AY103">
        <v>21.09</v>
      </c>
      <c r="AZ103">
        <v>64.55</v>
      </c>
      <c r="BA103">
        <v>26.11</v>
      </c>
      <c r="BP103" s="1">
        <f t="shared" si="21"/>
        <v>24.973333333333333</v>
      </c>
      <c r="BQ103" s="1">
        <f t="shared" si="21"/>
        <v>64.006666666666661</v>
      </c>
      <c r="BR103" s="1">
        <f t="shared" si="21"/>
        <v>25.5</v>
      </c>
    </row>
    <row r="104" spans="1:70" x14ac:dyDescent="0.25">
      <c r="A104" s="1"/>
      <c r="B104">
        <v>67.95</v>
      </c>
      <c r="C104">
        <v>70.62</v>
      </c>
      <c r="D104">
        <v>46.49</v>
      </c>
      <c r="E104">
        <v>52.87</v>
      </c>
      <c r="F104">
        <v>71.84</v>
      </c>
      <c r="G104">
        <v>47.13</v>
      </c>
      <c r="H104">
        <v>56.92</v>
      </c>
      <c r="I104">
        <v>55.84</v>
      </c>
      <c r="J104">
        <v>62.54</v>
      </c>
      <c r="K104">
        <v>70.069999999999993</v>
      </c>
      <c r="L104">
        <v>46.49</v>
      </c>
      <c r="M104">
        <v>78.59</v>
      </c>
      <c r="N104">
        <f t="shared" si="22"/>
        <v>62.540000000000006</v>
      </c>
      <c r="O104">
        <v>32.090000000000003</v>
      </c>
      <c r="P104">
        <v>62.54</v>
      </c>
      <c r="Q104">
        <v>23.45</v>
      </c>
      <c r="S104" s="1"/>
      <c r="T104">
        <v>69.67</v>
      </c>
      <c r="U104">
        <v>73.25</v>
      </c>
      <c r="V104">
        <v>55.66</v>
      </c>
      <c r="W104">
        <v>60.66</v>
      </c>
      <c r="X104">
        <v>76.319999999999993</v>
      </c>
      <c r="Y104">
        <v>55.41</v>
      </c>
      <c r="Z104">
        <v>64.209999999999994</v>
      </c>
      <c r="AA104">
        <v>61.51</v>
      </c>
      <c r="AB104">
        <v>67.88</v>
      </c>
      <c r="AC104">
        <v>72.91</v>
      </c>
      <c r="AD104">
        <v>55.66</v>
      </c>
      <c r="AE104">
        <v>80.11</v>
      </c>
      <c r="AF104">
        <f t="shared" si="23"/>
        <v>67.884999999999991</v>
      </c>
      <c r="AG104">
        <v>24.45</v>
      </c>
      <c r="AH104">
        <v>67.88</v>
      </c>
      <c r="AI104">
        <v>31.43</v>
      </c>
      <c r="AK104" s="1"/>
      <c r="AL104">
        <v>70.72</v>
      </c>
      <c r="AM104">
        <v>72.150000000000006</v>
      </c>
      <c r="AN104">
        <v>56.16</v>
      </c>
      <c r="AO104">
        <v>61.96</v>
      </c>
      <c r="AP104">
        <v>76.069999999999993</v>
      </c>
      <c r="AQ104">
        <v>56.69</v>
      </c>
      <c r="AR104">
        <v>64.959999999999994</v>
      </c>
      <c r="AS104">
        <v>62.12</v>
      </c>
      <c r="AT104">
        <v>68.239999999999995</v>
      </c>
      <c r="AU104">
        <v>75.47</v>
      </c>
      <c r="AV104">
        <v>56.16</v>
      </c>
      <c r="AW104">
        <v>80.33</v>
      </c>
      <c r="AX104">
        <f t="shared" si="24"/>
        <v>68.245000000000005</v>
      </c>
      <c r="AY104">
        <v>24.18</v>
      </c>
      <c r="AZ104">
        <v>68.239999999999995</v>
      </c>
      <c r="BA104">
        <v>30.88</v>
      </c>
      <c r="BP104" s="1">
        <f t="shared" si="21"/>
        <v>26.906666666666666</v>
      </c>
      <c r="BQ104" s="1">
        <f t="shared" si="21"/>
        <v>66.219999999999985</v>
      </c>
      <c r="BR104" s="1">
        <f t="shared" si="21"/>
        <v>28.586666666666662</v>
      </c>
    </row>
    <row r="105" spans="1:70" x14ac:dyDescent="0.25">
      <c r="A105" s="1"/>
      <c r="B105">
        <v>62.25</v>
      </c>
      <c r="C105">
        <v>59.63</v>
      </c>
      <c r="D105">
        <v>44.47</v>
      </c>
      <c r="E105">
        <v>60.76</v>
      </c>
      <c r="F105">
        <v>68.13</v>
      </c>
      <c r="G105">
        <v>50.82</v>
      </c>
      <c r="H105">
        <v>58.22</v>
      </c>
      <c r="I105">
        <v>58.15</v>
      </c>
      <c r="J105">
        <v>60.17</v>
      </c>
      <c r="K105">
        <v>64.95</v>
      </c>
      <c r="L105">
        <v>44.47</v>
      </c>
      <c r="M105">
        <v>75.87</v>
      </c>
      <c r="N105">
        <f t="shared" si="22"/>
        <v>60.17</v>
      </c>
      <c r="O105">
        <v>31.4</v>
      </c>
      <c r="P105">
        <v>60.17</v>
      </c>
      <c r="Q105">
        <v>20.66</v>
      </c>
      <c r="S105" s="1"/>
      <c r="T105">
        <v>60.65</v>
      </c>
      <c r="U105">
        <v>61.34</v>
      </c>
      <c r="V105">
        <v>51.86</v>
      </c>
      <c r="W105">
        <v>66.91</v>
      </c>
      <c r="X105">
        <v>67.27</v>
      </c>
      <c r="Y105">
        <v>60.66</v>
      </c>
      <c r="Z105">
        <v>63.79</v>
      </c>
      <c r="AA105">
        <v>61.49</v>
      </c>
      <c r="AB105">
        <v>61.82</v>
      </c>
      <c r="AC105">
        <v>67.900000000000006</v>
      </c>
      <c r="AD105">
        <v>51.86</v>
      </c>
      <c r="AE105">
        <v>71.78</v>
      </c>
      <c r="AF105">
        <f t="shared" si="23"/>
        <v>61.82</v>
      </c>
      <c r="AG105">
        <v>19.920000000000002</v>
      </c>
      <c r="AH105">
        <v>61.82</v>
      </c>
      <c r="AI105">
        <v>25.04</v>
      </c>
      <c r="AK105" s="1"/>
      <c r="AL105">
        <v>58.93</v>
      </c>
      <c r="AM105">
        <v>54.15</v>
      </c>
      <c r="AN105">
        <v>42.69</v>
      </c>
      <c r="AO105">
        <v>57.71</v>
      </c>
      <c r="AP105">
        <v>58.59</v>
      </c>
      <c r="AQ105">
        <v>47.54</v>
      </c>
      <c r="AR105">
        <v>52.49</v>
      </c>
      <c r="AS105">
        <v>53.68</v>
      </c>
      <c r="AT105">
        <v>55.85</v>
      </c>
      <c r="AU105">
        <v>62.53</v>
      </c>
      <c r="AV105">
        <v>42.69</v>
      </c>
      <c r="AW105">
        <v>69.02</v>
      </c>
      <c r="AX105">
        <f t="shared" si="24"/>
        <v>55.854999999999997</v>
      </c>
      <c r="AY105">
        <v>26.33</v>
      </c>
      <c r="AZ105">
        <v>55.85</v>
      </c>
      <c r="BA105">
        <v>11.44</v>
      </c>
      <c r="BP105" s="1">
        <f t="shared" si="21"/>
        <v>25.883333333333336</v>
      </c>
      <c r="BQ105" s="1">
        <f t="shared" si="21"/>
        <v>59.28</v>
      </c>
      <c r="BR105" s="1">
        <f t="shared" si="21"/>
        <v>19.046666666666667</v>
      </c>
    </row>
    <row r="106" spans="1:70" x14ac:dyDescent="0.25">
      <c r="A106" s="1"/>
      <c r="B106">
        <v>90.11</v>
      </c>
      <c r="C106">
        <v>89.35</v>
      </c>
      <c r="D106">
        <v>73.84</v>
      </c>
      <c r="E106">
        <v>79.92</v>
      </c>
      <c r="F106">
        <v>89.69</v>
      </c>
      <c r="G106">
        <v>71.31</v>
      </c>
      <c r="H106">
        <v>79.45</v>
      </c>
      <c r="I106">
        <v>72.180000000000007</v>
      </c>
      <c r="J106">
        <v>78.55</v>
      </c>
      <c r="K106">
        <v>85.15</v>
      </c>
      <c r="L106">
        <v>73.84</v>
      </c>
      <c r="M106">
        <v>83.26</v>
      </c>
      <c r="N106">
        <f t="shared" si="22"/>
        <v>78.550000000000011</v>
      </c>
      <c r="O106">
        <v>9.42</v>
      </c>
      <c r="P106">
        <v>78.55</v>
      </c>
      <c r="Q106">
        <v>50.86</v>
      </c>
      <c r="S106" s="1"/>
      <c r="T106">
        <v>84.7</v>
      </c>
      <c r="U106">
        <v>80.84</v>
      </c>
      <c r="V106">
        <v>64.58</v>
      </c>
      <c r="W106">
        <v>70.3</v>
      </c>
      <c r="X106">
        <v>80.849999999999994</v>
      </c>
      <c r="Y106">
        <v>62.3</v>
      </c>
      <c r="Z106">
        <v>70.37</v>
      </c>
      <c r="AA106">
        <v>61.78</v>
      </c>
      <c r="AB106">
        <v>67.33</v>
      </c>
      <c r="AC106">
        <v>75.180000000000007</v>
      </c>
      <c r="AD106">
        <v>64.58</v>
      </c>
      <c r="AE106">
        <v>70.09</v>
      </c>
      <c r="AF106">
        <f t="shared" si="23"/>
        <v>67.335000000000008</v>
      </c>
      <c r="AG106">
        <v>5.51</v>
      </c>
      <c r="AH106">
        <v>67.33</v>
      </c>
      <c r="AI106">
        <v>31.11</v>
      </c>
      <c r="AK106" s="1"/>
      <c r="AL106">
        <v>87.79</v>
      </c>
      <c r="AM106">
        <v>84.91</v>
      </c>
      <c r="AN106">
        <v>67.180000000000007</v>
      </c>
      <c r="AO106">
        <v>74.69</v>
      </c>
      <c r="AP106">
        <v>86.32</v>
      </c>
      <c r="AQ106">
        <v>67.209999999999994</v>
      </c>
      <c r="AR106">
        <v>75.58</v>
      </c>
      <c r="AS106">
        <v>67.12</v>
      </c>
      <c r="AT106">
        <v>72.040000000000006</v>
      </c>
      <c r="AU106">
        <v>79.05</v>
      </c>
      <c r="AV106">
        <v>67.180000000000007</v>
      </c>
      <c r="AW106">
        <v>76.900000000000006</v>
      </c>
      <c r="AX106">
        <f t="shared" si="24"/>
        <v>72.040000000000006</v>
      </c>
      <c r="AY106">
        <v>9.7200000000000006</v>
      </c>
      <c r="AZ106">
        <v>72.040000000000006</v>
      </c>
      <c r="BA106">
        <v>39.4</v>
      </c>
      <c r="BP106" s="1">
        <f t="shared" si="21"/>
        <v>8.2166666666666668</v>
      </c>
      <c r="BQ106" s="1">
        <f t="shared" si="21"/>
        <v>72.64</v>
      </c>
      <c r="BR106" s="1">
        <f t="shared" si="21"/>
        <v>40.456666666666671</v>
      </c>
    </row>
    <row r="107" spans="1:70" x14ac:dyDescent="0.25">
      <c r="A107" s="1"/>
      <c r="B107">
        <v>67.180000000000007</v>
      </c>
      <c r="C107">
        <v>69.62</v>
      </c>
      <c r="D107">
        <v>55.71</v>
      </c>
      <c r="E107">
        <v>59.23</v>
      </c>
      <c r="F107">
        <v>72.87</v>
      </c>
      <c r="G107">
        <v>59.87</v>
      </c>
      <c r="H107">
        <v>65.73</v>
      </c>
      <c r="I107">
        <v>60.57</v>
      </c>
      <c r="J107">
        <v>66.489999999999995</v>
      </c>
      <c r="K107">
        <v>74.09</v>
      </c>
      <c r="L107">
        <v>55.71</v>
      </c>
      <c r="M107">
        <v>77.27</v>
      </c>
      <c r="N107">
        <f t="shared" si="22"/>
        <v>66.489999999999995</v>
      </c>
      <c r="O107">
        <v>21.56</v>
      </c>
      <c r="P107">
        <v>66.489999999999995</v>
      </c>
      <c r="Q107">
        <v>29.36</v>
      </c>
      <c r="S107" s="1"/>
      <c r="T107">
        <v>67.03</v>
      </c>
      <c r="U107">
        <v>71.2</v>
      </c>
      <c r="V107">
        <v>53.59</v>
      </c>
      <c r="W107">
        <v>59.12</v>
      </c>
      <c r="X107">
        <v>74.14</v>
      </c>
      <c r="Y107">
        <v>54.78</v>
      </c>
      <c r="Z107">
        <v>63</v>
      </c>
      <c r="AA107">
        <v>60</v>
      </c>
      <c r="AB107">
        <v>65.5</v>
      </c>
      <c r="AC107">
        <v>71.849999999999994</v>
      </c>
      <c r="AD107">
        <v>53.59</v>
      </c>
      <c r="AE107">
        <v>77.400000000000006</v>
      </c>
      <c r="AF107">
        <f t="shared" si="23"/>
        <v>65.495000000000005</v>
      </c>
      <c r="AG107">
        <v>23.81</v>
      </c>
      <c r="AH107">
        <v>65.5</v>
      </c>
      <c r="AI107">
        <v>27.71</v>
      </c>
      <c r="AK107" s="1"/>
      <c r="AL107">
        <v>70.77</v>
      </c>
      <c r="AM107">
        <v>71.11</v>
      </c>
      <c r="AN107">
        <v>59.68</v>
      </c>
      <c r="AO107">
        <v>64.260000000000005</v>
      </c>
      <c r="AP107">
        <v>75.97</v>
      </c>
      <c r="AQ107">
        <v>62.42</v>
      </c>
      <c r="AR107">
        <v>68.53</v>
      </c>
      <c r="AS107">
        <v>63.26</v>
      </c>
      <c r="AT107">
        <v>67.989999999999995</v>
      </c>
      <c r="AU107">
        <v>74.23</v>
      </c>
      <c r="AV107">
        <v>59.68</v>
      </c>
      <c r="AW107">
        <v>76.3</v>
      </c>
      <c r="AX107">
        <f t="shared" si="24"/>
        <v>67.989999999999995</v>
      </c>
      <c r="AY107">
        <v>16.62</v>
      </c>
      <c r="AZ107">
        <v>67.989999999999995</v>
      </c>
      <c r="BA107">
        <v>31.06</v>
      </c>
      <c r="BP107" s="1">
        <f t="shared" si="21"/>
        <v>20.66333333333333</v>
      </c>
      <c r="BQ107" s="1">
        <f t="shared" si="21"/>
        <v>66.660000000000011</v>
      </c>
      <c r="BR107" s="1">
        <f t="shared" si="21"/>
        <v>29.376666666666665</v>
      </c>
    </row>
    <row r="108" spans="1:70" x14ac:dyDescent="0.25">
      <c r="A108" s="1"/>
      <c r="B108">
        <v>66.08</v>
      </c>
      <c r="C108">
        <v>64.09</v>
      </c>
      <c r="D108">
        <v>53.45</v>
      </c>
      <c r="E108">
        <v>79.180000000000007</v>
      </c>
      <c r="F108">
        <v>72.64</v>
      </c>
      <c r="G108">
        <v>63.11</v>
      </c>
      <c r="H108">
        <v>67.540000000000006</v>
      </c>
      <c r="I108">
        <v>63.22</v>
      </c>
      <c r="J108">
        <v>64.23</v>
      </c>
      <c r="K108">
        <v>70.84</v>
      </c>
      <c r="L108">
        <v>53.45</v>
      </c>
      <c r="M108">
        <v>75</v>
      </c>
      <c r="N108">
        <f t="shared" si="22"/>
        <v>64.224999999999994</v>
      </c>
      <c r="O108">
        <v>21.55</v>
      </c>
      <c r="P108">
        <v>64.23</v>
      </c>
      <c r="Q108">
        <v>29.47</v>
      </c>
      <c r="S108" s="1"/>
      <c r="T108">
        <v>63.89</v>
      </c>
      <c r="U108">
        <v>56.91</v>
      </c>
      <c r="V108">
        <v>47.61</v>
      </c>
      <c r="W108">
        <v>62.6</v>
      </c>
      <c r="X108">
        <v>63.89</v>
      </c>
      <c r="Y108">
        <v>56.56</v>
      </c>
      <c r="Z108">
        <v>60</v>
      </c>
      <c r="AA108">
        <v>57.75</v>
      </c>
      <c r="AB108">
        <v>58.77</v>
      </c>
      <c r="AC108">
        <v>66.88</v>
      </c>
      <c r="AD108">
        <v>47.61</v>
      </c>
      <c r="AE108">
        <v>69.92</v>
      </c>
      <c r="AF108">
        <f t="shared" si="23"/>
        <v>58.765000000000001</v>
      </c>
      <c r="AG108">
        <v>22.31</v>
      </c>
      <c r="AH108">
        <v>58.77</v>
      </c>
      <c r="AI108">
        <v>17.47</v>
      </c>
      <c r="AK108" s="1"/>
      <c r="AL108">
        <v>63.44</v>
      </c>
      <c r="AM108">
        <v>62.48</v>
      </c>
      <c r="AN108">
        <v>50.59</v>
      </c>
      <c r="AO108">
        <v>66.41</v>
      </c>
      <c r="AP108">
        <v>72.16</v>
      </c>
      <c r="AQ108">
        <v>57.38</v>
      </c>
      <c r="AR108">
        <v>63.93</v>
      </c>
      <c r="AS108">
        <v>61.26</v>
      </c>
      <c r="AT108">
        <v>62.26</v>
      </c>
      <c r="AU108">
        <v>66.52</v>
      </c>
      <c r="AV108">
        <v>50.59</v>
      </c>
      <c r="AW108">
        <v>73.930000000000007</v>
      </c>
      <c r="AX108">
        <f t="shared" si="24"/>
        <v>62.260000000000005</v>
      </c>
      <c r="AY108">
        <v>23.34</v>
      </c>
      <c r="AZ108">
        <v>62.26</v>
      </c>
      <c r="BA108">
        <v>24.64</v>
      </c>
      <c r="BP108" s="1">
        <f t="shared" si="21"/>
        <v>22.400000000000002</v>
      </c>
      <c r="BQ108" s="1">
        <f t="shared" si="21"/>
        <v>61.75333333333333</v>
      </c>
      <c r="BR108" s="1">
        <f t="shared" si="21"/>
        <v>23.86</v>
      </c>
    </row>
    <row r="109" spans="1:70" x14ac:dyDescent="0.25">
      <c r="A109" s="1"/>
      <c r="B109">
        <v>68.319999999999993</v>
      </c>
      <c r="C109">
        <v>64.55</v>
      </c>
      <c r="D109">
        <v>61.09</v>
      </c>
      <c r="E109">
        <v>60.27</v>
      </c>
      <c r="F109">
        <v>64.34</v>
      </c>
      <c r="G109">
        <v>62.06</v>
      </c>
      <c r="H109">
        <v>63.18</v>
      </c>
      <c r="I109">
        <v>61.06</v>
      </c>
      <c r="J109">
        <v>63.23</v>
      </c>
      <c r="K109">
        <v>71.41</v>
      </c>
      <c r="L109">
        <v>61.09</v>
      </c>
      <c r="M109">
        <v>65.38</v>
      </c>
      <c r="N109">
        <f t="shared" si="22"/>
        <v>63.234999999999999</v>
      </c>
      <c r="O109">
        <v>4.3</v>
      </c>
      <c r="P109">
        <v>63.23</v>
      </c>
      <c r="Q109">
        <v>26.46</v>
      </c>
      <c r="S109" s="1"/>
      <c r="T109">
        <v>73.3</v>
      </c>
      <c r="U109">
        <v>66.02</v>
      </c>
      <c r="V109">
        <v>60.71</v>
      </c>
      <c r="W109">
        <v>61.58</v>
      </c>
      <c r="X109">
        <v>67.37</v>
      </c>
      <c r="Y109">
        <v>62.85</v>
      </c>
      <c r="Z109">
        <v>65.03</v>
      </c>
      <c r="AA109">
        <v>62.35</v>
      </c>
      <c r="AB109">
        <v>64.16</v>
      </c>
      <c r="AC109">
        <v>73.73</v>
      </c>
      <c r="AD109">
        <v>60.71</v>
      </c>
      <c r="AE109">
        <v>67.62</v>
      </c>
      <c r="AF109">
        <f t="shared" si="23"/>
        <v>64.165000000000006</v>
      </c>
      <c r="AG109">
        <v>6.91</v>
      </c>
      <c r="AH109">
        <v>64.16</v>
      </c>
      <c r="AI109">
        <v>28.33</v>
      </c>
      <c r="AK109" s="1"/>
      <c r="AL109">
        <v>67.75</v>
      </c>
      <c r="AM109">
        <v>64.180000000000007</v>
      </c>
      <c r="AN109">
        <v>59.74</v>
      </c>
      <c r="AO109">
        <v>61.14</v>
      </c>
      <c r="AP109">
        <v>68.8</v>
      </c>
      <c r="AQ109">
        <v>63.64</v>
      </c>
      <c r="AR109">
        <v>66.12</v>
      </c>
      <c r="AS109">
        <v>64.099999999999994</v>
      </c>
      <c r="AT109">
        <v>65.08</v>
      </c>
      <c r="AU109">
        <v>71.05</v>
      </c>
      <c r="AV109">
        <v>59.74</v>
      </c>
      <c r="AW109">
        <v>70.42</v>
      </c>
      <c r="AX109">
        <f t="shared" si="24"/>
        <v>65.08</v>
      </c>
      <c r="AY109">
        <v>10.69</v>
      </c>
      <c r="AZ109">
        <v>65.08</v>
      </c>
      <c r="BA109">
        <v>29.84</v>
      </c>
      <c r="BP109" s="1">
        <f t="shared" si="21"/>
        <v>7.3</v>
      </c>
      <c r="BQ109" s="1">
        <f t="shared" si="21"/>
        <v>64.156666666666652</v>
      </c>
      <c r="BR109" s="1">
        <f t="shared" si="21"/>
        <v>28.209999999999997</v>
      </c>
    </row>
    <row r="110" spans="1:70" x14ac:dyDescent="0.25">
      <c r="B110" s="2">
        <f>AVERAGE(B100:B109)</f>
        <v>73.785000000000011</v>
      </c>
      <c r="C110" s="2">
        <f t="shared" ref="C110:BA110" si="25">AVERAGE(C100:C109)</f>
        <v>73.741</v>
      </c>
      <c r="D110" s="2">
        <f t="shared" si="25"/>
        <v>51.506000000000007</v>
      </c>
      <c r="E110" s="2">
        <f t="shared" si="25"/>
        <v>60.274999999999999</v>
      </c>
      <c r="F110" s="2">
        <f t="shared" si="25"/>
        <v>75.894999999999996</v>
      </c>
      <c r="G110" s="2">
        <f t="shared" si="25"/>
        <v>53.531999999999996</v>
      </c>
      <c r="H110" s="2">
        <f t="shared" si="25"/>
        <v>61.828999999999994</v>
      </c>
      <c r="I110" s="2">
        <f t="shared" si="25"/>
        <v>58.260999999999989</v>
      </c>
      <c r="J110" s="2">
        <f t="shared" si="25"/>
        <v>64.282000000000011</v>
      </c>
      <c r="K110" s="2">
        <f t="shared" si="25"/>
        <v>72.230999999999995</v>
      </c>
      <c r="L110" s="2">
        <f t="shared" si="25"/>
        <v>51.506000000000007</v>
      </c>
      <c r="M110" s="2">
        <f t="shared" si="25"/>
        <v>77.057999999999993</v>
      </c>
      <c r="N110" s="2">
        <f t="shared" si="25"/>
        <v>64.282000000000011</v>
      </c>
      <c r="O110" s="2">
        <f t="shared" si="25"/>
        <v>25.550000000000004</v>
      </c>
      <c r="P110" s="2">
        <f t="shared" si="25"/>
        <v>64.282000000000011</v>
      </c>
      <c r="Q110" s="2">
        <f t="shared" si="25"/>
        <v>27.828000000000003</v>
      </c>
      <c r="R110" s="2"/>
      <c r="S110" s="2"/>
      <c r="T110" s="2">
        <f t="shared" si="25"/>
        <v>73.571999999999989</v>
      </c>
      <c r="U110" s="2">
        <f t="shared" si="25"/>
        <v>72.301000000000002</v>
      </c>
      <c r="V110" s="2">
        <f t="shared" si="25"/>
        <v>56.547000000000004</v>
      </c>
      <c r="W110" s="2">
        <f t="shared" si="25"/>
        <v>64.088999999999999</v>
      </c>
      <c r="X110" s="2">
        <f t="shared" si="25"/>
        <v>75.703999999999994</v>
      </c>
      <c r="Y110" s="2">
        <f t="shared" si="25"/>
        <v>59.605000000000004</v>
      </c>
      <c r="Z110" s="2">
        <f t="shared" si="25"/>
        <v>66.465000000000003</v>
      </c>
      <c r="AA110" s="2">
        <f t="shared" si="25"/>
        <v>60.571000000000005</v>
      </c>
      <c r="AB110" s="2">
        <f t="shared" si="25"/>
        <v>64.220999999999989</v>
      </c>
      <c r="AC110" s="2">
        <f t="shared" si="25"/>
        <v>72.27</v>
      </c>
      <c r="AD110" s="2">
        <f t="shared" si="25"/>
        <v>56.547000000000004</v>
      </c>
      <c r="AE110" s="2">
        <f t="shared" si="25"/>
        <v>71.893000000000001</v>
      </c>
      <c r="AF110" s="2">
        <f t="shared" si="25"/>
        <v>64.22</v>
      </c>
      <c r="AG110" s="2">
        <f t="shared" si="25"/>
        <v>17.64</v>
      </c>
      <c r="AH110" s="2">
        <f t="shared" si="25"/>
        <v>64.220999999999989</v>
      </c>
      <c r="AI110" s="2">
        <f t="shared" si="25"/>
        <v>26.782999999999998</v>
      </c>
      <c r="AJ110" s="2"/>
      <c r="AK110" s="2"/>
      <c r="AL110" s="2">
        <f t="shared" si="25"/>
        <v>72.75</v>
      </c>
      <c r="AM110" s="2">
        <f t="shared" si="25"/>
        <v>70.663000000000011</v>
      </c>
      <c r="AN110" s="2">
        <f t="shared" si="25"/>
        <v>50.137</v>
      </c>
      <c r="AO110" s="2">
        <f t="shared" si="25"/>
        <v>56.48</v>
      </c>
      <c r="AP110" s="2">
        <f t="shared" si="25"/>
        <v>71.832999999999998</v>
      </c>
      <c r="AQ110" s="2">
        <f t="shared" si="25"/>
        <v>50.521000000000001</v>
      </c>
      <c r="AR110" s="2">
        <f t="shared" si="25"/>
        <v>58.212000000000003</v>
      </c>
      <c r="AS110" s="2">
        <f t="shared" si="25"/>
        <v>55.714999999999996</v>
      </c>
      <c r="AT110" s="2">
        <f t="shared" si="25"/>
        <v>62.63600000000001</v>
      </c>
      <c r="AU110" s="2">
        <f t="shared" si="25"/>
        <v>70.691999999999979</v>
      </c>
      <c r="AV110" s="2">
        <f t="shared" si="25"/>
        <v>50.137</v>
      </c>
      <c r="AW110" s="2">
        <f t="shared" si="25"/>
        <v>75.137</v>
      </c>
      <c r="AX110" s="2">
        <f t="shared" si="25"/>
        <v>62.637000000000015</v>
      </c>
      <c r="AY110" s="2">
        <f t="shared" si="25"/>
        <v>25.001999999999999</v>
      </c>
      <c r="AZ110" s="2">
        <f t="shared" si="25"/>
        <v>62.63600000000001</v>
      </c>
      <c r="BA110" s="2">
        <f t="shared" si="25"/>
        <v>23.433</v>
      </c>
      <c r="BP110" s="2">
        <f t="shared" ref="BP110:BR110" si="26">AVERAGE(BP100:BP109)</f>
        <v>22.730666666666668</v>
      </c>
      <c r="BQ110" s="2">
        <f t="shared" si="26"/>
        <v>63.713000000000001</v>
      </c>
      <c r="BR110" s="2">
        <f t="shared" si="26"/>
        <v>26.014666666666663</v>
      </c>
    </row>
    <row r="113" spans="1:70" x14ac:dyDescent="0.25">
      <c r="A113" s="1" t="s">
        <v>24</v>
      </c>
      <c r="B113">
        <v>81.16</v>
      </c>
      <c r="C113">
        <v>78.260000000000005</v>
      </c>
      <c r="D113">
        <v>50.78</v>
      </c>
      <c r="E113">
        <v>61.51</v>
      </c>
      <c r="F113">
        <v>81.010000000000005</v>
      </c>
      <c r="G113">
        <v>52.46</v>
      </c>
      <c r="H113">
        <v>63.68</v>
      </c>
      <c r="I113">
        <v>56.4</v>
      </c>
      <c r="J113">
        <v>62.73</v>
      </c>
      <c r="K113">
        <v>68.819999999999993</v>
      </c>
      <c r="L113">
        <v>50.78</v>
      </c>
      <c r="M113">
        <v>74.67</v>
      </c>
      <c r="N113">
        <f t="shared" si="14"/>
        <v>62.725000000000001</v>
      </c>
      <c r="O113">
        <v>23.89</v>
      </c>
      <c r="P113">
        <v>62.73</v>
      </c>
      <c r="Q113">
        <v>21.85</v>
      </c>
      <c r="S113" s="1" t="s">
        <v>24</v>
      </c>
      <c r="T113">
        <v>74.69</v>
      </c>
      <c r="U113">
        <v>69.73</v>
      </c>
      <c r="V113">
        <v>53.84</v>
      </c>
      <c r="W113">
        <v>60.11</v>
      </c>
      <c r="X113">
        <v>70.97</v>
      </c>
      <c r="Y113">
        <v>54.1</v>
      </c>
      <c r="Z113">
        <v>61.4</v>
      </c>
      <c r="AA113">
        <v>49.98</v>
      </c>
      <c r="AB113">
        <v>52.43</v>
      </c>
      <c r="AC113">
        <v>57.67</v>
      </c>
      <c r="AD113">
        <v>53.84</v>
      </c>
      <c r="AE113">
        <v>51.03</v>
      </c>
      <c r="AF113">
        <f t="shared" si="15"/>
        <v>52.435000000000002</v>
      </c>
      <c r="AG113">
        <v>2.81</v>
      </c>
      <c r="AH113">
        <v>52.43</v>
      </c>
      <c r="AI113">
        <v>4.75</v>
      </c>
      <c r="AK113" s="1" t="s">
        <v>24</v>
      </c>
      <c r="AL113">
        <v>78.69</v>
      </c>
      <c r="AM113">
        <v>78.88</v>
      </c>
      <c r="AN113">
        <v>60.14</v>
      </c>
      <c r="AO113">
        <v>67.34</v>
      </c>
      <c r="AP113">
        <v>79.12</v>
      </c>
      <c r="AQ113">
        <v>59.02</v>
      </c>
      <c r="AR113">
        <v>67.61</v>
      </c>
      <c r="AS113">
        <v>58.65</v>
      </c>
      <c r="AT113">
        <v>63.61</v>
      </c>
      <c r="AU113">
        <v>65.98</v>
      </c>
      <c r="AV113">
        <v>60.14</v>
      </c>
      <c r="AW113">
        <v>67.09</v>
      </c>
      <c r="AX113">
        <f t="shared" si="16"/>
        <v>63.615000000000002</v>
      </c>
      <c r="AY113">
        <v>6.96</v>
      </c>
      <c r="AZ113">
        <v>63.61</v>
      </c>
      <c r="BA113">
        <v>24.31</v>
      </c>
      <c r="BP113" s="1">
        <f t="shared" ref="BP113:BR122" si="27">(O113+AG113+AY113)/3</f>
        <v>11.219999999999999</v>
      </c>
      <c r="BQ113" s="1">
        <f t="shared" si="27"/>
        <v>59.589999999999996</v>
      </c>
      <c r="BR113" s="1">
        <f t="shared" si="27"/>
        <v>16.97</v>
      </c>
    </row>
    <row r="114" spans="1:70" x14ac:dyDescent="0.25">
      <c r="A114" s="1"/>
      <c r="B114">
        <v>83.5</v>
      </c>
      <c r="C114">
        <v>89.49</v>
      </c>
      <c r="D114">
        <v>34.32</v>
      </c>
      <c r="E114">
        <v>49.45</v>
      </c>
      <c r="F114">
        <v>91.3</v>
      </c>
      <c r="G114">
        <v>34.43</v>
      </c>
      <c r="H114">
        <v>50</v>
      </c>
      <c r="I114">
        <v>51.35</v>
      </c>
      <c r="J114">
        <v>63.37</v>
      </c>
      <c r="K114">
        <v>70.41</v>
      </c>
      <c r="L114">
        <v>34.32</v>
      </c>
      <c r="M114">
        <v>92.42</v>
      </c>
      <c r="N114">
        <f t="shared" si="14"/>
        <v>63.370000000000005</v>
      </c>
      <c r="O114">
        <v>58.1</v>
      </c>
      <c r="P114">
        <v>63.37</v>
      </c>
      <c r="Q114">
        <v>27.29</v>
      </c>
      <c r="S114" s="1"/>
      <c r="T114">
        <v>78.680000000000007</v>
      </c>
      <c r="U114">
        <v>78.89</v>
      </c>
      <c r="V114">
        <v>33.15</v>
      </c>
      <c r="W114">
        <v>45.02</v>
      </c>
      <c r="X114">
        <v>80.849999999999994</v>
      </c>
      <c r="Y114">
        <v>31.15</v>
      </c>
      <c r="Z114">
        <v>44.97</v>
      </c>
      <c r="AA114">
        <v>47.37</v>
      </c>
      <c r="AB114">
        <v>59.38</v>
      </c>
      <c r="AC114">
        <v>61.92</v>
      </c>
      <c r="AD114">
        <v>33.15</v>
      </c>
      <c r="AE114">
        <v>85.61</v>
      </c>
      <c r="AF114">
        <f t="shared" si="15"/>
        <v>59.379999999999995</v>
      </c>
      <c r="AG114">
        <v>52.45</v>
      </c>
      <c r="AH114">
        <v>59.38</v>
      </c>
      <c r="AI114">
        <v>17.71</v>
      </c>
      <c r="AK114" s="1"/>
      <c r="AL114">
        <v>76.63</v>
      </c>
      <c r="AM114">
        <v>75.31</v>
      </c>
      <c r="AN114">
        <v>23.77</v>
      </c>
      <c r="AO114">
        <v>35.85</v>
      </c>
      <c r="AP114">
        <v>78.95</v>
      </c>
      <c r="AQ114">
        <v>24.59</v>
      </c>
      <c r="AR114">
        <v>37.5</v>
      </c>
      <c r="AS114">
        <v>41.77</v>
      </c>
      <c r="AT114">
        <v>55.3</v>
      </c>
      <c r="AU114">
        <v>66.78</v>
      </c>
      <c r="AV114">
        <v>23.77</v>
      </c>
      <c r="AW114">
        <v>86.83</v>
      </c>
      <c r="AX114">
        <f t="shared" si="16"/>
        <v>55.3</v>
      </c>
      <c r="AY114">
        <v>63.06</v>
      </c>
      <c r="AZ114">
        <v>55.3</v>
      </c>
      <c r="BA114">
        <v>10.25</v>
      </c>
      <c r="BP114" s="1">
        <f t="shared" si="27"/>
        <v>57.870000000000005</v>
      </c>
      <c r="BQ114" s="1">
        <f t="shared" si="27"/>
        <v>59.35</v>
      </c>
      <c r="BR114" s="1">
        <f t="shared" si="27"/>
        <v>18.416666666666668</v>
      </c>
    </row>
    <row r="115" spans="1:70" x14ac:dyDescent="0.25">
      <c r="A115" s="1"/>
      <c r="B115">
        <v>63.15</v>
      </c>
      <c r="C115">
        <v>65.13</v>
      </c>
      <c r="D115">
        <v>42.26</v>
      </c>
      <c r="E115">
        <v>45.79</v>
      </c>
      <c r="F115">
        <v>64.89</v>
      </c>
      <c r="G115">
        <v>38.85</v>
      </c>
      <c r="H115">
        <v>48.61</v>
      </c>
      <c r="I115">
        <v>50.38</v>
      </c>
      <c r="J115">
        <v>58.32</v>
      </c>
      <c r="K115">
        <v>60.5</v>
      </c>
      <c r="L115">
        <v>42.26</v>
      </c>
      <c r="M115">
        <v>74.37</v>
      </c>
      <c r="N115">
        <f t="shared" si="14"/>
        <v>58.314999999999998</v>
      </c>
      <c r="O115">
        <v>32.11</v>
      </c>
      <c r="P115">
        <v>58.32</v>
      </c>
      <c r="Q115">
        <v>15.19</v>
      </c>
      <c r="S115" s="1"/>
      <c r="T115">
        <v>62.85</v>
      </c>
      <c r="U115">
        <v>60.9</v>
      </c>
      <c r="V115">
        <v>24.83</v>
      </c>
      <c r="W115">
        <v>33.89</v>
      </c>
      <c r="X115">
        <v>64.52</v>
      </c>
      <c r="Y115">
        <v>25.48</v>
      </c>
      <c r="Z115">
        <v>36.53</v>
      </c>
      <c r="AA115">
        <v>44.42</v>
      </c>
      <c r="AB115">
        <v>52.7</v>
      </c>
      <c r="AC115">
        <v>59.49</v>
      </c>
      <c r="AD115">
        <v>24.83</v>
      </c>
      <c r="AE115">
        <v>80.569999999999993</v>
      </c>
      <c r="AF115">
        <f t="shared" si="15"/>
        <v>52.699999999999996</v>
      </c>
      <c r="AG115">
        <v>55.74</v>
      </c>
      <c r="AH115">
        <v>52.7</v>
      </c>
      <c r="AI115">
        <v>5.76</v>
      </c>
      <c r="AK115" s="1"/>
      <c r="AL115">
        <v>62.3</v>
      </c>
      <c r="AM115">
        <v>62.45</v>
      </c>
      <c r="AN115">
        <v>28.34</v>
      </c>
      <c r="AO115">
        <v>36.79</v>
      </c>
      <c r="AP115">
        <v>58.75</v>
      </c>
      <c r="AQ115">
        <v>29.94</v>
      </c>
      <c r="AR115">
        <v>39.659999999999997</v>
      </c>
      <c r="AS115">
        <v>44.91</v>
      </c>
      <c r="AT115">
        <v>52.4</v>
      </c>
      <c r="AU115">
        <v>54.4</v>
      </c>
      <c r="AV115">
        <v>28.34</v>
      </c>
      <c r="AW115">
        <v>76.459999999999994</v>
      </c>
      <c r="AX115">
        <f t="shared" si="16"/>
        <v>52.4</v>
      </c>
      <c r="AY115">
        <v>48.12</v>
      </c>
      <c r="AZ115">
        <v>52.4</v>
      </c>
      <c r="BA115">
        <v>6.35</v>
      </c>
      <c r="BP115" s="1">
        <f t="shared" si="27"/>
        <v>45.323333333333331</v>
      </c>
      <c r="BQ115" s="1">
        <f t="shared" si="27"/>
        <v>54.473333333333336</v>
      </c>
      <c r="BR115" s="1">
        <f t="shared" si="27"/>
        <v>9.1</v>
      </c>
    </row>
    <row r="116" spans="1:70" x14ac:dyDescent="0.25">
      <c r="A116" s="1"/>
      <c r="B116">
        <v>79.739999999999995</v>
      </c>
      <c r="C116">
        <v>75.290000000000006</v>
      </c>
      <c r="D116">
        <v>49.6</v>
      </c>
      <c r="E116">
        <v>59.37</v>
      </c>
      <c r="F116">
        <v>75.95</v>
      </c>
      <c r="G116">
        <v>49.18</v>
      </c>
      <c r="H116">
        <v>59.7</v>
      </c>
      <c r="I116">
        <v>52.19</v>
      </c>
      <c r="J116">
        <v>56.58</v>
      </c>
      <c r="K116">
        <v>64.73</v>
      </c>
      <c r="L116">
        <v>49.6</v>
      </c>
      <c r="M116">
        <v>63.56</v>
      </c>
      <c r="N116">
        <f t="shared" si="14"/>
        <v>56.58</v>
      </c>
      <c r="O116">
        <v>13.96</v>
      </c>
      <c r="P116">
        <v>56.58</v>
      </c>
      <c r="Q116">
        <v>12.7</v>
      </c>
      <c r="S116" s="1"/>
      <c r="T116">
        <v>79.77</v>
      </c>
      <c r="U116">
        <v>84.92</v>
      </c>
      <c r="V116">
        <v>27.87</v>
      </c>
      <c r="W116">
        <v>40.86</v>
      </c>
      <c r="X116">
        <v>88.89</v>
      </c>
      <c r="Y116">
        <v>26.23</v>
      </c>
      <c r="Z116">
        <v>40.51</v>
      </c>
      <c r="AA116">
        <v>46.05</v>
      </c>
      <c r="AB116">
        <v>60.15</v>
      </c>
      <c r="AC116">
        <v>63.86</v>
      </c>
      <c r="AD116">
        <v>27.87</v>
      </c>
      <c r="AE116">
        <v>92.42</v>
      </c>
      <c r="AF116">
        <f t="shared" si="15"/>
        <v>60.145000000000003</v>
      </c>
      <c r="AG116">
        <v>64.55</v>
      </c>
      <c r="AH116">
        <v>60.15</v>
      </c>
      <c r="AI116">
        <v>21.27</v>
      </c>
      <c r="AK116" s="1"/>
      <c r="AL116">
        <v>79.319999999999993</v>
      </c>
      <c r="AM116">
        <v>81.510000000000005</v>
      </c>
      <c r="AN116">
        <v>34.15</v>
      </c>
      <c r="AO116">
        <v>47.25</v>
      </c>
      <c r="AP116">
        <v>82</v>
      </c>
      <c r="AQ116">
        <v>33.61</v>
      </c>
      <c r="AR116">
        <v>47.67</v>
      </c>
      <c r="AS116">
        <v>48.8</v>
      </c>
      <c r="AT116">
        <v>60.76</v>
      </c>
      <c r="AU116">
        <v>68.38</v>
      </c>
      <c r="AV116">
        <v>34.15</v>
      </c>
      <c r="AW116">
        <v>87.37</v>
      </c>
      <c r="AX116">
        <f t="shared" si="16"/>
        <v>60.760000000000005</v>
      </c>
      <c r="AY116">
        <v>53.22</v>
      </c>
      <c r="AZ116">
        <v>60.76</v>
      </c>
      <c r="BA116">
        <v>20.38</v>
      </c>
      <c r="BP116" s="1">
        <f t="shared" si="27"/>
        <v>43.91</v>
      </c>
      <c r="BQ116" s="1">
        <f t="shared" si="27"/>
        <v>59.163333333333327</v>
      </c>
      <c r="BR116" s="1">
        <f t="shared" si="27"/>
        <v>18.116666666666664</v>
      </c>
    </row>
    <row r="117" spans="1:70" x14ac:dyDescent="0.25">
      <c r="A117" s="1"/>
      <c r="B117">
        <v>58.97</v>
      </c>
      <c r="C117">
        <v>59.13</v>
      </c>
      <c r="D117">
        <v>44.48</v>
      </c>
      <c r="E117">
        <v>46.64</v>
      </c>
      <c r="F117">
        <v>56.67</v>
      </c>
      <c r="G117">
        <v>43.31</v>
      </c>
      <c r="H117">
        <v>49.1</v>
      </c>
      <c r="I117">
        <v>47.43</v>
      </c>
      <c r="J117">
        <v>53.04</v>
      </c>
      <c r="K117">
        <v>58.21</v>
      </c>
      <c r="L117">
        <v>44.48</v>
      </c>
      <c r="M117">
        <v>61.6</v>
      </c>
      <c r="N117">
        <f t="shared" si="14"/>
        <v>53.04</v>
      </c>
      <c r="O117">
        <v>17.12</v>
      </c>
      <c r="P117">
        <v>53.04</v>
      </c>
      <c r="Q117">
        <v>5.46</v>
      </c>
      <c r="S117" s="1"/>
      <c r="T117">
        <v>65.88</v>
      </c>
      <c r="U117">
        <v>70.77</v>
      </c>
      <c r="V117">
        <v>33.520000000000003</v>
      </c>
      <c r="W117">
        <v>43.37</v>
      </c>
      <c r="X117">
        <v>74.63</v>
      </c>
      <c r="Y117">
        <v>31.85</v>
      </c>
      <c r="Z117">
        <v>44.64</v>
      </c>
      <c r="AA117">
        <v>50.99</v>
      </c>
      <c r="AB117">
        <v>58.29</v>
      </c>
      <c r="AC117">
        <v>60.03</v>
      </c>
      <c r="AD117">
        <v>33.520000000000003</v>
      </c>
      <c r="AE117">
        <v>83.07</v>
      </c>
      <c r="AF117">
        <f t="shared" si="15"/>
        <v>58.295000000000002</v>
      </c>
      <c r="AG117">
        <v>49.55</v>
      </c>
      <c r="AH117">
        <v>58.29</v>
      </c>
      <c r="AI117">
        <v>17.920000000000002</v>
      </c>
      <c r="AK117" s="1"/>
      <c r="AL117">
        <v>61.95</v>
      </c>
      <c r="AM117">
        <v>64.510000000000005</v>
      </c>
      <c r="AN117">
        <v>37.36</v>
      </c>
      <c r="AO117">
        <v>42.46</v>
      </c>
      <c r="AP117">
        <v>59.78</v>
      </c>
      <c r="AQ117">
        <v>35.03</v>
      </c>
      <c r="AR117">
        <v>44.18</v>
      </c>
      <c r="AS117">
        <v>47.78</v>
      </c>
      <c r="AT117">
        <v>56.44</v>
      </c>
      <c r="AU117">
        <v>59.79</v>
      </c>
      <c r="AV117">
        <v>37.36</v>
      </c>
      <c r="AW117">
        <v>75.52</v>
      </c>
      <c r="AX117">
        <f t="shared" si="16"/>
        <v>56.44</v>
      </c>
      <c r="AY117">
        <v>38.159999999999997</v>
      </c>
      <c r="AZ117">
        <v>56.44</v>
      </c>
      <c r="BA117">
        <v>11.99</v>
      </c>
      <c r="BP117" s="1">
        <f t="shared" si="27"/>
        <v>34.943333333333335</v>
      </c>
      <c r="BQ117" s="1">
        <f t="shared" si="27"/>
        <v>55.923333333333325</v>
      </c>
      <c r="BR117" s="1">
        <f t="shared" si="27"/>
        <v>11.790000000000001</v>
      </c>
    </row>
    <row r="118" spans="1:70" x14ac:dyDescent="0.25">
      <c r="A118" s="1"/>
      <c r="B118">
        <v>60.42</v>
      </c>
      <c r="C118">
        <v>51.21</v>
      </c>
      <c r="D118">
        <v>53.96</v>
      </c>
      <c r="E118">
        <v>49.46</v>
      </c>
      <c r="F118">
        <v>51.2</v>
      </c>
      <c r="G118">
        <v>52.46</v>
      </c>
      <c r="H118">
        <v>51.82</v>
      </c>
      <c r="I118">
        <v>51.43</v>
      </c>
      <c r="J118">
        <v>54.19</v>
      </c>
      <c r="K118">
        <v>59.12</v>
      </c>
      <c r="L118">
        <v>53.96</v>
      </c>
      <c r="M118">
        <v>54.42</v>
      </c>
      <c r="N118">
        <f t="shared" si="14"/>
        <v>54.19</v>
      </c>
      <c r="O118">
        <v>0.46</v>
      </c>
      <c r="P118">
        <v>54.19</v>
      </c>
      <c r="Q118">
        <v>8.0500000000000007</v>
      </c>
      <c r="S118" s="1"/>
      <c r="T118">
        <v>56.51</v>
      </c>
      <c r="U118">
        <v>57</v>
      </c>
      <c r="V118">
        <v>26.21</v>
      </c>
      <c r="W118">
        <v>33.57</v>
      </c>
      <c r="X118">
        <v>54.55</v>
      </c>
      <c r="Y118">
        <v>24.59</v>
      </c>
      <c r="Z118">
        <v>33.9</v>
      </c>
      <c r="AA118">
        <v>48.31</v>
      </c>
      <c r="AB118">
        <v>54.59</v>
      </c>
      <c r="AC118">
        <v>61.31</v>
      </c>
      <c r="AD118">
        <v>26.21</v>
      </c>
      <c r="AE118">
        <v>82.97</v>
      </c>
      <c r="AF118">
        <f t="shared" si="15"/>
        <v>54.59</v>
      </c>
      <c r="AG118">
        <v>56.77</v>
      </c>
      <c r="AH118">
        <v>54.59</v>
      </c>
      <c r="AI118">
        <v>10.08</v>
      </c>
      <c r="AK118" s="1"/>
      <c r="AL118">
        <v>57.73</v>
      </c>
      <c r="AM118">
        <v>55.76</v>
      </c>
      <c r="AN118">
        <v>42.45</v>
      </c>
      <c r="AO118">
        <v>45.86</v>
      </c>
      <c r="AP118">
        <v>57.47</v>
      </c>
      <c r="AQ118">
        <v>40.98</v>
      </c>
      <c r="AR118">
        <v>47.85</v>
      </c>
      <c r="AS118">
        <v>53.89</v>
      </c>
      <c r="AT118">
        <v>57.67</v>
      </c>
      <c r="AU118">
        <v>58.12</v>
      </c>
      <c r="AV118">
        <v>42.45</v>
      </c>
      <c r="AW118">
        <v>72.88</v>
      </c>
      <c r="AX118">
        <f t="shared" si="16"/>
        <v>57.664999999999999</v>
      </c>
      <c r="AY118">
        <v>30.44</v>
      </c>
      <c r="AZ118">
        <v>57.67</v>
      </c>
      <c r="BA118">
        <v>14.13</v>
      </c>
      <c r="BP118" s="1">
        <f t="shared" si="27"/>
        <v>29.223333333333333</v>
      </c>
      <c r="BQ118" s="1">
        <f t="shared" si="27"/>
        <v>55.483333333333327</v>
      </c>
      <c r="BR118" s="1">
        <f t="shared" si="27"/>
        <v>10.753333333333336</v>
      </c>
    </row>
    <row r="119" spans="1:70" x14ac:dyDescent="0.25">
      <c r="A119" s="1"/>
      <c r="B119">
        <v>78.62</v>
      </c>
      <c r="C119">
        <v>79.760000000000005</v>
      </c>
      <c r="D119">
        <v>35</v>
      </c>
      <c r="E119">
        <v>48.53</v>
      </c>
      <c r="F119">
        <v>81.13</v>
      </c>
      <c r="G119">
        <v>35.25</v>
      </c>
      <c r="H119">
        <v>49.14</v>
      </c>
      <c r="I119">
        <v>48.59</v>
      </c>
      <c r="J119">
        <v>58.03</v>
      </c>
      <c r="K119">
        <v>63.16</v>
      </c>
      <c r="L119">
        <v>35</v>
      </c>
      <c r="M119">
        <v>81.06</v>
      </c>
      <c r="N119">
        <f t="shared" si="14"/>
        <v>58.03</v>
      </c>
      <c r="O119">
        <v>46.06</v>
      </c>
      <c r="P119">
        <v>58.03</v>
      </c>
      <c r="Q119">
        <v>16.12</v>
      </c>
      <c r="S119" s="1"/>
      <c r="T119">
        <v>80.02</v>
      </c>
      <c r="U119">
        <v>78.010000000000005</v>
      </c>
      <c r="V119">
        <v>37.049999999999997</v>
      </c>
      <c r="W119">
        <v>48.77</v>
      </c>
      <c r="X119">
        <v>82.35</v>
      </c>
      <c r="Y119">
        <v>34.43</v>
      </c>
      <c r="Z119">
        <v>48.55</v>
      </c>
      <c r="AA119">
        <v>49.32</v>
      </c>
      <c r="AB119">
        <v>58.89</v>
      </c>
      <c r="AC119">
        <v>62.19</v>
      </c>
      <c r="AD119">
        <v>37.049999999999997</v>
      </c>
      <c r="AE119">
        <v>80.73</v>
      </c>
      <c r="AF119">
        <f t="shared" si="15"/>
        <v>58.89</v>
      </c>
      <c r="AG119">
        <v>43.68</v>
      </c>
      <c r="AH119">
        <v>58.89</v>
      </c>
      <c r="AI119">
        <v>17.09</v>
      </c>
      <c r="AK119" s="1"/>
      <c r="AL119">
        <v>78.03</v>
      </c>
      <c r="AM119">
        <v>80.88</v>
      </c>
      <c r="AN119">
        <v>46.93</v>
      </c>
      <c r="AO119">
        <v>59.09</v>
      </c>
      <c r="AP119">
        <v>81.430000000000007</v>
      </c>
      <c r="AQ119">
        <v>46.72</v>
      </c>
      <c r="AR119">
        <v>59.38</v>
      </c>
      <c r="AS119">
        <v>54.25</v>
      </c>
      <c r="AT119">
        <v>60.82</v>
      </c>
      <c r="AU119">
        <v>65.17</v>
      </c>
      <c r="AV119">
        <v>46.93</v>
      </c>
      <c r="AW119">
        <v>74.709999999999994</v>
      </c>
      <c r="AX119">
        <f t="shared" si="16"/>
        <v>60.819999999999993</v>
      </c>
      <c r="AY119">
        <v>27.78</v>
      </c>
      <c r="AZ119">
        <v>60.82</v>
      </c>
      <c r="BA119">
        <v>20.62</v>
      </c>
      <c r="BP119" s="1">
        <f t="shared" si="27"/>
        <v>39.173333333333339</v>
      </c>
      <c r="BQ119" s="1">
        <f t="shared" si="27"/>
        <v>59.24666666666667</v>
      </c>
      <c r="BR119" s="1">
        <f t="shared" si="27"/>
        <v>17.943333333333332</v>
      </c>
    </row>
    <row r="120" spans="1:70" x14ac:dyDescent="0.25">
      <c r="A120" s="1"/>
      <c r="B120">
        <v>63.77</v>
      </c>
      <c r="C120">
        <v>64.58</v>
      </c>
      <c r="D120">
        <v>30.6</v>
      </c>
      <c r="E120">
        <v>39.549999999999997</v>
      </c>
      <c r="F120">
        <v>64.47</v>
      </c>
      <c r="G120">
        <v>31.21</v>
      </c>
      <c r="H120">
        <v>42.06</v>
      </c>
      <c r="I120">
        <v>47.1</v>
      </c>
      <c r="J120">
        <v>54.03</v>
      </c>
      <c r="K120">
        <v>58.63</v>
      </c>
      <c r="L120">
        <v>30.6</v>
      </c>
      <c r="M120">
        <v>77.459999999999994</v>
      </c>
      <c r="N120">
        <f t="shared" si="14"/>
        <v>54.03</v>
      </c>
      <c r="O120">
        <v>46.86</v>
      </c>
      <c r="P120">
        <v>54.03</v>
      </c>
      <c r="Q120">
        <v>9.3800000000000008</v>
      </c>
      <c r="S120" s="1"/>
      <c r="T120">
        <v>60.66</v>
      </c>
      <c r="U120">
        <v>61.55</v>
      </c>
      <c r="V120">
        <v>25.81</v>
      </c>
      <c r="W120">
        <v>32.369999999999997</v>
      </c>
      <c r="X120">
        <v>57.81</v>
      </c>
      <c r="Y120">
        <v>23.57</v>
      </c>
      <c r="Z120">
        <v>33.479999999999997</v>
      </c>
      <c r="AA120">
        <v>42.92</v>
      </c>
      <c r="AB120">
        <v>52.22</v>
      </c>
      <c r="AC120">
        <v>55.51</v>
      </c>
      <c r="AD120">
        <v>25.81</v>
      </c>
      <c r="AE120">
        <v>78.64</v>
      </c>
      <c r="AF120">
        <f t="shared" si="15"/>
        <v>52.225000000000001</v>
      </c>
      <c r="AG120">
        <v>52.83</v>
      </c>
      <c r="AH120">
        <v>52.22</v>
      </c>
      <c r="AI120">
        <v>5.46</v>
      </c>
      <c r="AK120" s="1"/>
      <c r="AL120">
        <v>60.05</v>
      </c>
      <c r="AM120">
        <v>62.67</v>
      </c>
      <c r="AN120">
        <v>34.32</v>
      </c>
      <c r="AO120">
        <v>40.729999999999997</v>
      </c>
      <c r="AP120">
        <v>59.09</v>
      </c>
      <c r="AQ120">
        <v>33.119999999999997</v>
      </c>
      <c r="AR120">
        <v>42.45</v>
      </c>
      <c r="AS120">
        <v>46.48</v>
      </c>
      <c r="AT120">
        <v>53.5</v>
      </c>
      <c r="AU120">
        <v>55.31</v>
      </c>
      <c r="AV120">
        <v>34.32</v>
      </c>
      <c r="AW120">
        <v>72.69</v>
      </c>
      <c r="AX120">
        <f t="shared" si="16"/>
        <v>53.504999999999995</v>
      </c>
      <c r="AY120">
        <v>38.369999999999997</v>
      </c>
      <c r="AZ120">
        <v>53.5</v>
      </c>
      <c r="BA120">
        <v>7.76</v>
      </c>
      <c r="BP120" s="1">
        <f t="shared" si="27"/>
        <v>46.02</v>
      </c>
      <c r="BQ120" s="1">
        <f t="shared" si="27"/>
        <v>53.25</v>
      </c>
      <c r="BR120" s="1">
        <f t="shared" si="27"/>
        <v>7.5333333333333341</v>
      </c>
    </row>
    <row r="121" spans="1:70" x14ac:dyDescent="0.25">
      <c r="A121" s="1"/>
      <c r="B121">
        <v>55.99</v>
      </c>
      <c r="C121">
        <v>59.1</v>
      </c>
      <c r="D121">
        <v>30.36</v>
      </c>
      <c r="E121">
        <v>37.69</v>
      </c>
      <c r="F121">
        <v>60.94</v>
      </c>
      <c r="G121">
        <v>31.97</v>
      </c>
      <c r="H121">
        <v>41.94</v>
      </c>
      <c r="I121">
        <v>51.52</v>
      </c>
      <c r="J121">
        <v>56.78</v>
      </c>
      <c r="K121">
        <v>58.3</v>
      </c>
      <c r="L121">
        <v>30.36</v>
      </c>
      <c r="M121">
        <v>83.21</v>
      </c>
      <c r="N121">
        <f t="shared" si="14"/>
        <v>56.784999999999997</v>
      </c>
      <c r="O121">
        <v>52.85</v>
      </c>
      <c r="P121">
        <v>56.78</v>
      </c>
      <c r="Q121">
        <v>14.59</v>
      </c>
      <c r="S121" s="1"/>
      <c r="T121">
        <v>56.68</v>
      </c>
      <c r="U121">
        <v>62.41</v>
      </c>
      <c r="V121">
        <v>27.67</v>
      </c>
      <c r="W121">
        <v>35.06</v>
      </c>
      <c r="X121">
        <v>58.18</v>
      </c>
      <c r="Y121">
        <v>26.23</v>
      </c>
      <c r="Z121">
        <v>36.159999999999997</v>
      </c>
      <c r="AA121">
        <v>49.99</v>
      </c>
      <c r="AB121">
        <v>56.41</v>
      </c>
      <c r="AC121">
        <v>58.51</v>
      </c>
      <c r="AD121">
        <v>27.67</v>
      </c>
      <c r="AE121">
        <v>85.15</v>
      </c>
      <c r="AF121">
        <f t="shared" si="15"/>
        <v>56.410000000000004</v>
      </c>
      <c r="AG121">
        <v>57.48</v>
      </c>
      <c r="AH121">
        <v>56.41</v>
      </c>
      <c r="AI121">
        <v>15.44</v>
      </c>
      <c r="AK121" s="1"/>
      <c r="AL121">
        <v>58.07</v>
      </c>
      <c r="AM121">
        <v>62.38</v>
      </c>
      <c r="AN121">
        <v>31.08</v>
      </c>
      <c r="AO121">
        <v>40.08</v>
      </c>
      <c r="AP121">
        <v>64.06</v>
      </c>
      <c r="AQ121">
        <v>33.61</v>
      </c>
      <c r="AR121">
        <v>44.09</v>
      </c>
      <c r="AS121">
        <v>53.15</v>
      </c>
      <c r="AT121">
        <v>57.81</v>
      </c>
      <c r="AU121">
        <v>61.92</v>
      </c>
      <c r="AV121">
        <v>31.08</v>
      </c>
      <c r="AW121">
        <v>84.55</v>
      </c>
      <c r="AX121">
        <f t="shared" si="16"/>
        <v>57.814999999999998</v>
      </c>
      <c r="AY121">
        <v>53.47</v>
      </c>
      <c r="AZ121">
        <v>57.81</v>
      </c>
      <c r="BA121">
        <v>17.36</v>
      </c>
      <c r="BP121" s="1">
        <f t="shared" si="27"/>
        <v>54.6</v>
      </c>
      <c r="BQ121" s="1">
        <f t="shared" si="27"/>
        <v>57</v>
      </c>
      <c r="BR121" s="1">
        <f t="shared" si="27"/>
        <v>15.796666666666667</v>
      </c>
    </row>
    <row r="122" spans="1:70" x14ac:dyDescent="0.25">
      <c r="A122" s="1"/>
      <c r="B122">
        <v>61.66</v>
      </c>
      <c r="C122">
        <v>58.91</v>
      </c>
      <c r="D122">
        <v>34.99</v>
      </c>
      <c r="E122">
        <v>42.04</v>
      </c>
      <c r="F122">
        <v>59.72</v>
      </c>
      <c r="G122">
        <v>33.99</v>
      </c>
      <c r="H122">
        <v>43.32</v>
      </c>
      <c r="I122">
        <v>52.33</v>
      </c>
      <c r="J122">
        <v>56.19</v>
      </c>
      <c r="K122">
        <v>60.87</v>
      </c>
      <c r="L122">
        <v>34.99</v>
      </c>
      <c r="M122">
        <v>77.400000000000006</v>
      </c>
      <c r="N122">
        <f t="shared" si="14"/>
        <v>56.195000000000007</v>
      </c>
      <c r="O122">
        <v>42.41</v>
      </c>
      <c r="P122">
        <v>56.19</v>
      </c>
      <c r="Q122">
        <v>13.02</v>
      </c>
      <c r="S122" s="1"/>
      <c r="T122">
        <v>58.52</v>
      </c>
      <c r="U122">
        <v>66.599999999999994</v>
      </c>
      <c r="V122">
        <v>20.77</v>
      </c>
      <c r="W122">
        <v>29.09</v>
      </c>
      <c r="X122">
        <v>62.34</v>
      </c>
      <c r="Y122">
        <v>18.97</v>
      </c>
      <c r="Z122">
        <v>29.09</v>
      </c>
      <c r="AA122">
        <v>47.22</v>
      </c>
      <c r="AB122">
        <v>55.48</v>
      </c>
      <c r="AC122">
        <v>59.51</v>
      </c>
      <c r="AD122">
        <v>20.77</v>
      </c>
      <c r="AE122">
        <v>90.18</v>
      </c>
      <c r="AF122">
        <f t="shared" si="15"/>
        <v>55.475000000000001</v>
      </c>
      <c r="AG122">
        <v>69.41</v>
      </c>
      <c r="AH122">
        <v>55.48</v>
      </c>
      <c r="AI122">
        <v>14.54</v>
      </c>
      <c r="AK122" s="1"/>
      <c r="AL122">
        <v>56.07</v>
      </c>
      <c r="AM122">
        <v>56.06</v>
      </c>
      <c r="AN122">
        <v>36.94</v>
      </c>
      <c r="AO122">
        <v>43.17</v>
      </c>
      <c r="AP122">
        <v>55.75</v>
      </c>
      <c r="AQ122">
        <v>38.340000000000003</v>
      </c>
      <c r="AR122">
        <v>45.43</v>
      </c>
      <c r="AS122">
        <v>52.11</v>
      </c>
      <c r="AT122">
        <v>55.42</v>
      </c>
      <c r="AU122">
        <v>55.71</v>
      </c>
      <c r="AV122">
        <v>36.94</v>
      </c>
      <c r="AW122">
        <v>73.900000000000006</v>
      </c>
      <c r="AX122">
        <f t="shared" si="16"/>
        <v>55.42</v>
      </c>
      <c r="AY122">
        <v>36.96</v>
      </c>
      <c r="AZ122">
        <v>55.42</v>
      </c>
      <c r="BA122">
        <v>10.97</v>
      </c>
      <c r="BP122" s="1">
        <f t="shared" si="27"/>
        <v>49.593333333333334</v>
      </c>
      <c r="BQ122" s="1">
        <f t="shared" si="27"/>
        <v>55.696666666666658</v>
      </c>
      <c r="BR122" s="1">
        <f t="shared" si="27"/>
        <v>12.843333333333334</v>
      </c>
    </row>
    <row r="123" spans="1:70" x14ac:dyDescent="0.25">
      <c r="A123" s="1"/>
      <c r="B123" s="2">
        <f>AVERAGE(B113:B122)</f>
        <v>68.698000000000008</v>
      </c>
      <c r="C123" s="2">
        <f t="shared" ref="C123:BA123" si="28">AVERAGE(C113:C122)</f>
        <v>68.085999999999999</v>
      </c>
      <c r="D123" s="2">
        <f t="shared" si="28"/>
        <v>40.635000000000005</v>
      </c>
      <c r="E123" s="2">
        <f t="shared" si="28"/>
        <v>48.003</v>
      </c>
      <c r="F123" s="2">
        <f t="shared" si="28"/>
        <v>68.727999999999994</v>
      </c>
      <c r="G123" s="2">
        <f t="shared" si="28"/>
        <v>40.311</v>
      </c>
      <c r="H123" s="2">
        <f t="shared" si="28"/>
        <v>49.936999999999998</v>
      </c>
      <c r="I123" s="2">
        <f t="shared" si="28"/>
        <v>50.872</v>
      </c>
      <c r="J123" s="2">
        <f t="shared" si="28"/>
        <v>57.326000000000001</v>
      </c>
      <c r="K123" s="2">
        <f t="shared" si="28"/>
        <v>62.274999999999991</v>
      </c>
      <c r="L123" s="2">
        <f t="shared" si="28"/>
        <v>40.635000000000005</v>
      </c>
      <c r="M123" s="2">
        <f t="shared" si="28"/>
        <v>74.01700000000001</v>
      </c>
      <c r="N123" s="2">
        <f t="shared" si="28"/>
        <v>57.326000000000001</v>
      </c>
      <c r="O123" s="2">
        <f t="shared" si="28"/>
        <v>33.382000000000005</v>
      </c>
      <c r="P123" s="2">
        <f t="shared" si="28"/>
        <v>57.326000000000001</v>
      </c>
      <c r="Q123" s="2">
        <f t="shared" si="28"/>
        <v>14.365</v>
      </c>
      <c r="R123" s="2"/>
      <c r="S123" s="2"/>
      <c r="T123" s="2">
        <f t="shared" si="28"/>
        <v>67.425999999999988</v>
      </c>
      <c r="U123" s="2">
        <f t="shared" si="28"/>
        <v>69.078000000000003</v>
      </c>
      <c r="V123" s="2">
        <f t="shared" si="28"/>
        <v>31.072000000000003</v>
      </c>
      <c r="W123" s="2">
        <f t="shared" si="28"/>
        <v>40.210999999999999</v>
      </c>
      <c r="X123" s="2">
        <f t="shared" si="28"/>
        <v>69.508999999999986</v>
      </c>
      <c r="Y123" s="2">
        <f t="shared" si="28"/>
        <v>29.660000000000004</v>
      </c>
      <c r="Z123" s="2">
        <f t="shared" si="28"/>
        <v>40.922999999999995</v>
      </c>
      <c r="AA123" s="2">
        <f t="shared" si="28"/>
        <v>47.657000000000004</v>
      </c>
      <c r="AB123" s="2">
        <f t="shared" si="28"/>
        <v>56.053999999999995</v>
      </c>
      <c r="AC123" s="2">
        <f t="shared" si="28"/>
        <v>60</v>
      </c>
      <c r="AD123" s="2">
        <f t="shared" si="28"/>
        <v>31.072000000000003</v>
      </c>
      <c r="AE123" s="2">
        <f t="shared" si="28"/>
        <v>81.036999999999992</v>
      </c>
      <c r="AF123" s="2">
        <f t="shared" si="28"/>
        <v>56.054499999999997</v>
      </c>
      <c r="AG123" s="2">
        <f t="shared" si="28"/>
        <v>50.527000000000001</v>
      </c>
      <c r="AH123" s="2">
        <f t="shared" si="28"/>
        <v>56.053999999999995</v>
      </c>
      <c r="AI123" s="2">
        <f t="shared" si="28"/>
        <v>13.001999999999999</v>
      </c>
      <c r="AJ123" s="2"/>
      <c r="AK123" s="2"/>
      <c r="AL123" s="2">
        <f t="shared" si="28"/>
        <v>66.884</v>
      </c>
      <c r="AM123" s="2">
        <f t="shared" si="28"/>
        <v>68.040999999999983</v>
      </c>
      <c r="AN123" s="2">
        <f t="shared" si="28"/>
        <v>37.547999999999995</v>
      </c>
      <c r="AO123" s="2">
        <f t="shared" si="28"/>
        <v>45.862000000000002</v>
      </c>
      <c r="AP123" s="2">
        <f t="shared" si="28"/>
        <v>67.640000000000015</v>
      </c>
      <c r="AQ123" s="2">
        <f t="shared" si="28"/>
        <v>37.496000000000002</v>
      </c>
      <c r="AR123" s="2">
        <f t="shared" si="28"/>
        <v>47.582000000000001</v>
      </c>
      <c r="AS123" s="2">
        <f t="shared" si="28"/>
        <v>50.179000000000002</v>
      </c>
      <c r="AT123" s="2">
        <f t="shared" si="28"/>
        <v>57.37299999999999</v>
      </c>
      <c r="AU123" s="2">
        <f t="shared" si="28"/>
        <v>61.156000000000006</v>
      </c>
      <c r="AV123" s="2">
        <f t="shared" si="28"/>
        <v>37.547999999999995</v>
      </c>
      <c r="AW123" s="2">
        <f t="shared" si="28"/>
        <v>77.199999999999989</v>
      </c>
      <c r="AX123" s="2">
        <f t="shared" si="28"/>
        <v>57.373999999999988</v>
      </c>
      <c r="AY123" s="2">
        <f t="shared" si="28"/>
        <v>39.654000000000003</v>
      </c>
      <c r="AZ123" s="2">
        <f t="shared" si="28"/>
        <v>57.37299999999999</v>
      </c>
      <c r="BA123" s="2">
        <f t="shared" si="28"/>
        <v>14.412000000000001</v>
      </c>
      <c r="BP123" s="2">
        <f t="shared" ref="BP123:BR123" si="29">AVERAGE(BP113:BP122)</f>
        <v>41.187666666666665</v>
      </c>
      <c r="BQ123" s="2">
        <f t="shared" si="29"/>
        <v>56.917666666666676</v>
      </c>
      <c r="BR123" s="2">
        <f t="shared" si="29"/>
        <v>13.926333333333332</v>
      </c>
    </row>
    <row r="126" spans="1:70" x14ac:dyDescent="0.25">
      <c r="A126" s="1" t="s">
        <v>25</v>
      </c>
      <c r="B126">
        <v>70.73</v>
      </c>
      <c r="C126">
        <v>66.239999999999995</v>
      </c>
      <c r="D126">
        <v>53.87</v>
      </c>
      <c r="E126">
        <v>58.77</v>
      </c>
      <c r="F126">
        <v>67.680000000000007</v>
      </c>
      <c r="G126">
        <v>54.92</v>
      </c>
      <c r="H126">
        <v>60.63</v>
      </c>
      <c r="I126">
        <v>46.78</v>
      </c>
      <c r="J126">
        <v>48.37</v>
      </c>
      <c r="K126">
        <v>52.13</v>
      </c>
      <c r="L126">
        <v>53.87</v>
      </c>
      <c r="M126">
        <v>42.87</v>
      </c>
      <c r="N126">
        <f t="shared" si="14"/>
        <v>48.37</v>
      </c>
      <c r="O126">
        <v>11</v>
      </c>
      <c r="P126">
        <v>48.37</v>
      </c>
      <c r="Q126">
        <v>-2.83</v>
      </c>
      <c r="S126" s="1" t="s">
        <v>25</v>
      </c>
      <c r="T126">
        <v>66.37</v>
      </c>
      <c r="U126">
        <v>64.47</v>
      </c>
      <c r="V126">
        <v>39.49</v>
      </c>
      <c r="W126">
        <v>48.87</v>
      </c>
      <c r="X126">
        <v>68</v>
      </c>
      <c r="Y126">
        <v>41.8</v>
      </c>
      <c r="Z126">
        <v>51.78</v>
      </c>
      <c r="AA126">
        <v>42.35</v>
      </c>
      <c r="AB126">
        <v>45.01</v>
      </c>
      <c r="AC126">
        <v>45.49</v>
      </c>
      <c r="AD126">
        <v>39.49</v>
      </c>
      <c r="AE126">
        <v>50.52</v>
      </c>
      <c r="AF126">
        <f t="shared" si="15"/>
        <v>45.005000000000003</v>
      </c>
      <c r="AG126">
        <v>11.03</v>
      </c>
      <c r="AH126">
        <v>45.01</v>
      </c>
      <c r="AI126">
        <v>-8.1999999999999993</v>
      </c>
      <c r="AK126" s="1" t="s">
        <v>25</v>
      </c>
      <c r="AL126">
        <v>71.22</v>
      </c>
      <c r="AM126">
        <v>70.150000000000006</v>
      </c>
      <c r="AN126">
        <v>65.400000000000006</v>
      </c>
      <c r="AO126">
        <v>65.430000000000007</v>
      </c>
      <c r="AP126">
        <v>67.83</v>
      </c>
      <c r="AQ126">
        <v>63.93</v>
      </c>
      <c r="AR126">
        <v>65.819999999999993</v>
      </c>
      <c r="AS126">
        <v>49.28</v>
      </c>
      <c r="AT126">
        <v>53.59</v>
      </c>
      <c r="AU126">
        <v>54.64</v>
      </c>
      <c r="AV126">
        <v>65.400000000000006</v>
      </c>
      <c r="AW126">
        <v>41.78</v>
      </c>
      <c r="AX126">
        <f t="shared" si="16"/>
        <v>53.59</v>
      </c>
      <c r="AY126">
        <v>23.61</v>
      </c>
      <c r="AZ126">
        <v>53.59</v>
      </c>
      <c r="BA126">
        <v>5.59</v>
      </c>
      <c r="BP126" s="1"/>
      <c r="BQ126" s="1"/>
      <c r="BR126" s="1"/>
    </row>
    <row r="127" spans="1:70" x14ac:dyDescent="0.25">
      <c r="A127" s="1"/>
      <c r="B127">
        <v>70.61</v>
      </c>
      <c r="C127">
        <v>65.08</v>
      </c>
      <c r="D127">
        <v>37.57</v>
      </c>
      <c r="E127">
        <v>39.99</v>
      </c>
      <c r="F127">
        <v>57.14</v>
      </c>
      <c r="G127">
        <v>32.79</v>
      </c>
      <c r="H127">
        <v>41.67</v>
      </c>
      <c r="I127">
        <v>36.659999999999997</v>
      </c>
      <c r="J127">
        <v>48.55</v>
      </c>
      <c r="K127">
        <v>53.79</v>
      </c>
      <c r="L127">
        <v>37.57</v>
      </c>
      <c r="M127">
        <v>59.52</v>
      </c>
      <c r="N127">
        <f t="shared" si="14"/>
        <v>48.545000000000002</v>
      </c>
      <c r="O127">
        <v>21.94</v>
      </c>
      <c r="P127">
        <v>48.55</v>
      </c>
      <c r="Q127">
        <v>-3.64</v>
      </c>
      <c r="S127" s="1"/>
      <c r="T127">
        <v>67.23</v>
      </c>
      <c r="U127">
        <v>64.08</v>
      </c>
      <c r="V127">
        <v>54.19</v>
      </c>
      <c r="W127">
        <v>58.53</v>
      </c>
      <c r="X127">
        <v>69.900000000000006</v>
      </c>
      <c r="Y127">
        <v>59.02</v>
      </c>
      <c r="Z127">
        <v>64</v>
      </c>
      <c r="AA127">
        <v>46.82</v>
      </c>
      <c r="AB127">
        <v>48.05</v>
      </c>
      <c r="AC127">
        <v>46.87</v>
      </c>
      <c r="AD127">
        <v>54.19</v>
      </c>
      <c r="AE127">
        <v>41.9</v>
      </c>
      <c r="AF127">
        <f t="shared" si="15"/>
        <v>48.045000000000002</v>
      </c>
      <c r="AG127">
        <v>12.29</v>
      </c>
      <c r="AH127">
        <v>48.05</v>
      </c>
      <c r="AI127">
        <v>-4.47</v>
      </c>
      <c r="AK127" s="1"/>
      <c r="AL127">
        <v>72.849999999999994</v>
      </c>
      <c r="AM127">
        <v>74.52</v>
      </c>
      <c r="AN127">
        <v>24.43</v>
      </c>
      <c r="AO127">
        <v>30.51</v>
      </c>
      <c r="AP127">
        <v>68.180000000000007</v>
      </c>
      <c r="AQ127">
        <v>24.59</v>
      </c>
      <c r="AR127">
        <v>36.14</v>
      </c>
      <c r="AS127">
        <v>36.409999999999997</v>
      </c>
      <c r="AT127">
        <v>49.7</v>
      </c>
      <c r="AU127">
        <v>50.57</v>
      </c>
      <c r="AV127">
        <v>24.43</v>
      </c>
      <c r="AW127">
        <v>74.98</v>
      </c>
      <c r="AX127">
        <f t="shared" si="16"/>
        <v>49.704999999999998</v>
      </c>
      <c r="AY127">
        <v>50.55</v>
      </c>
      <c r="AZ127">
        <v>49.7</v>
      </c>
      <c r="BA127">
        <v>-0.36</v>
      </c>
      <c r="BP127" s="1"/>
      <c r="BQ127" s="1"/>
      <c r="BR127" s="1"/>
    </row>
    <row r="128" spans="1:70" x14ac:dyDescent="0.25">
      <c r="A128" s="1"/>
      <c r="B128">
        <v>53.26</v>
      </c>
      <c r="C128">
        <v>66.319999999999993</v>
      </c>
      <c r="D128">
        <v>38.25</v>
      </c>
      <c r="E128">
        <v>38.39</v>
      </c>
      <c r="F128">
        <v>50.91</v>
      </c>
      <c r="G128">
        <v>35.67</v>
      </c>
      <c r="H128">
        <v>41.95</v>
      </c>
      <c r="I128">
        <v>41.14</v>
      </c>
      <c r="J128">
        <v>50.43</v>
      </c>
      <c r="K128">
        <v>45.61</v>
      </c>
      <c r="L128">
        <v>38.25</v>
      </c>
      <c r="M128">
        <v>62.61</v>
      </c>
      <c r="N128">
        <f t="shared" si="14"/>
        <v>50.43</v>
      </c>
      <c r="O128">
        <v>24.36</v>
      </c>
      <c r="P128">
        <v>50.43</v>
      </c>
      <c r="Q128">
        <v>4.03</v>
      </c>
      <c r="S128" s="1"/>
      <c r="T128">
        <v>54.99</v>
      </c>
      <c r="U128">
        <v>56.35</v>
      </c>
      <c r="V128">
        <v>45.4</v>
      </c>
      <c r="W128">
        <v>46.1</v>
      </c>
      <c r="X128">
        <v>63.56</v>
      </c>
      <c r="Y128">
        <v>47.77</v>
      </c>
      <c r="Z128">
        <v>54.55</v>
      </c>
      <c r="AA128">
        <v>47.36</v>
      </c>
      <c r="AB128">
        <v>51.81</v>
      </c>
      <c r="AC128">
        <v>49.82</v>
      </c>
      <c r="AD128">
        <v>45.4</v>
      </c>
      <c r="AE128">
        <v>58.22</v>
      </c>
      <c r="AF128">
        <f t="shared" si="15"/>
        <v>51.81</v>
      </c>
      <c r="AG128">
        <v>12.82</v>
      </c>
      <c r="AH128">
        <v>51.81</v>
      </c>
      <c r="AI128">
        <v>2.64</v>
      </c>
      <c r="AK128" s="1"/>
      <c r="AL128">
        <v>57.57</v>
      </c>
      <c r="AM128">
        <v>53.93</v>
      </c>
      <c r="AN128">
        <v>33.659999999999997</v>
      </c>
      <c r="AO128">
        <v>36.200000000000003</v>
      </c>
      <c r="AP128">
        <v>54.35</v>
      </c>
      <c r="AQ128">
        <v>31.85</v>
      </c>
      <c r="AR128">
        <v>40.159999999999997</v>
      </c>
      <c r="AS128">
        <v>41.36</v>
      </c>
      <c r="AT128">
        <v>48.19</v>
      </c>
      <c r="AU128">
        <v>49.51</v>
      </c>
      <c r="AV128">
        <v>33.659999999999997</v>
      </c>
      <c r="AW128">
        <v>62.72</v>
      </c>
      <c r="AX128">
        <f t="shared" si="16"/>
        <v>48.19</v>
      </c>
      <c r="AY128">
        <v>29.06</v>
      </c>
      <c r="AZ128">
        <v>48.19</v>
      </c>
      <c r="BA128">
        <v>-3.93</v>
      </c>
      <c r="BP128" s="1"/>
      <c r="BQ128" s="1"/>
      <c r="BR128" s="1"/>
    </row>
    <row r="129" spans="1:70" x14ac:dyDescent="0.25">
      <c r="A129" s="1"/>
      <c r="B129">
        <v>68.98</v>
      </c>
      <c r="C129">
        <v>78.209999999999994</v>
      </c>
      <c r="D129">
        <v>21.22</v>
      </c>
      <c r="E129">
        <v>26.99</v>
      </c>
      <c r="F129">
        <v>62.86</v>
      </c>
      <c r="G129">
        <v>18.03</v>
      </c>
      <c r="H129">
        <v>28.03</v>
      </c>
      <c r="I129">
        <v>35.409999999999997</v>
      </c>
      <c r="J129">
        <v>52.28</v>
      </c>
      <c r="K129">
        <v>47.85</v>
      </c>
      <c r="L129">
        <v>21.22</v>
      </c>
      <c r="M129">
        <v>83.33</v>
      </c>
      <c r="N129">
        <f t="shared" si="14"/>
        <v>52.274999999999999</v>
      </c>
      <c r="O129">
        <v>62.11</v>
      </c>
      <c r="P129">
        <v>52.28</v>
      </c>
      <c r="Q129">
        <v>4.57</v>
      </c>
      <c r="S129" s="1"/>
      <c r="T129">
        <v>71.09</v>
      </c>
      <c r="U129">
        <v>66.41</v>
      </c>
      <c r="V129">
        <v>68.19</v>
      </c>
      <c r="W129">
        <v>66.72</v>
      </c>
      <c r="X129">
        <v>71.2</v>
      </c>
      <c r="Y129">
        <v>72.95</v>
      </c>
      <c r="Z129">
        <v>72.06</v>
      </c>
      <c r="AA129">
        <v>46.24</v>
      </c>
      <c r="AB129">
        <v>48.31</v>
      </c>
      <c r="AC129">
        <v>54.49</v>
      </c>
      <c r="AD129">
        <v>68.19</v>
      </c>
      <c r="AE129">
        <v>28.44</v>
      </c>
      <c r="AF129">
        <f t="shared" si="15"/>
        <v>48.314999999999998</v>
      </c>
      <c r="AG129">
        <v>39.75</v>
      </c>
      <c r="AH129">
        <v>48.31</v>
      </c>
      <c r="AI129">
        <v>-3.13</v>
      </c>
      <c r="AK129" s="1"/>
      <c r="AL129">
        <v>73.94</v>
      </c>
      <c r="AM129">
        <v>75.17</v>
      </c>
      <c r="AN129">
        <v>65.59</v>
      </c>
      <c r="AO129">
        <v>52.78</v>
      </c>
      <c r="AP129">
        <v>64.349999999999994</v>
      </c>
      <c r="AQ129">
        <v>60.66</v>
      </c>
      <c r="AR129">
        <v>62.45</v>
      </c>
      <c r="AS129">
        <v>36.270000000000003</v>
      </c>
      <c r="AT129">
        <v>51.99</v>
      </c>
      <c r="AU129">
        <v>56.53</v>
      </c>
      <c r="AV129">
        <v>65.59</v>
      </c>
      <c r="AW129">
        <v>38.380000000000003</v>
      </c>
      <c r="AX129">
        <f t="shared" si="16"/>
        <v>51.984999999999999</v>
      </c>
      <c r="AY129">
        <v>27.2</v>
      </c>
      <c r="AZ129">
        <v>51.99</v>
      </c>
      <c r="BA129">
        <v>7.1</v>
      </c>
      <c r="BP129" s="1"/>
      <c r="BQ129" s="1"/>
      <c r="BR129" s="1"/>
    </row>
    <row r="130" spans="1:70" x14ac:dyDescent="0.25">
      <c r="A130" s="1"/>
      <c r="B130">
        <v>55.04</v>
      </c>
      <c r="C130">
        <v>88.47</v>
      </c>
      <c r="D130">
        <v>17.079999999999998</v>
      </c>
      <c r="E130">
        <v>22.58</v>
      </c>
      <c r="F130">
        <v>72.5</v>
      </c>
      <c r="G130">
        <v>18.47</v>
      </c>
      <c r="H130">
        <v>29.44</v>
      </c>
      <c r="I130">
        <v>39.869999999999997</v>
      </c>
      <c r="J130">
        <v>54.18</v>
      </c>
      <c r="K130">
        <v>51.54</v>
      </c>
      <c r="L130">
        <v>17.079999999999998</v>
      </c>
      <c r="M130">
        <v>91.27</v>
      </c>
      <c r="N130">
        <f t="shared" si="14"/>
        <v>54.174999999999997</v>
      </c>
      <c r="O130">
        <v>74.180000000000007</v>
      </c>
      <c r="P130">
        <v>54.18</v>
      </c>
      <c r="Q130">
        <v>9.35</v>
      </c>
      <c r="S130" s="1"/>
      <c r="T130">
        <v>56.83</v>
      </c>
      <c r="U130">
        <v>55.47</v>
      </c>
      <c r="V130">
        <v>55.05</v>
      </c>
      <c r="W130">
        <v>52.09</v>
      </c>
      <c r="X130">
        <v>65.36</v>
      </c>
      <c r="Y130">
        <v>63.69</v>
      </c>
      <c r="Z130">
        <v>64.52</v>
      </c>
      <c r="AA130">
        <v>44.52</v>
      </c>
      <c r="AB130">
        <v>48.97</v>
      </c>
      <c r="AC130">
        <v>48.24</v>
      </c>
      <c r="AD130">
        <v>55.05</v>
      </c>
      <c r="AE130">
        <v>42.9</v>
      </c>
      <c r="AF130">
        <f t="shared" si="15"/>
        <v>48.974999999999994</v>
      </c>
      <c r="AG130">
        <v>12.15</v>
      </c>
      <c r="AH130">
        <v>48.97</v>
      </c>
      <c r="AI130">
        <v>-2.33</v>
      </c>
      <c r="AK130" s="1"/>
      <c r="AL130">
        <v>58.65</v>
      </c>
      <c r="AM130">
        <v>62.83</v>
      </c>
      <c r="AN130">
        <v>38.04</v>
      </c>
      <c r="AO130">
        <v>49.6</v>
      </c>
      <c r="AP130">
        <v>58.88</v>
      </c>
      <c r="AQ130">
        <v>40.130000000000003</v>
      </c>
      <c r="AR130">
        <v>47.73</v>
      </c>
      <c r="AS130">
        <v>36.43</v>
      </c>
      <c r="AT130">
        <v>49.83</v>
      </c>
      <c r="AU130">
        <v>53.92</v>
      </c>
      <c r="AV130">
        <v>38.04</v>
      </c>
      <c r="AW130">
        <v>61.62</v>
      </c>
      <c r="AX130">
        <f t="shared" si="16"/>
        <v>49.83</v>
      </c>
      <c r="AY130">
        <v>23.58</v>
      </c>
      <c r="AZ130">
        <v>49.83</v>
      </c>
      <c r="BA130">
        <v>0.36</v>
      </c>
      <c r="BP130" s="1"/>
      <c r="BQ130" s="1"/>
      <c r="BR130" s="1"/>
    </row>
    <row r="131" spans="1:70" x14ac:dyDescent="0.25">
      <c r="A131" s="1"/>
      <c r="B131">
        <v>50.04</v>
      </c>
      <c r="C131">
        <v>56.77</v>
      </c>
      <c r="D131">
        <v>29.77</v>
      </c>
      <c r="E131">
        <v>25.09</v>
      </c>
      <c r="F131">
        <v>36.25</v>
      </c>
      <c r="G131">
        <v>23.77</v>
      </c>
      <c r="H131">
        <v>28.71</v>
      </c>
      <c r="I131">
        <v>37.99</v>
      </c>
      <c r="J131">
        <v>48.06</v>
      </c>
      <c r="K131">
        <v>47.79</v>
      </c>
      <c r="L131">
        <v>29.77</v>
      </c>
      <c r="M131">
        <v>66.349999999999994</v>
      </c>
      <c r="N131">
        <f t="shared" si="14"/>
        <v>48.059999999999995</v>
      </c>
      <c r="O131">
        <v>36.57</v>
      </c>
      <c r="P131">
        <v>48.06</v>
      </c>
      <c r="Q131">
        <v>-3.83</v>
      </c>
      <c r="S131" s="1"/>
      <c r="T131">
        <v>51.4</v>
      </c>
      <c r="U131">
        <v>46.43</v>
      </c>
      <c r="V131">
        <v>62.49</v>
      </c>
      <c r="W131">
        <v>47.9</v>
      </c>
      <c r="X131">
        <v>45.96</v>
      </c>
      <c r="Y131">
        <v>60.66</v>
      </c>
      <c r="Z131">
        <v>52.3</v>
      </c>
      <c r="AA131">
        <v>41.6</v>
      </c>
      <c r="AB131">
        <v>50.34</v>
      </c>
      <c r="AC131">
        <v>50.67</v>
      </c>
      <c r="AD131">
        <v>62.49</v>
      </c>
      <c r="AE131">
        <v>38.200000000000003</v>
      </c>
      <c r="AF131">
        <f t="shared" si="15"/>
        <v>50.344999999999999</v>
      </c>
      <c r="AG131">
        <v>24.29</v>
      </c>
      <c r="AH131">
        <v>50.34</v>
      </c>
      <c r="AI131">
        <v>-1.1000000000000001</v>
      </c>
      <c r="AK131" s="1"/>
      <c r="AL131">
        <v>51.54</v>
      </c>
      <c r="AM131">
        <v>51.15</v>
      </c>
      <c r="AN131">
        <v>57.41</v>
      </c>
      <c r="AO131">
        <v>46.07</v>
      </c>
      <c r="AP131">
        <v>49.29</v>
      </c>
      <c r="AQ131">
        <v>56.56</v>
      </c>
      <c r="AR131">
        <v>52.67</v>
      </c>
      <c r="AS131">
        <v>43.61</v>
      </c>
      <c r="AT131">
        <v>52.52</v>
      </c>
      <c r="AU131">
        <v>49.77</v>
      </c>
      <c r="AV131">
        <v>57.41</v>
      </c>
      <c r="AW131">
        <v>47.64</v>
      </c>
      <c r="AX131">
        <f t="shared" si="16"/>
        <v>52.524999999999999</v>
      </c>
      <c r="AY131">
        <v>9.77</v>
      </c>
      <c r="AZ131">
        <v>52.52</v>
      </c>
      <c r="BA131">
        <v>5.87</v>
      </c>
      <c r="BP131" s="1"/>
      <c r="BQ131" s="1"/>
      <c r="BR131" s="1"/>
    </row>
    <row r="132" spans="1:70" x14ac:dyDescent="0.25">
      <c r="A132" s="1"/>
      <c r="B132">
        <v>71.17</v>
      </c>
      <c r="C132">
        <v>74.650000000000006</v>
      </c>
      <c r="D132">
        <v>48.83</v>
      </c>
      <c r="E132">
        <v>44.33</v>
      </c>
      <c r="F132">
        <v>56.98</v>
      </c>
      <c r="G132">
        <v>40.159999999999997</v>
      </c>
      <c r="H132">
        <v>47.12</v>
      </c>
      <c r="I132">
        <v>33.869999999999997</v>
      </c>
      <c r="J132">
        <v>52.62</v>
      </c>
      <c r="K132">
        <v>50.22</v>
      </c>
      <c r="L132">
        <v>48.83</v>
      </c>
      <c r="M132">
        <v>56.41</v>
      </c>
      <c r="N132">
        <f t="shared" si="14"/>
        <v>52.62</v>
      </c>
      <c r="O132">
        <v>7.58</v>
      </c>
      <c r="P132">
        <v>52.62</v>
      </c>
      <c r="Q132">
        <v>6.4</v>
      </c>
      <c r="S132" s="1"/>
      <c r="T132">
        <v>68.77</v>
      </c>
      <c r="U132">
        <v>68.02</v>
      </c>
      <c r="V132">
        <v>90.78</v>
      </c>
      <c r="W132">
        <v>75.5</v>
      </c>
      <c r="X132">
        <v>66.87</v>
      </c>
      <c r="Y132">
        <v>89.34</v>
      </c>
      <c r="Z132">
        <v>76.489999999999995</v>
      </c>
      <c r="AA132">
        <v>42.2</v>
      </c>
      <c r="AB132">
        <v>50.52</v>
      </c>
      <c r="AC132">
        <v>48.35</v>
      </c>
      <c r="AD132">
        <v>90.78</v>
      </c>
      <c r="AE132">
        <v>10.26</v>
      </c>
      <c r="AF132">
        <f t="shared" si="15"/>
        <v>50.52</v>
      </c>
      <c r="AG132">
        <v>80.52</v>
      </c>
      <c r="AH132">
        <v>50.52</v>
      </c>
      <c r="AI132">
        <v>0.95</v>
      </c>
      <c r="AK132" s="1"/>
      <c r="AL132">
        <v>68.92</v>
      </c>
      <c r="AM132">
        <v>63.07</v>
      </c>
      <c r="AN132">
        <v>36.47</v>
      </c>
      <c r="AO132">
        <v>45.51</v>
      </c>
      <c r="AP132">
        <v>64.790000000000006</v>
      </c>
      <c r="AQ132">
        <v>37.700000000000003</v>
      </c>
      <c r="AR132">
        <v>47.67</v>
      </c>
      <c r="AS132">
        <v>41.02</v>
      </c>
      <c r="AT132">
        <v>45.54</v>
      </c>
      <c r="AU132">
        <v>46.07</v>
      </c>
      <c r="AV132">
        <v>36.47</v>
      </c>
      <c r="AW132">
        <v>54.6</v>
      </c>
      <c r="AX132">
        <f t="shared" si="16"/>
        <v>45.534999999999997</v>
      </c>
      <c r="AY132">
        <v>18.13</v>
      </c>
      <c r="AZ132">
        <v>45.54</v>
      </c>
      <c r="BA132">
        <v>-8.18</v>
      </c>
      <c r="BP132" s="1"/>
      <c r="BQ132" s="1"/>
      <c r="BR132" s="1"/>
    </row>
    <row r="133" spans="1:70" x14ac:dyDescent="0.25">
      <c r="A133" s="1"/>
      <c r="B133">
        <v>57.34</v>
      </c>
      <c r="C133">
        <v>64.53</v>
      </c>
      <c r="D133">
        <v>42.67</v>
      </c>
      <c r="E133">
        <v>36.07</v>
      </c>
      <c r="F133">
        <v>47.58</v>
      </c>
      <c r="G133">
        <v>37.58</v>
      </c>
      <c r="H133">
        <v>41.99</v>
      </c>
      <c r="I133">
        <v>35.909999999999997</v>
      </c>
      <c r="J133">
        <v>50.56</v>
      </c>
      <c r="K133">
        <v>53.41</v>
      </c>
      <c r="L133">
        <v>42.67</v>
      </c>
      <c r="M133">
        <v>58.45</v>
      </c>
      <c r="N133">
        <f t="shared" si="14"/>
        <v>50.56</v>
      </c>
      <c r="O133">
        <v>15.78</v>
      </c>
      <c r="P133">
        <v>50.56</v>
      </c>
      <c r="Q133">
        <v>0.96</v>
      </c>
      <c r="S133" s="1"/>
      <c r="T133">
        <v>55.11</v>
      </c>
      <c r="U133">
        <v>63.72</v>
      </c>
      <c r="V133">
        <v>63.62</v>
      </c>
      <c r="W133">
        <v>50.42</v>
      </c>
      <c r="X133">
        <v>57.31</v>
      </c>
      <c r="Y133">
        <v>62.42</v>
      </c>
      <c r="Z133">
        <v>59.76</v>
      </c>
      <c r="AA133">
        <v>40.68</v>
      </c>
      <c r="AB133">
        <v>50.65</v>
      </c>
      <c r="AC133">
        <v>50.64</v>
      </c>
      <c r="AD133">
        <v>63.62</v>
      </c>
      <c r="AE133">
        <v>37.69</v>
      </c>
      <c r="AF133">
        <f t="shared" si="15"/>
        <v>50.655000000000001</v>
      </c>
      <c r="AG133">
        <v>25.93</v>
      </c>
      <c r="AH133">
        <v>50.65</v>
      </c>
      <c r="AI133">
        <v>-0.81</v>
      </c>
      <c r="AK133" s="1"/>
      <c r="AL133">
        <v>56.83</v>
      </c>
      <c r="AM133">
        <v>59.16</v>
      </c>
      <c r="AN133">
        <v>30.94</v>
      </c>
      <c r="AO133">
        <v>33.96</v>
      </c>
      <c r="AP133">
        <v>54.12</v>
      </c>
      <c r="AQ133">
        <v>29.3</v>
      </c>
      <c r="AR133">
        <v>38.020000000000003</v>
      </c>
      <c r="AS133">
        <v>42.67</v>
      </c>
      <c r="AT133">
        <v>53.88</v>
      </c>
      <c r="AU133">
        <v>55.5</v>
      </c>
      <c r="AV133">
        <v>30.94</v>
      </c>
      <c r="AW133">
        <v>76.819999999999993</v>
      </c>
      <c r="AX133">
        <f t="shared" si="16"/>
        <v>53.879999999999995</v>
      </c>
      <c r="AY133">
        <v>45.89</v>
      </c>
      <c r="AZ133">
        <v>53.88</v>
      </c>
      <c r="BA133">
        <v>5.47</v>
      </c>
      <c r="BP133" s="1"/>
      <c r="BQ133" s="1"/>
      <c r="BR133" s="1"/>
    </row>
    <row r="134" spans="1:70" x14ac:dyDescent="0.25">
      <c r="A134" s="1"/>
      <c r="B134">
        <v>48.62</v>
      </c>
      <c r="C134">
        <v>66.28</v>
      </c>
      <c r="D134">
        <v>41.1</v>
      </c>
      <c r="E134">
        <v>38.19</v>
      </c>
      <c r="F134">
        <v>54.21</v>
      </c>
      <c r="G134">
        <v>47.54</v>
      </c>
      <c r="H134">
        <v>50.66</v>
      </c>
      <c r="I134">
        <v>43.36</v>
      </c>
      <c r="J134">
        <v>49.8</v>
      </c>
      <c r="K134">
        <v>48.25</v>
      </c>
      <c r="L134">
        <v>41.1</v>
      </c>
      <c r="M134">
        <v>58.5</v>
      </c>
      <c r="N134">
        <f t="shared" si="14"/>
        <v>49.8</v>
      </c>
      <c r="O134">
        <v>17.399999999999999</v>
      </c>
      <c r="P134">
        <v>49.8</v>
      </c>
      <c r="Q134">
        <v>-0.62</v>
      </c>
      <c r="S134" s="1"/>
      <c r="T134">
        <v>49.35</v>
      </c>
      <c r="U134">
        <v>56.02</v>
      </c>
      <c r="V134">
        <v>58.83</v>
      </c>
      <c r="W134">
        <v>47.71</v>
      </c>
      <c r="X134">
        <v>52.56</v>
      </c>
      <c r="Y134">
        <v>67.209999999999994</v>
      </c>
      <c r="Z134">
        <v>58.99</v>
      </c>
      <c r="AA134">
        <v>42.6</v>
      </c>
      <c r="AB134">
        <v>48.83</v>
      </c>
      <c r="AC134">
        <v>46.47</v>
      </c>
      <c r="AD134">
        <v>58.83</v>
      </c>
      <c r="AE134">
        <v>38.840000000000003</v>
      </c>
      <c r="AF134">
        <f t="shared" si="15"/>
        <v>48.835000000000001</v>
      </c>
      <c r="AG134">
        <v>19.98</v>
      </c>
      <c r="AH134">
        <v>48.83</v>
      </c>
      <c r="AI134">
        <v>-1.8</v>
      </c>
      <c r="AK134" s="1"/>
      <c r="AL134">
        <v>49.45</v>
      </c>
      <c r="AM134">
        <v>41.22</v>
      </c>
      <c r="AN134">
        <v>40.35</v>
      </c>
      <c r="AO134">
        <v>44.04</v>
      </c>
      <c r="AP134">
        <v>40.54</v>
      </c>
      <c r="AQ134">
        <v>36.89</v>
      </c>
      <c r="AR134">
        <v>38.630000000000003</v>
      </c>
      <c r="AS134">
        <v>38.340000000000003</v>
      </c>
      <c r="AT134">
        <v>46.27</v>
      </c>
      <c r="AU134">
        <v>48.56</v>
      </c>
      <c r="AV134">
        <v>40.35</v>
      </c>
      <c r="AW134">
        <v>52.18</v>
      </c>
      <c r="AX134">
        <f t="shared" si="16"/>
        <v>46.265000000000001</v>
      </c>
      <c r="AY134">
        <v>11.84</v>
      </c>
      <c r="AZ134">
        <v>46.27</v>
      </c>
      <c r="BA134">
        <v>-7.57</v>
      </c>
      <c r="BP134" s="1"/>
      <c r="BQ134" s="1"/>
      <c r="BR134" s="1"/>
    </row>
    <row r="135" spans="1:70" x14ac:dyDescent="0.25">
      <c r="A135" s="1"/>
      <c r="B135">
        <v>49.03</v>
      </c>
      <c r="C135">
        <v>60.67</v>
      </c>
      <c r="D135">
        <v>46.21</v>
      </c>
      <c r="E135">
        <v>36.9</v>
      </c>
      <c r="F135">
        <v>45.31</v>
      </c>
      <c r="G135">
        <v>43.87</v>
      </c>
      <c r="H135">
        <v>44.58</v>
      </c>
      <c r="I135">
        <v>38.01</v>
      </c>
      <c r="J135">
        <v>48.79</v>
      </c>
      <c r="K135">
        <v>47.35</v>
      </c>
      <c r="L135">
        <v>46.21</v>
      </c>
      <c r="M135">
        <v>51.36</v>
      </c>
      <c r="N135">
        <f t="shared" si="14"/>
        <v>48.784999999999997</v>
      </c>
      <c r="O135">
        <v>5.16</v>
      </c>
      <c r="P135">
        <v>48.79</v>
      </c>
      <c r="Q135">
        <v>-2.97</v>
      </c>
      <c r="S135" s="1"/>
      <c r="T135">
        <v>52.28</v>
      </c>
      <c r="U135">
        <v>57.15</v>
      </c>
      <c r="V135">
        <v>66.400000000000006</v>
      </c>
      <c r="W135">
        <v>52.86</v>
      </c>
      <c r="X135">
        <v>53.67</v>
      </c>
      <c r="Y135">
        <v>66.400000000000006</v>
      </c>
      <c r="Z135">
        <v>59.36</v>
      </c>
      <c r="AA135">
        <v>46.98</v>
      </c>
      <c r="AB135">
        <v>54.87</v>
      </c>
      <c r="AC135">
        <v>52.46</v>
      </c>
      <c r="AD135">
        <v>66.400000000000006</v>
      </c>
      <c r="AE135">
        <v>43.34</v>
      </c>
      <c r="AF135">
        <f t="shared" si="15"/>
        <v>54.870000000000005</v>
      </c>
      <c r="AG135">
        <v>23.07</v>
      </c>
      <c r="AH135">
        <v>54.87</v>
      </c>
      <c r="AI135">
        <v>10.63</v>
      </c>
      <c r="AK135" s="1"/>
      <c r="AL135">
        <v>47.86</v>
      </c>
      <c r="AM135">
        <v>52.75</v>
      </c>
      <c r="AN135">
        <v>40.94</v>
      </c>
      <c r="AO135">
        <v>37.17</v>
      </c>
      <c r="AP135">
        <v>44.75</v>
      </c>
      <c r="AQ135">
        <v>38.74</v>
      </c>
      <c r="AR135">
        <v>41.53</v>
      </c>
      <c r="AS135">
        <v>42.36</v>
      </c>
      <c r="AT135">
        <v>49.68</v>
      </c>
      <c r="AU135">
        <v>46</v>
      </c>
      <c r="AV135">
        <v>40.94</v>
      </c>
      <c r="AW135">
        <v>58.43</v>
      </c>
      <c r="AX135">
        <f t="shared" si="16"/>
        <v>49.685000000000002</v>
      </c>
      <c r="AY135">
        <v>17.489999999999998</v>
      </c>
      <c r="AZ135">
        <v>49.68</v>
      </c>
      <c r="BA135">
        <v>0.77</v>
      </c>
      <c r="BP135" s="1"/>
      <c r="BQ135" s="1"/>
      <c r="BR135" s="1"/>
    </row>
    <row r="136" spans="1:70" x14ac:dyDescent="0.25">
      <c r="B136" s="2">
        <f>AVERAGE(B126:B135)</f>
        <v>59.482000000000006</v>
      </c>
      <c r="C136" s="2">
        <f t="shared" ref="C136:BA136" si="30">AVERAGE(C126:C135)</f>
        <v>68.72199999999998</v>
      </c>
      <c r="D136" s="2">
        <f t="shared" si="30"/>
        <v>37.657000000000004</v>
      </c>
      <c r="E136" s="2">
        <f t="shared" si="30"/>
        <v>36.730000000000004</v>
      </c>
      <c r="F136" s="2">
        <f t="shared" si="30"/>
        <v>55.14200000000001</v>
      </c>
      <c r="G136" s="2">
        <f t="shared" si="30"/>
        <v>35.280000000000008</v>
      </c>
      <c r="H136" s="2">
        <f t="shared" si="30"/>
        <v>41.478000000000002</v>
      </c>
      <c r="I136" s="2">
        <f t="shared" si="30"/>
        <v>38.9</v>
      </c>
      <c r="J136" s="2">
        <f t="shared" si="30"/>
        <v>50.364000000000004</v>
      </c>
      <c r="K136" s="2">
        <f t="shared" si="30"/>
        <v>49.793999999999997</v>
      </c>
      <c r="L136" s="2">
        <f t="shared" si="30"/>
        <v>37.657000000000004</v>
      </c>
      <c r="M136" s="2">
        <f t="shared" si="30"/>
        <v>63.066999999999993</v>
      </c>
      <c r="N136" s="2">
        <f t="shared" si="30"/>
        <v>50.362000000000002</v>
      </c>
      <c r="O136" s="2">
        <f t="shared" si="30"/>
        <v>27.608000000000004</v>
      </c>
      <c r="P136" s="2">
        <f t="shared" si="30"/>
        <v>50.364000000000004</v>
      </c>
      <c r="Q136" s="2">
        <f t="shared" si="30"/>
        <v>1.1420000000000001</v>
      </c>
      <c r="R136" s="2"/>
      <c r="S136" s="2"/>
      <c r="T136" s="2">
        <f t="shared" si="30"/>
        <v>59.341999999999999</v>
      </c>
      <c r="U136" s="2">
        <f t="shared" si="30"/>
        <v>59.811999999999991</v>
      </c>
      <c r="V136" s="2">
        <f t="shared" si="30"/>
        <v>60.444000000000003</v>
      </c>
      <c r="W136" s="2">
        <f t="shared" si="30"/>
        <v>54.669999999999995</v>
      </c>
      <c r="X136" s="2">
        <f t="shared" si="30"/>
        <v>61.439</v>
      </c>
      <c r="Y136" s="2">
        <f t="shared" si="30"/>
        <v>63.125999999999998</v>
      </c>
      <c r="Z136" s="2">
        <f t="shared" si="30"/>
        <v>61.380999999999993</v>
      </c>
      <c r="AA136" s="2">
        <f t="shared" si="30"/>
        <v>44.135000000000005</v>
      </c>
      <c r="AB136" s="2">
        <f t="shared" si="30"/>
        <v>49.735999999999997</v>
      </c>
      <c r="AC136" s="2">
        <f t="shared" si="30"/>
        <v>49.350000000000009</v>
      </c>
      <c r="AD136" s="2">
        <f t="shared" si="30"/>
        <v>60.444000000000003</v>
      </c>
      <c r="AE136" s="2">
        <f t="shared" si="30"/>
        <v>39.031000000000006</v>
      </c>
      <c r="AF136" s="2">
        <f t="shared" si="30"/>
        <v>49.737499999999997</v>
      </c>
      <c r="AG136" s="2">
        <f t="shared" si="30"/>
        <v>26.183000000000003</v>
      </c>
      <c r="AH136" s="2">
        <f t="shared" si="30"/>
        <v>49.735999999999997</v>
      </c>
      <c r="AI136" s="2">
        <f t="shared" si="30"/>
        <v>-0.76199999999999957</v>
      </c>
      <c r="AJ136" s="2"/>
      <c r="AK136" s="2"/>
      <c r="AL136" s="2">
        <f t="shared" si="30"/>
        <v>60.883000000000003</v>
      </c>
      <c r="AM136" s="2">
        <f t="shared" si="30"/>
        <v>60.395000000000003</v>
      </c>
      <c r="AN136" s="2">
        <f t="shared" si="30"/>
        <v>43.323</v>
      </c>
      <c r="AO136" s="2">
        <f t="shared" si="30"/>
        <v>44.127000000000002</v>
      </c>
      <c r="AP136" s="2">
        <f t="shared" si="30"/>
        <v>56.708000000000006</v>
      </c>
      <c r="AQ136" s="2">
        <f t="shared" si="30"/>
        <v>42.035000000000004</v>
      </c>
      <c r="AR136" s="2">
        <f t="shared" si="30"/>
        <v>47.081999999999994</v>
      </c>
      <c r="AS136" s="2">
        <f t="shared" si="30"/>
        <v>40.774999999999999</v>
      </c>
      <c r="AT136" s="2">
        <f t="shared" si="30"/>
        <v>50.119</v>
      </c>
      <c r="AU136" s="2">
        <f t="shared" si="30"/>
        <v>51.106999999999999</v>
      </c>
      <c r="AV136" s="2">
        <f t="shared" si="30"/>
        <v>43.323</v>
      </c>
      <c r="AW136" s="2">
        <f t="shared" si="30"/>
        <v>56.914999999999999</v>
      </c>
      <c r="AX136" s="2">
        <f t="shared" si="30"/>
        <v>50.119</v>
      </c>
      <c r="AY136" s="2">
        <f t="shared" si="30"/>
        <v>25.712</v>
      </c>
      <c r="AZ136" s="2">
        <f t="shared" si="30"/>
        <v>50.119</v>
      </c>
      <c r="BA136" s="2">
        <f t="shared" si="30"/>
        <v>0.51199999999999979</v>
      </c>
      <c r="BP136" s="2"/>
      <c r="BQ136" s="2"/>
      <c r="BR136" s="2"/>
    </row>
    <row r="139" spans="1:70" x14ac:dyDescent="0.25">
      <c r="A139" s="1" t="s">
        <v>26</v>
      </c>
      <c r="B139">
        <v>75.63</v>
      </c>
      <c r="C139">
        <v>62.69</v>
      </c>
      <c r="D139">
        <v>40.770000000000003</v>
      </c>
      <c r="E139">
        <v>36.32</v>
      </c>
      <c r="F139">
        <v>52.63</v>
      </c>
      <c r="G139">
        <v>32.79</v>
      </c>
      <c r="H139">
        <v>40.4</v>
      </c>
      <c r="I139">
        <v>30.57</v>
      </c>
      <c r="J139">
        <v>47.89</v>
      </c>
      <c r="K139">
        <v>51.19</v>
      </c>
      <c r="L139">
        <v>40.770000000000003</v>
      </c>
      <c r="M139">
        <v>55.01</v>
      </c>
      <c r="N139">
        <f t="shared" ref="N139:N148" si="31">(L139+M139)/2</f>
        <v>47.89</v>
      </c>
      <c r="O139">
        <v>14.24</v>
      </c>
      <c r="P139">
        <v>47.89</v>
      </c>
      <c r="Q139">
        <v>-6.41</v>
      </c>
      <c r="S139" s="1" t="s">
        <v>26</v>
      </c>
      <c r="T139">
        <v>75.150000000000006</v>
      </c>
      <c r="U139">
        <v>81.36</v>
      </c>
      <c r="V139">
        <v>39.9</v>
      </c>
      <c r="W139">
        <v>48.44</v>
      </c>
      <c r="X139">
        <v>82.54</v>
      </c>
      <c r="Y139">
        <v>42.62</v>
      </c>
      <c r="Z139">
        <v>56.22</v>
      </c>
      <c r="AA139">
        <v>49.11</v>
      </c>
      <c r="AB139">
        <v>58.95</v>
      </c>
      <c r="AC139">
        <v>55.71</v>
      </c>
      <c r="AD139">
        <v>39.9</v>
      </c>
      <c r="AE139">
        <v>78.010000000000005</v>
      </c>
      <c r="AF139">
        <f t="shared" ref="AF139:AF148" si="32">(AD139+AE139)/2</f>
        <v>58.954999999999998</v>
      </c>
      <c r="AG139">
        <v>38.11</v>
      </c>
      <c r="AH139">
        <v>58.95</v>
      </c>
      <c r="AI139">
        <v>19.22</v>
      </c>
      <c r="AK139" s="1" t="s">
        <v>26</v>
      </c>
      <c r="AL139">
        <v>81.28</v>
      </c>
      <c r="AM139">
        <v>71.98</v>
      </c>
      <c r="AN139">
        <v>71.61</v>
      </c>
      <c r="AO139">
        <v>62.93</v>
      </c>
      <c r="AP139">
        <v>64.569999999999993</v>
      </c>
      <c r="AQ139">
        <v>67.209999999999994</v>
      </c>
      <c r="AR139">
        <v>65.86</v>
      </c>
      <c r="AS139">
        <v>40.6</v>
      </c>
      <c r="AT139">
        <v>52.87</v>
      </c>
      <c r="AU139">
        <v>64.260000000000005</v>
      </c>
      <c r="AV139">
        <v>71.61</v>
      </c>
      <c r="AW139">
        <v>34.130000000000003</v>
      </c>
      <c r="AX139">
        <f>(AV139+AW139)/2</f>
        <v>52.870000000000005</v>
      </c>
      <c r="AY139">
        <v>37.479999999999997</v>
      </c>
      <c r="AZ139">
        <v>52.87</v>
      </c>
      <c r="BA139">
        <v>4.4400000000000004</v>
      </c>
      <c r="BP139" s="1">
        <f>(O139+AG139+AY139)/3</f>
        <v>29.943333333333332</v>
      </c>
      <c r="BQ139" s="1">
        <f t="shared" ref="BQ139:BQ148" si="33">(P139+AH139+AZ139)/3</f>
        <v>53.236666666666672</v>
      </c>
      <c r="BR139" s="1">
        <f t="shared" ref="BR139:BR148" si="34">(Q139+AI139+BA139)/3</f>
        <v>5.75</v>
      </c>
    </row>
    <row r="140" spans="1:70" x14ac:dyDescent="0.25">
      <c r="A140" s="1"/>
      <c r="B140">
        <v>82.88</v>
      </c>
      <c r="C140">
        <v>76.23</v>
      </c>
      <c r="D140">
        <v>58</v>
      </c>
      <c r="E140">
        <v>62.36</v>
      </c>
      <c r="F140">
        <v>77.08</v>
      </c>
      <c r="G140">
        <v>60.66</v>
      </c>
      <c r="H140">
        <v>67.89</v>
      </c>
      <c r="I140">
        <v>51.14</v>
      </c>
      <c r="J140">
        <v>57.68</v>
      </c>
      <c r="K140">
        <v>69.02</v>
      </c>
      <c r="L140">
        <v>58</v>
      </c>
      <c r="M140">
        <v>57.36</v>
      </c>
      <c r="N140">
        <f t="shared" si="31"/>
        <v>57.68</v>
      </c>
      <c r="O140">
        <v>0.63</v>
      </c>
      <c r="P140">
        <v>57.68</v>
      </c>
      <c r="Q140">
        <v>15.26</v>
      </c>
      <c r="T140">
        <v>82.91</v>
      </c>
      <c r="U140">
        <v>78.92</v>
      </c>
      <c r="V140">
        <v>64.95</v>
      </c>
      <c r="W140">
        <v>69.62</v>
      </c>
      <c r="X140">
        <v>81.55</v>
      </c>
      <c r="Y140">
        <v>68.849999999999994</v>
      </c>
      <c r="Z140">
        <v>74.67</v>
      </c>
      <c r="AA140">
        <v>60.17</v>
      </c>
      <c r="AB140">
        <v>61.47</v>
      </c>
      <c r="AC140">
        <v>73.760000000000005</v>
      </c>
      <c r="AD140">
        <v>64.95</v>
      </c>
      <c r="AE140">
        <v>57.98</v>
      </c>
      <c r="AF140">
        <f t="shared" si="32"/>
        <v>61.465000000000003</v>
      </c>
      <c r="AG140">
        <v>6.97</v>
      </c>
      <c r="AH140">
        <v>61.47</v>
      </c>
      <c r="AI140">
        <v>27.72</v>
      </c>
      <c r="AL140">
        <v>86.86</v>
      </c>
      <c r="AM140">
        <v>76.69</v>
      </c>
      <c r="AN140">
        <v>84.11</v>
      </c>
      <c r="AO140">
        <v>79.849999999999994</v>
      </c>
      <c r="AP140">
        <v>78.099999999999994</v>
      </c>
      <c r="AQ140">
        <v>87.7</v>
      </c>
      <c r="AR140">
        <v>82.63</v>
      </c>
      <c r="AS140">
        <v>55.82</v>
      </c>
      <c r="AT140">
        <v>57.75</v>
      </c>
      <c r="AU140">
        <v>71.95</v>
      </c>
      <c r="AV140">
        <v>84.11</v>
      </c>
      <c r="AW140">
        <v>31.39</v>
      </c>
      <c r="AX140">
        <f t="shared" ref="AX140:AX148" si="35">(AV140+AW140)/2</f>
        <v>57.75</v>
      </c>
      <c r="AY140">
        <v>52.72</v>
      </c>
      <c r="AZ140">
        <v>57.75</v>
      </c>
      <c r="BA140">
        <v>16.16</v>
      </c>
      <c r="BP140" s="1">
        <f t="shared" ref="BP140:BP148" si="36">(O140+AG140+AY140)/3</f>
        <v>20.106666666666666</v>
      </c>
      <c r="BQ140" s="1">
        <f t="shared" si="33"/>
        <v>58.966666666666669</v>
      </c>
      <c r="BR140" s="1">
        <f t="shared" si="34"/>
        <v>19.713333333333335</v>
      </c>
    </row>
    <row r="141" spans="1:70" x14ac:dyDescent="0.25">
      <c r="A141" s="1"/>
      <c r="B141">
        <v>62.27</v>
      </c>
      <c r="C141">
        <v>80.22</v>
      </c>
      <c r="D141">
        <v>47.52</v>
      </c>
      <c r="E141">
        <v>44.02</v>
      </c>
      <c r="F141">
        <v>66.930000000000007</v>
      </c>
      <c r="G141">
        <v>54.14</v>
      </c>
      <c r="H141">
        <v>59.86</v>
      </c>
      <c r="I141">
        <v>42.9</v>
      </c>
      <c r="J141">
        <v>53.53</v>
      </c>
      <c r="K141">
        <v>66.38</v>
      </c>
      <c r="L141">
        <v>47.52</v>
      </c>
      <c r="M141">
        <v>59.54</v>
      </c>
      <c r="N141">
        <f t="shared" si="31"/>
        <v>53.53</v>
      </c>
      <c r="O141">
        <v>12.02</v>
      </c>
      <c r="P141">
        <v>53.53</v>
      </c>
      <c r="Q141">
        <v>6.94</v>
      </c>
      <c r="T141">
        <v>62.47</v>
      </c>
      <c r="U141">
        <v>73.42</v>
      </c>
      <c r="V141">
        <v>54.66</v>
      </c>
      <c r="W141">
        <v>53.12</v>
      </c>
      <c r="X141">
        <v>70.680000000000007</v>
      </c>
      <c r="Y141">
        <v>59.87</v>
      </c>
      <c r="Z141">
        <v>64.83</v>
      </c>
      <c r="AA141">
        <v>51.23</v>
      </c>
      <c r="AB141">
        <v>59.1</v>
      </c>
      <c r="AC141">
        <v>67.09</v>
      </c>
      <c r="AD141">
        <v>54.66</v>
      </c>
      <c r="AE141">
        <v>63.54</v>
      </c>
      <c r="AF141">
        <f t="shared" si="32"/>
        <v>59.099999999999994</v>
      </c>
      <c r="AG141">
        <v>8.8800000000000008</v>
      </c>
      <c r="AH141">
        <v>59.1</v>
      </c>
      <c r="AI141">
        <v>20.440000000000001</v>
      </c>
      <c r="AL141">
        <v>63.62</v>
      </c>
      <c r="AM141">
        <v>66.88</v>
      </c>
      <c r="AN141">
        <v>61.09</v>
      </c>
      <c r="AO141">
        <v>54.19</v>
      </c>
      <c r="AP141">
        <v>67.72</v>
      </c>
      <c r="AQ141">
        <v>68.150000000000006</v>
      </c>
      <c r="AR141">
        <v>67.94</v>
      </c>
      <c r="AS141">
        <v>47.05</v>
      </c>
      <c r="AT141">
        <v>53.75</v>
      </c>
      <c r="AU141">
        <v>64.010000000000005</v>
      </c>
      <c r="AV141">
        <v>61.09</v>
      </c>
      <c r="AW141">
        <v>46.4</v>
      </c>
      <c r="AX141">
        <f t="shared" si="35"/>
        <v>53.745000000000005</v>
      </c>
      <c r="AY141">
        <v>14.7</v>
      </c>
      <c r="AZ141">
        <v>53.75</v>
      </c>
      <c r="BA141">
        <v>7.16</v>
      </c>
      <c r="BP141" s="1">
        <f t="shared" si="36"/>
        <v>11.866666666666665</v>
      </c>
      <c r="BQ141" s="1">
        <f t="shared" si="33"/>
        <v>55.46</v>
      </c>
      <c r="BR141" s="1">
        <f t="shared" si="34"/>
        <v>11.513333333333335</v>
      </c>
    </row>
    <row r="142" spans="1:70" x14ac:dyDescent="0.25">
      <c r="A142" s="1"/>
      <c r="B142">
        <v>82.96</v>
      </c>
      <c r="C142">
        <v>96.21</v>
      </c>
      <c r="D142">
        <v>30.82</v>
      </c>
      <c r="E142">
        <v>34.53</v>
      </c>
      <c r="F142">
        <v>89.36</v>
      </c>
      <c r="G142">
        <v>34.43</v>
      </c>
      <c r="H142">
        <v>49.7</v>
      </c>
      <c r="I142">
        <v>44.18</v>
      </c>
      <c r="J142">
        <v>59</v>
      </c>
      <c r="K142">
        <v>70.150000000000006</v>
      </c>
      <c r="L142">
        <v>30.82</v>
      </c>
      <c r="M142">
        <v>87.18</v>
      </c>
      <c r="N142">
        <f t="shared" si="31"/>
        <v>59</v>
      </c>
      <c r="O142">
        <v>56.36</v>
      </c>
      <c r="P142">
        <v>59</v>
      </c>
      <c r="Q142">
        <v>22.84</v>
      </c>
      <c r="T142">
        <v>82.97</v>
      </c>
      <c r="U142">
        <v>87.06</v>
      </c>
      <c r="V142">
        <v>49.15</v>
      </c>
      <c r="W142">
        <v>53.69</v>
      </c>
      <c r="X142">
        <v>84.29</v>
      </c>
      <c r="Y142">
        <v>48.36</v>
      </c>
      <c r="Z142">
        <v>61.46</v>
      </c>
      <c r="AA142">
        <v>54.59</v>
      </c>
      <c r="AB142">
        <v>64.36</v>
      </c>
      <c r="AC142">
        <v>72.239999999999995</v>
      </c>
      <c r="AD142">
        <v>49.15</v>
      </c>
      <c r="AE142">
        <v>79.56</v>
      </c>
      <c r="AF142">
        <f t="shared" si="32"/>
        <v>64.355000000000004</v>
      </c>
      <c r="AG142">
        <v>30.41</v>
      </c>
      <c r="AH142">
        <v>64.36</v>
      </c>
      <c r="AI142">
        <v>31.74</v>
      </c>
      <c r="AL142">
        <v>82.13</v>
      </c>
      <c r="AM142">
        <v>84.2</v>
      </c>
      <c r="AN142">
        <v>40.450000000000003</v>
      </c>
      <c r="AO142">
        <v>48.34</v>
      </c>
      <c r="AP142">
        <v>82.54</v>
      </c>
      <c r="AQ142">
        <v>42.62</v>
      </c>
      <c r="AR142">
        <v>56.22</v>
      </c>
      <c r="AS142">
        <v>48.54</v>
      </c>
      <c r="AT142">
        <v>58.46</v>
      </c>
      <c r="AU142">
        <v>67.36</v>
      </c>
      <c r="AV142">
        <v>40.450000000000003</v>
      </c>
      <c r="AW142">
        <v>76.459999999999994</v>
      </c>
      <c r="AX142">
        <f t="shared" si="35"/>
        <v>58.454999999999998</v>
      </c>
      <c r="AY142">
        <v>36</v>
      </c>
      <c r="AZ142">
        <v>58.46</v>
      </c>
      <c r="BA142">
        <v>19.82</v>
      </c>
      <c r="BP142" s="1">
        <f t="shared" si="36"/>
        <v>40.923333333333332</v>
      </c>
      <c r="BQ142" s="1">
        <f t="shared" si="33"/>
        <v>60.606666666666662</v>
      </c>
      <c r="BR142" s="1">
        <f t="shared" si="34"/>
        <v>24.8</v>
      </c>
    </row>
    <row r="143" spans="1:70" x14ac:dyDescent="0.25">
      <c r="A143" s="1"/>
      <c r="B143">
        <v>63.78</v>
      </c>
      <c r="C143">
        <v>67.33</v>
      </c>
      <c r="D143">
        <v>52.87</v>
      </c>
      <c r="E143">
        <v>40.96</v>
      </c>
      <c r="F143">
        <v>54.89</v>
      </c>
      <c r="G143">
        <v>46.5</v>
      </c>
      <c r="H143">
        <v>50.34</v>
      </c>
      <c r="I143">
        <v>40.090000000000003</v>
      </c>
      <c r="J143">
        <v>55.07</v>
      </c>
      <c r="K143">
        <v>66.540000000000006</v>
      </c>
      <c r="L143">
        <v>52.87</v>
      </c>
      <c r="M143">
        <v>57.27</v>
      </c>
      <c r="N143">
        <f t="shared" si="31"/>
        <v>55.07</v>
      </c>
      <c r="O143">
        <v>4.4000000000000004</v>
      </c>
      <c r="P143">
        <v>55.07</v>
      </c>
      <c r="Q143">
        <v>11.36</v>
      </c>
      <c r="T143">
        <v>64.8</v>
      </c>
      <c r="U143">
        <v>63.82</v>
      </c>
      <c r="V143">
        <v>59.75</v>
      </c>
      <c r="W143">
        <v>45.82</v>
      </c>
      <c r="X143">
        <v>51.23</v>
      </c>
      <c r="Y143">
        <v>52.87</v>
      </c>
      <c r="Z143">
        <v>52.04</v>
      </c>
      <c r="AA143">
        <v>39.950000000000003</v>
      </c>
      <c r="AB143">
        <v>55.79</v>
      </c>
      <c r="AC143">
        <v>65.709999999999994</v>
      </c>
      <c r="AD143">
        <v>59.75</v>
      </c>
      <c r="AE143">
        <v>51.83</v>
      </c>
      <c r="AF143">
        <f t="shared" si="32"/>
        <v>55.79</v>
      </c>
      <c r="AG143">
        <v>7.92</v>
      </c>
      <c r="AH143">
        <v>55.79</v>
      </c>
      <c r="AI143">
        <v>14.39</v>
      </c>
      <c r="AL143">
        <v>64.040000000000006</v>
      </c>
      <c r="AM143">
        <v>57.49</v>
      </c>
      <c r="AN143">
        <v>56.36</v>
      </c>
      <c r="AO143">
        <v>44.46</v>
      </c>
      <c r="AP143">
        <v>49.07</v>
      </c>
      <c r="AQ143">
        <v>50.32</v>
      </c>
      <c r="AR143">
        <v>49.69</v>
      </c>
      <c r="AS143">
        <v>36.729999999999997</v>
      </c>
      <c r="AT143">
        <v>51.15</v>
      </c>
      <c r="AU143">
        <v>64.11</v>
      </c>
      <c r="AV143">
        <v>56.36</v>
      </c>
      <c r="AW143">
        <v>45.93</v>
      </c>
      <c r="AX143">
        <f t="shared" si="35"/>
        <v>51.144999999999996</v>
      </c>
      <c r="AY143">
        <v>10.44</v>
      </c>
      <c r="AZ143">
        <v>51.15</v>
      </c>
      <c r="BA143">
        <v>2.82</v>
      </c>
      <c r="BP143" s="1">
        <f t="shared" si="36"/>
        <v>7.586666666666666</v>
      </c>
      <c r="BQ143" s="1">
        <f t="shared" si="33"/>
        <v>54.00333333333333</v>
      </c>
      <c r="BR143" s="1">
        <f t="shared" si="34"/>
        <v>9.5233333333333334</v>
      </c>
    </row>
    <row r="144" spans="1:70" x14ac:dyDescent="0.25">
      <c r="A144" s="1"/>
      <c r="B144">
        <v>55.91</v>
      </c>
      <c r="C144">
        <v>61.29</v>
      </c>
      <c r="D144">
        <v>64.239999999999995</v>
      </c>
      <c r="E144">
        <v>49.63</v>
      </c>
      <c r="F144">
        <v>51.72</v>
      </c>
      <c r="G144">
        <v>61.48</v>
      </c>
      <c r="H144">
        <v>56.18</v>
      </c>
      <c r="I144">
        <v>45.71</v>
      </c>
      <c r="J144">
        <v>56.88</v>
      </c>
      <c r="K144">
        <v>61.47</v>
      </c>
      <c r="L144">
        <v>64.239999999999995</v>
      </c>
      <c r="M144">
        <v>49.51</v>
      </c>
      <c r="N144">
        <f t="shared" si="31"/>
        <v>56.875</v>
      </c>
      <c r="O144">
        <v>14.73</v>
      </c>
      <c r="P144">
        <v>56.88</v>
      </c>
      <c r="Q144">
        <v>15.76</v>
      </c>
      <c r="T144">
        <v>58.31</v>
      </c>
      <c r="U144">
        <v>59.03</v>
      </c>
      <c r="V144">
        <v>68.099999999999994</v>
      </c>
      <c r="W144">
        <v>53.31</v>
      </c>
      <c r="X144">
        <v>53.16</v>
      </c>
      <c r="Y144">
        <v>68.849999999999994</v>
      </c>
      <c r="Z144">
        <v>60</v>
      </c>
      <c r="AA144">
        <v>47.67</v>
      </c>
      <c r="AB144">
        <v>58.17</v>
      </c>
      <c r="AC144">
        <v>60.87</v>
      </c>
      <c r="AD144">
        <v>68.099999999999994</v>
      </c>
      <c r="AE144">
        <v>48.24</v>
      </c>
      <c r="AF144">
        <f t="shared" si="32"/>
        <v>58.17</v>
      </c>
      <c r="AG144">
        <v>19.87</v>
      </c>
      <c r="AH144">
        <v>58.17</v>
      </c>
      <c r="AI144">
        <v>18.22</v>
      </c>
      <c r="AL144">
        <v>57.85</v>
      </c>
      <c r="AM144">
        <v>54.15</v>
      </c>
      <c r="AN144">
        <v>62.55</v>
      </c>
      <c r="AO144">
        <v>49.47</v>
      </c>
      <c r="AP144">
        <v>51.61</v>
      </c>
      <c r="AQ144">
        <v>65.569999999999993</v>
      </c>
      <c r="AR144">
        <v>57.76</v>
      </c>
      <c r="AS144">
        <v>42.75</v>
      </c>
      <c r="AT144">
        <v>53.58</v>
      </c>
      <c r="AU144">
        <v>61.03</v>
      </c>
      <c r="AV144">
        <v>62.55</v>
      </c>
      <c r="AW144">
        <v>44.61</v>
      </c>
      <c r="AX144">
        <f t="shared" si="35"/>
        <v>53.58</v>
      </c>
      <c r="AY144">
        <v>17.940000000000001</v>
      </c>
      <c r="AZ144">
        <v>53.58</v>
      </c>
      <c r="BA144">
        <v>7.62</v>
      </c>
      <c r="BP144" s="1">
        <f t="shared" si="36"/>
        <v>17.513333333333335</v>
      </c>
      <c r="BQ144" s="1">
        <f t="shared" si="33"/>
        <v>56.21</v>
      </c>
      <c r="BR144" s="1">
        <f t="shared" si="34"/>
        <v>13.866666666666665</v>
      </c>
    </row>
    <row r="145" spans="1:70" x14ac:dyDescent="0.25">
      <c r="A145" s="1"/>
      <c r="B145">
        <v>78.760000000000005</v>
      </c>
      <c r="C145">
        <v>77.27</v>
      </c>
      <c r="D145">
        <v>69.03</v>
      </c>
      <c r="E145">
        <v>71.69</v>
      </c>
      <c r="F145">
        <v>78.900000000000006</v>
      </c>
      <c r="G145">
        <v>70.489999999999995</v>
      </c>
      <c r="H145">
        <v>74.459999999999994</v>
      </c>
      <c r="I145">
        <v>59.04</v>
      </c>
      <c r="J145">
        <v>60.71</v>
      </c>
      <c r="K145">
        <v>66.67</v>
      </c>
      <c r="L145">
        <v>69.03</v>
      </c>
      <c r="M145">
        <v>52.39</v>
      </c>
      <c r="N145">
        <f t="shared" si="31"/>
        <v>60.71</v>
      </c>
      <c r="O145">
        <v>16.64</v>
      </c>
      <c r="P145">
        <v>60.71</v>
      </c>
      <c r="Q145">
        <v>23.98</v>
      </c>
      <c r="T145">
        <v>83.16</v>
      </c>
      <c r="U145">
        <v>83.93</v>
      </c>
      <c r="V145">
        <v>60.77</v>
      </c>
      <c r="W145">
        <v>60.78</v>
      </c>
      <c r="X145">
        <v>78.89</v>
      </c>
      <c r="Y145">
        <v>58.2</v>
      </c>
      <c r="Z145">
        <v>66.98</v>
      </c>
      <c r="AA145">
        <v>53.19</v>
      </c>
      <c r="AB145">
        <v>62.24</v>
      </c>
      <c r="AC145">
        <v>72.3</v>
      </c>
      <c r="AD145">
        <v>60.77</v>
      </c>
      <c r="AE145">
        <v>63.71</v>
      </c>
      <c r="AF145">
        <f t="shared" si="32"/>
        <v>62.24</v>
      </c>
      <c r="AG145">
        <v>2.94</v>
      </c>
      <c r="AH145">
        <v>62.24</v>
      </c>
      <c r="AI145">
        <v>28.25</v>
      </c>
      <c r="AL145">
        <v>81.37</v>
      </c>
      <c r="AM145">
        <v>81.61</v>
      </c>
      <c r="AN145">
        <v>63.72</v>
      </c>
      <c r="AO145">
        <v>64.25</v>
      </c>
      <c r="AP145">
        <v>77.55</v>
      </c>
      <c r="AQ145">
        <v>62.3</v>
      </c>
      <c r="AR145">
        <v>69.09</v>
      </c>
      <c r="AS145">
        <v>52.89</v>
      </c>
      <c r="AT145">
        <v>61.42</v>
      </c>
      <c r="AU145">
        <v>67.92</v>
      </c>
      <c r="AV145">
        <v>63.72</v>
      </c>
      <c r="AW145">
        <v>59.13</v>
      </c>
      <c r="AX145">
        <f t="shared" si="35"/>
        <v>61.424999999999997</v>
      </c>
      <c r="AY145">
        <v>4.59</v>
      </c>
      <c r="AZ145">
        <v>61.42</v>
      </c>
      <c r="BA145">
        <v>25.45</v>
      </c>
      <c r="BP145" s="1">
        <f t="shared" si="36"/>
        <v>8.0566666666666666</v>
      </c>
      <c r="BQ145" s="1">
        <f t="shared" si="33"/>
        <v>61.456666666666671</v>
      </c>
      <c r="BR145" s="1">
        <f t="shared" si="34"/>
        <v>25.893333333333334</v>
      </c>
    </row>
    <row r="146" spans="1:70" x14ac:dyDescent="0.25">
      <c r="A146" s="1"/>
      <c r="B146">
        <v>61.8</v>
      </c>
      <c r="C146">
        <v>65.23</v>
      </c>
      <c r="D146">
        <v>52.19</v>
      </c>
      <c r="E146">
        <v>48.93</v>
      </c>
      <c r="F146">
        <v>64.489999999999995</v>
      </c>
      <c r="G146">
        <v>56.69</v>
      </c>
      <c r="H146">
        <v>60.34</v>
      </c>
      <c r="I146">
        <v>46.66</v>
      </c>
      <c r="J146">
        <v>55.08</v>
      </c>
      <c r="K146">
        <v>61.78</v>
      </c>
      <c r="L146">
        <v>52.19</v>
      </c>
      <c r="M146">
        <v>57.98</v>
      </c>
      <c r="N146">
        <f t="shared" si="31"/>
        <v>55.084999999999994</v>
      </c>
      <c r="O146">
        <v>5.79</v>
      </c>
      <c r="P146">
        <v>55.08</v>
      </c>
      <c r="Q146">
        <v>12.44</v>
      </c>
      <c r="T146">
        <v>63.25</v>
      </c>
      <c r="U146">
        <v>66.81</v>
      </c>
      <c r="V146">
        <v>58.43</v>
      </c>
      <c r="W146">
        <v>45.81</v>
      </c>
      <c r="X146">
        <v>55.33</v>
      </c>
      <c r="Y146">
        <v>52.87</v>
      </c>
      <c r="Z146">
        <v>54.07</v>
      </c>
      <c r="AA146">
        <v>42.12</v>
      </c>
      <c r="AB146">
        <v>55.54</v>
      </c>
      <c r="AC146">
        <v>63.6</v>
      </c>
      <c r="AD146">
        <v>58.43</v>
      </c>
      <c r="AE146">
        <v>52.65</v>
      </c>
      <c r="AF146">
        <f t="shared" si="32"/>
        <v>55.54</v>
      </c>
      <c r="AG146">
        <v>5.78</v>
      </c>
      <c r="AH146">
        <v>55.54</v>
      </c>
      <c r="AI146">
        <v>15.6</v>
      </c>
      <c r="AL146">
        <v>60.81</v>
      </c>
      <c r="AM146">
        <v>65.27</v>
      </c>
      <c r="AN146">
        <v>59.86</v>
      </c>
      <c r="AO146">
        <v>46.59</v>
      </c>
      <c r="AP146">
        <v>53.7</v>
      </c>
      <c r="AQ146">
        <v>55.41</v>
      </c>
      <c r="AR146">
        <v>54.55</v>
      </c>
      <c r="AS146">
        <v>40.729999999999997</v>
      </c>
      <c r="AT146">
        <v>53.86</v>
      </c>
      <c r="AU146">
        <v>62.15</v>
      </c>
      <c r="AV146">
        <v>59.86</v>
      </c>
      <c r="AW146">
        <v>47.87</v>
      </c>
      <c r="AX146">
        <f t="shared" si="35"/>
        <v>53.864999999999995</v>
      </c>
      <c r="AY146">
        <v>11.99</v>
      </c>
      <c r="AZ146">
        <v>53.86</v>
      </c>
      <c r="BA146">
        <v>7.36</v>
      </c>
      <c r="BP146" s="1">
        <f t="shared" si="36"/>
        <v>7.8533333333333344</v>
      </c>
      <c r="BQ146" s="1">
        <f t="shared" si="33"/>
        <v>54.826666666666675</v>
      </c>
      <c r="BR146" s="1">
        <f t="shared" si="34"/>
        <v>11.799999999999999</v>
      </c>
    </row>
    <row r="147" spans="1:70" x14ac:dyDescent="0.25">
      <c r="A147" s="1"/>
      <c r="B147">
        <v>59.39</v>
      </c>
      <c r="C147">
        <v>60.31</v>
      </c>
      <c r="D147">
        <v>58.25</v>
      </c>
      <c r="E147">
        <v>66.25</v>
      </c>
      <c r="F147">
        <v>62.69</v>
      </c>
      <c r="G147">
        <v>68.849999999999994</v>
      </c>
      <c r="H147">
        <v>65.63</v>
      </c>
      <c r="I147">
        <v>54.34</v>
      </c>
      <c r="J147">
        <v>57.47</v>
      </c>
      <c r="K147">
        <v>64.45</v>
      </c>
      <c r="L147">
        <v>58.25</v>
      </c>
      <c r="M147">
        <v>56.69</v>
      </c>
      <c r="N147">
        <f t="shared" si="31"/>
        <v>57.47</v>
      </c>
      <c r="O147">
        <v>1.57</v>
      </c>
      <c r="P147">
        <v>57.47</v>
      </c>
      <c r="Q147">
        <v>17.309999999999999</v>
      </c>
      <c r="T147">
        <v>62.38</v>
      </c>
      <c r="U147">
        <v>54.32</v>
      </c>
      <c r="V147">
        <v>60.48</v>
      </c>
      <c r="W147">
        <v>62.15</v>
      </c>
      <c r="X147">
        <v>54.97</v>
      </c>
      <c r="Y147">
        <v>68.03</v>
      </c>
      <c r="Z147">
        <v>60.81</v>
      </c>
      <c r="AA147">
        <v>46.49</v>
      </c>
      <c r="AB147">
        <v>54.43</v>
      </c>
      <c r="AC147">
        <v>67.069999999999993</v>
      </c>
      <c r="AD147">
        <v>60.48</v>
      </c>
      <c r="AE147">
        <v>48.38</v>
      </c>
      <c r="AF147">
        <f t="shared" si="32"/>
        <v>54.43</v>
      </c>
      <c r="AG147">
        <v>12.11</v>
      </c>
      <c r="AH147">
        <v>54.43</v>
      </c>
      <c r="AI147">
        <v>10.95</v>
      </c>
      <c r="AL147">
        <v>64.03</v>
      </c>
      <c r="AM147">
        <v>58.87</v>
      </c>
      <c r="AN147">
        <v>61.26</v>
      </c>
      <c r="AO147">
        <v>59.28</v>
      </c>
      <c r="AP147">
        <v>54.84</v>
      </c>
      <c r="AQ147">
        <v>69.67</v>
      </c>
      <c r="AR147">
        <v>61.37</v>
      </c>
      <c r="AS147">
        <v>43.87</v>
      </c>
      <c r="AT147">
        <v>53.39</v>
      </c>
      <c r="AU147">
        <v>68.12</v>
      </c>
      <c r="AV147">
        <v>61.26</v>
      </c>
      <c r="AW147">
        <v>45.52</v>
      </c>
      <c r="AX147">
        <f t="shared" si="35"/>
        <v>53.39</v>
      </c>
      <c r="AY147">
        <v>15.73</v>
      </c>
      <c r="AZ147">
        <v>53.39</v>
      </c>
      <c r="BA147">
        <v>7.84</v>
      </c>
      <c r="BP147" s="1">
        <f t="shared" si="36"/>
        <v>9.8033333333333328</v>
      </c>
      <c r="BQ147" s="1">
        <f t="shared" si="33"/>
        <v>55.096666666666671</v>
      </c>
      <c r="BR147" s="1">
        <f t="shared" si="34"/>
        <v>12.033333333333331</v>
      </c>
    </row>
    <row r="148" spans="1:70" x14ac:dyDescent="0.25">
      <c r="B148">
        <v>56.21</v>
      </c>
      <c r="C148">
        <v>53.4</v>
      </c>
      <c r="D148">
        <v>55.62</v>
      </c>
      <c r="E148">
        <v>59.57</v>
      </c>
      <c r="F148">
        <v>61.07</v>
      </c>
      <c r="G148">
        <v>63.24</v>
      </c>
      <c r="H148">
        <v>62.14</v>
      </c>
      <c r="I148">
        <v>52.01</v>
      </c>
      <c r="J148">
        <v>55.41</v>
      </c>
      <c r="K148">
        <v>60.92</v>
      </c>
      <c r="L148">
        <v>55.62</v>
      </c>
      <c r="M148">
        <v>55.21</v>
      </c>
      <c r="N148">
        <f t="shared" si="31"/>
        <v>55.414999999999999</v>
      </c>
      <c r="O148">
        <v>0.41</v>
      </c>
      <c r="P148">
        <v>55.41</v>
      </c>
      <c r="Q148">
        <v>12.59</v>
      </c>
      <c r="T148">
        <v>60.69</v>
      </c>
      <c r="U148">
        <v>61.52</v>
      </c>
      <c r="V148">
        <v>73.489999999999995</v>
      </c>
      <c r="W148">
        <v>56.33</v>
      </c>
      <c r="X148">
        <v>54.84</v>
      </c>
      <c r="Y148">
        <v>73.91</v>
      </c>
      <c r="Z148">
        <v>62.96</v>
      </c>
      <c r="AA148">
        <v>46.08</v>
      </c>
      <c r="AB148">
        <v>56.49</v>
      </c>
      <c r="AC148">
        <v>63.84</v>
      </c>
      <c r="AD148">
        <v>73.489999999999995</v>
      </c>
      <c r="AE148">
        <v>39.49</v>
      </c>
      <c r="AF148">
        <f t="shared" si="32"/>
        <v>56.489999999999995</v>
      </c>
      <c r="AG148">
        <v>33.99</v>
      </c>
      <c r="AH148">
        <v>56.49</v>
      </c>
      <c r="AI148">
        <v>15.45</v>
      </c>
      <c r="AL148">
        <v>54.45</v>
      </c>
      <c r="AM148">
        <v>49.87</v>
      </c>
      <c r="AN148">
        <v>65.31</v>
      </c>
      <c r="AO148">
        <v>57.65</v>
      </c>
      <c r="AP148">
        <v>53.29</v>
      </c>
      <c r="AQ148">
        <v>67.19</v>
      </c>
      <c r="AR148">
        <v>59.44</v>
      </c>
      <c r="AS148">
        <v>43.01</v>
      </c>
      <c r="AT148">
        <v>53.13</v>
      </c>
      <c r="AU148">
        <v>56.99</v>
      </c>
      <c r="AV148">
        <v>65.31</v>
      </c>
      <c r="AW148">
        <v>40.950000000000003</v>
      </c>
      <c r="AX148">
        <f t="shared" si="35"/>
        <v>53.13</v>
      </c>
      <c r="AY148">
        <v>24.36</v>
      </c>
      <c r="AZ148">
        <v>53.13</v>
      </c>
      <c r="BA148">
        <v>8.41</v>
      </c>
      <c r="BP148" s="1">
        <f t="shared" si="36"/>
        <v>19.586666666666666</v>
      </c>
      <c r="BQ148" s="1">
        <f t="shared" si="33"/>
        <v>55.01</v>
      </c>
      <c r="BR148" s="1">
        <f t="shared" si="34"/>
        <v>12.15</v>
      </c>
    </row>
    <row r="149" spans="1:70" x14ac:dyDescent="0.25">
      <c r="B149" s="2">
        <f>AVERAGE(B139:B148)</f>
        <v>67.958999999999989</v>
      </c>
      <c r="C149" s="2">
        <f t="shared" ref="C149:BA149" si="37">AVERAGE(C139:C148)</f>
        <v>70.018000000000001</v>
      </c>
      <c r="D149" s="2">
        <f t="shared" si="37"/>
        <v>52.930999999999997</v>
      </c>
      <c r="E149" s="2">
        <f t="shared" si="37"/>
        <v>51.426000000000009</v>
      </c>
      <c r="F149" s="2">
        <f t="shared" si="37"/>
        <v>65.976000000000013</v>
      </c>
      <c r="G149" s="2">
        <f t="shared" si="37"/>
        <v>54.927</v>
      </c>
      <c r="H149" s="2">
        <f t="shared" si="37"/>
        <v>58.693999999999996</v>
      </c>
      <c r="I149" s="2">
        <f t="shared" si="37"/>
        <v>46.664000000000009</v>
      </c>
      <c r="J149" s="2">
        <f t="shared" si="37"/>
        <v>55.871999999999993</v>
      </c>
      <c r="K149" s="2">
        <f t="shared" si="37"/>
        <v>63.857000000000006</v>
      </c>
      <c r="L149" s="2">
        <f t="shared" si="37"/>
        <v>52.930999999999997</v>
      </c>
      <c r="M149" s="2">
        <f t="shared" si="37"/>
        <v>58.814000000000007</v>
      </c>
      <c r="N149" s="2">
        <f t="shared" si="37"/>
        <v>55.872499999999988</v>
      </c>
      <c r="O149" s="2">
        <f t="shared" si="37"/>
        <v>12.679</v>
      </c>
      <c r="P149" s="2">
        <f t="shared" si="37"/>
        <v>55.871999999999993</v>
      </c>
      <c r="Q149" s="2">
        <f t="shared" si="37"/>
        <v>13.206999999999999</v>
      </c>
      <c r="R149" s="2"/>
      <c r="S149" s="2"/>
      <c r="T149" s="2">
        <f t="shared" si="37"/>
        <v>69.608999999999995</v>
      </c>
      <c r="U149" s="2">
        <f t="shared" si="37"/>
        <v>71.018999999999991</v>
      </c>
      <c r="V149" s="2">
        <f t="shared" si="37"/>
        <v>58.967999999999996</v>
      </c>
      <c r="W149" s="2">
        <f t="shared" si="37"/>
        <v>54.906999999999996</v>
      </c>
      <c r="X149" s="2">
        <f t="shared" si="37"/>
        <v>66.748000000000019</v>
      </c>
      <c r="Y149" s="2">
        <f t="shared" si="37"/>
        <v>59.442999999999998</v>
      </c>
      <c r="Z149" s="2">
        <f t="shared" si="37"/>
        <v>61.403999999999996</v>
      </c>
      <c r="AA149" s="2">
        <f t="shared" si="37"/>
        <v>49.06</v>
      </c>
      <c r="AB149" s="2">
        <f t="shared" si="37"/>
        <v>58.654000000000011</v>
      </c>
      <c r="AC149" s="2">
        <f t="shared" si="37"/>
        <v>66.218999999999994</v>
      </c>
      <c r="AD149" s="2">
        <f t="shared" si="37"/>
        <v>58.967999999999996</v>
      </c>
      <c r="AE149" s="2">
        <f t="shared" si="37"/>
        <v>58.338999999999999</v>
      </c>
      <c r="AF149" s="2">
        <f t="shared" si="37"/>
        <v>58.653500000000008</v>
      </c>
      <c r="AG149" s="2">
        <f t="shared" si="37"/>
        <v>16.698</v>
      </c>
      <c r="AH149" s="2">
        <f t="shared" si="37"/>
        <v>58.654000000000011</v>
      </c>
      <c r="AI149" s="2">
        <f t="shared" si="37"/>
        <v>20.197999999999997</v>
      </c>
      <c r="AJ149" s="2"/>
      <c r="AK149" s="2"/>
      <c r="AL149" s="2">
        <f t="shared" si="37"/>
        <v>69.644000000000005</v>
      </c>
      <c r="AM149" s="2">
        <f t="shared" si="37"/>
        <v>66.700999999999993</v>
      </c>
      <c r="AN149" s="2">
        <f t="shared" si="37"/>
        <v>62.631999999999991</v>
      </c>
      <c r="AO149" s="2">
        <f t="shared" si="37"/>
        <v>56.701000000000001</v>
      </c>
      <c r="AP149" s="2">
        <f t="shared" si="37"/>
        <v>63.298999999999999</v>
      </c>
      <c r="AQ149" s="2">
        <f t="shared" si="37"/>
        <v>63.61399999999999</v>
      </c>
      <c r="AR149" s="2">
        <f t="shared" si="37"/>
        <v>62.454999999999998</v>
      </c>
      <c r="AS149" s="2">
        <f t="shared" si="37"/>
        <v>45.198999999999998</v>
      </c>
      <c r="AT149" s="2">
        <f t="shared" si="37"/>
        <v>54.936</v>
      </c>
      <c r="AU149" s="2">
        <f t="shared" si="37"/>
        <v>64.790000000000006</v>
      </c>
      <c r="AV149" s="2">
        <f t="shared" si="37"/>
        <v>62.631999999999991</v>
      </c>
      <c r="AW149" s="2">
        <f t="shared" si="37"/>
        <v>47.238999999999997</v>
      </c>
      <c r="AX149" s="2">
        <f t="shared" si="37"/>
        <v>54.935500000000005</v>
      </c>
      <c r="AY149" s="2">
        <f t="shared" si="37"/>
        <v>22.594999999999999</v>
      </c>
      <c r="AZ149" s="2">
        <f t="shared" si="37"/>
        <v>54.936</v>
      </c>
      <c r="BA149" s="2">
        <f t="shared" si="37"/>
        <v>10.708</v>
      </c>
      <c r="BP149" s="2">
        <f t="shared" ref="BP149:BR149" si="38">AVERAGE(BP139:BP148)</f>
        <v>17.324000000000002</v>
      </c>
      <c r="BQ149" s="2">
        <f t="shared" si="38"/>
        <v>56.487333333333332</v>
      </c>
      <c r="BR149" s="2">
        <f t="shared" si="38"/>
        <v>14.704333333333333</v>
      </c>
    </row>
    <row r="151" spans="1:70" x14ac:dyDescent="0.25">
      <c r="S151" s="1"/>
    </row>
    <row r="152" spans="1:70" x14ac:dyDescent="0.25">
      <c r="A152" s="1" t="s">
        <v>70</v>
      </c>
      <c r="B152">
        <v>79.38</v>
      </c>
      <c r="C152">
        <v>78.849999999999994</v>
      </c>
      <c r="D152">
        <v>72.319999999999993</v>
      </c>
      <c r="E152">
        <v>74.84</v>
      </c>
      <c r="F152">
        <v>80.53</v>
      </c>
      <c r="G152">
        <v>74.59</v>
      </c>
      <c r="H152">
        <v>77.45</v>
      </c>
      <c r="I152">
        <v>63.21</v>
      </c>
      <c r="J152">
        <v>66.319999999999993</v>
      </c>
      <c r="K152">
        <v>71.569999999999993</v>
      </c>
      <c r="L152">
        <v>72.319999999999993</v>
      </c>
      <c r="M152">
        <v>60.31</v>
      </c>
      <c r="N152">
        <f>(L152+M152)/2</f>
        <v>66.314999999999998</v>
      </c>
      <c r="O152">
        <v>12.01</v>
      </c>
      <c r="P152">
        <v>66.319999999999993</v>
      </c>
      <c r="Q152">
        <v>29.6</v>
      </c>
      <c r="S152" s="1" t="s">
        <v>70</v>
      </c>
      <c r="T152">
        <v>86.43</v>
      </c>
      <c r="U152">
        <v>81.52</v>
      </c>
      <c r="V152">
        <v>72.72</v>
      </c>
      <c r="W152">
        <v>76.64</v>
      </c>
      <c r="X152">
        <v>83.33</v>
      </c>
      <c r="Y152">
        <v>73.77</v>
      </c>
      <c r="Z152">
        <v>78.260000000000005</v>
      </c>
      <c r="AA152">
        <v>67.42</v>
      </c>
      <c r="AB152">
        <v>70.52</v>
      </c>
      <c r="AC152">
        <v>80.19</v>
      </c>
      <c r="AD152">
        <v>72.72</v>
      </c>
      <c r="AE152">
        <v>68.319999999999993</v>
      </c>
      <c r="AF152">
        <f>(AD152+AE152)/2</f>
        <v>70.52</v>
      </c>
      <c r="AG152">
        <v>4.41</v>
      </c>
      <c r="AH152">
        <v>70.52</v>
      </c>
      <c r="AI152">
        <v>37.1</v>
      </c>
      <c r="AK152" s="1" t="s">
        <v>70</v>
      </c>
      <c r="AL152">
        <v>85.21</v>
      </c>
      <c r="AM152">
        <v>79.47</v>
      </c>
      <c r="AN152">
        <v>81.58</v>
      </c>
      <c r="AO152">
        <v>79.34</v>
      </c>
      <c r="AP152">
        <v>79.67</v>
      </c>
      <c r="AQ152">
        <v>80.33</v>
      </c>
      <c r="AR152">
        <v>80</v>
      </c>
      <c r="AS152">
        <v>67.44</v>
      </c>
      <c r="AT152">
        <v>70.53</v>
      </c>
      <c r="AU152">
        <v>76.290000000000006</v>
      </c>
      <c r="AV152">
        <v>81.58</v>
      </c>
      <c r="AW152">
        <v>59.48</v>
      </c>
      <c r="AX152">
        <f>(AV152+AW152)/2</f>
        <v>70.53</v>
      </c>
      <c r="AY152">
        <v>22.1</v>
      </c>
      <c r="AZ152">
        <v>70.53</v>
      </c>
      <c r="BA152">
        <v>38.54</v>
      </c>
      <c r="BP152" s="1">
        <f>(O152+AG152+AY152)/3</f>
        <v>12.840000000000002</v>
      </c>
      <c r="BQ152" s="1">
        <f t="shared" ref="BQ152:BQ161" si="39">(P152+AH152+AZ152)/3</f>
        <v>69.123333333333321</v>
      </c>
      <c r="BR152" s="1">
        <f t="shared" ref="BR152:BR161" si="40">(Q152+AI152+BA152)/3</f>
        <v>35.080000000000005</v>
      </c>
    </row>
    <row r="153" spans="1:70" x14ac:dyDescent="0.25">
      <c r="B153">
        <v>87.91</v>
      </c>
      <c r="C153">
        <v>84.63</v>
      </c>
      <c r="D153">
        <v>75.55</v>
      </c>
      <c r="E153">
        <v>79.819999999999993</v>
      </c>
      <c r="F153">
        <v>86.24</v>
      </c>
      <c r="G153">
        <v>77.05</v>
      </c>
      <c r="H153">
        <v>81.39</v>
      </c>
      <c r="I153">
        <v>70.66</v>
      </c>
      <c r="J153">
        <v>72.67</v>
      </c>
      <c r="K153">
        <v>80.55</v>
      </c>
      <c r="L153">
        <v>75.55</v>
      </c>
      <c r="M153">
        <v>69.790000000000006</v>
      </c>
      <c r="N153">
        <f t="shared" ref="N153:N161" si="41">(L153+M153)/2</f>
        <v>72.67</v>
      </c>
      <c r="O153">
        <v>5.75</v>
      </c>
      <c r="P153">
        <v>72.67</v>
      </c>
      <c r="Q153">
        <v>42.5</v>
      </c>
      <c r="T153">
        <v>86.24</v>
      </c>
      <c r="U153">
        <v>81.099999999999994</v>
      </c>
      <c r="V153">
        <v>69.739999999999995</v>
      </c>
      <c r="W153">
        <v>74.989999999999995</v>
      </c>
      <c r="X153">
        <v>83.81</v>
      </c>
      <c r="Y153">
        <v>72.13</v>
      </c>
      <c r="Z153">
        <v>77.53</v>
      </c>
      <c r="AA153">
        <v>66.27</v>
      </c>
      <c r="AB153">
        <v>68.760000000000005</v>
      </c>
      <c r="AC153">
        <v>77.819999999999993</v>
      </c>
      <c r="AD153">
        <v>69.739999999999995</v>
      </c>
      <c r="AE153">
        <v>67.77</v>
      </c>
      <c r="AF153">
        <f t="shared" ref="AF153:AF161" si="42">(AD153+AE153)/2</f>
        <v>68.754999999999995</v>
      </c>
      <c r="AG153">
        <v>1.97</v>
      </c>
      <c r="AH153">
        <v>68.760000000000005</v>
      </c>
      <c r="AI153">
        <v>34.33</v>
      </c>
      <c r="AL153">
        <v>91.06</v>
      </c>
      <c r="AM153">
        <v>81.260000000000005</v>
      </c>
      <c r="AN153">
        <v>75.83</v>
      </c>
      <c r="AO153">
        <v>75.73</v>
      </c>
      <c r="AP153">
        <v>79.459999999999994</v>
      </c>
      <c r="AQ153">
        <v>72.95</v>
      </c>
      <c r="AR153">
        <v>76.069999999999993</v>
      </c>
      <c r="AS153">
        <v>65.52</v>
      </c>
      <c r="AT153">
        <v>72.2</v>
      </c>
      <c r="AU153">
        <v>82.76</v>
      </c>
      <c r="AV153">
        <v>75.83</v>
      </c>
      <c r="AW153">
        <v>68.569999999999993</v>
      </c>
      <c r="AX153">
        <f t="shared" ref="AX153:AX161" si="43">(AV153+AW153)/2</f>
        <v>72.199999999999989</v>
      </c>
      <c r="AY153">
        <v>7.26</v>
      </c>
      <c r="AZ153">
        <v>72.2</v>
      </c>
      <c r="BA153">
        <v>40.32</v>
      </c>
      <c r="BP153" s="1">
        <f t="shared" ref="BP153:BP161" si="44">(O153+AG153+AY153)/3</f>
        <v>4.9933333333333332</v>
      </c>
      <c r="BQ153" s="1">
        <f t="shared" si="39"/>
        <v>71.209999999999994</v>
      </c>
      <c r="BR153" s="1">
        <f t="shared" si="40"/>
        <v>39.050000000000004</v>
      </c>
    </row>
    <row r="154" spans="1:70" x14ac:dyDescent="0.25">
      <c r="B154">
        <v>68.41</v>
      </c>
      <c r="C154">
        <v>71.540000000000006</v>
      </c>
      <c r="D154">
        <v>63.28</v>
      </c>
      <c r="E154">
        <v>65.900000000000006</v>
      </c>
      <c r="F154">
        <v>76.260000000000005</v>
      </c>
      <c r="G154">
        <v>67.52</v>
      </c>
      <c r="H154">
        <v>71.62</v>
      </c>
      <c r="I154">
        <v>64.41</v>
      </c>
      <c r="J154">
        <v>66.599999999999994</v>
      </c>
      <c r="K154">
        <v>70.89</v>
      </c>
      <c r="L154">
        <v>63.28</v>
      </c>
      <c r="M154">
        <v>69.930000000000007</v>
      </c>
      <c r="N154">
        <f t="shared" si="41"/>
        <v>66.605000000000004</v>
      </c>
      <c r="O154">
        <v>6.64</v>
      </c>
      <c r="P154">
        <v>66.599999999999994</v>
      </c>
      <c r="Q154">
        <v>31.58</v>
      </c>
      <c r="T154">
        <v>67.92</v>
      </c>
      <c r="U154">
        <v>71.709999999999994</v>
      </c>
      <c r="V154">
        <v>53.05</v>
      </c>
      <c r="W154">
        <v>60.14</v>
      </c>
      <c r="X154">
        <v>78.45</v>
      </c>
      <c r="Y154">
        <v>57.96</v>
      </c>
      <c r="Z154">
        <v>66.67</v>
      </c>
      <c r="AA154">
        <v>61.25</v>
      </c>
      <c r="AB154">
        <v>64.77</v>
      </c>
      <c r="AC154">
        <v>72.27</v>
      </c>
      <c r="AD154">
        <v>53.05</v>
      </c>
      <c r="AE154">
        <v>76.48</v>
      </c>
      <c r="AF154">
        <f t="shared" si="42"/>
        <v>64.765000000000001</v>
      </c>
      <c r="AG154">
        <v>23.43</v>
      </c>
      <c r="AH154">
        <v>64.77</v>
      </c>
      <c r="AI154">
        <v>27.62</v>
      </c>
      <c r="AL154">
        <v>67.94</v>
      </c>
      <c r="AM154">
        <v>66.099999999999994</v>
      </c>
      <c r="AN154">
        <v>60.99</v>
      </c>
      <c r="AO154">
        <v>61.64</v>
      </c>
      <c r="AP154">
        <v>71.72</v>
      </c>
      <c r="AQ154">
        <v>66.239999999999995</v>
      </c>
      <c r="AR154">
        <v>68.87</v>
      </c>
      <c r="AS154">
        <v>59.4</v>
      </c>
      <c r="AT154">
        <v>61.57</v>
      </c>
      <c r="AU154">
        <v>71.48</v>
      </c>
      <c r="AV154">
        <v>60.99</v>
      </c>
      <c r="AW154">
        <v>62.14</v>
      </c>
      <c r="AX154">
        <f t="shared" si="43"/>
        <v>61.564999999999998</v>
      </c>
      <c r="AY154">
        <v>1.1499999999999999</v>
      </c>
      <c r="AZ154">
        <v>61.57</v>
      </c>
      <c r="BA154">
        <v>23.95</v>
      </c>
      <c r="BP154" s="1">
        <f t="shared" si="44"/>
        <v>10.406666666666666</v>
      </c>
      <c r="BQ154" s="1">
        <f t="shared" si="39"/>
        <v>64.313333333333333</v>
      </c>
      <c r="BR154" s="1">
        <f t="shared" si="40"/>
        <v>27.716666666666669</v>
      </c>
    </row>
    <row r="155" spans="1:70" x14ac:dyDescent="0.25">
      <c r="B155">
        <v>89.96</v>
      </c>
      <c r="C155">
        <v>85.85</v>
      </c>
      <c r="D155">
        <v>71.010000000000005</v>
      </c>
      <c r="E155">
        <v>77.400000000000006</v>
      </c>
      <c r="F155">
        <v>86.87</v>
      </c>
      <c r="G155">
        <v>70.489999999999995</v>
      </c>
      <c r="H155">
        <v>77.83</v>
      </c>
      <c r="I155">
        <v>69.099999999999994</v>
      </c>
      <c r="J155">
        <v>73.849999999999994</v>
      </c>
      <c r="K155">
        <v>79.91</v>
      </c>
      <c r="L155">
        <v>71.010000000000005</v>
      </c>
      <c r="M155">
        <v>76.69</v>
      </c>
      <c r="N155">
        <f t="shared" si="41"/>
        <v>73.849999999999994</v>
      </c>
      <c r="O155">
        <v>5.68</v>
      </c>
      <c r="P155">
        <v>73.849999999999994</v>
      </c>
      <c r="Q155">
        <v>42.61</v>
      </c>
      <c r="T155">
        <v>83.17</v>
      </c>
      <c r="U155">
        <v>82.64</v>
      </c>
      <c r="V155">
        <v>55.92</v>
      </c>
      <c r="W155">
        <v>66.66</v>
      </c>
      <c r="X155">
        <v>84.15</v>
      </c>
      <c r="Y155">
        <v>56.56</v>
      </c>
      <c r="Z155">
        <v>67.650000000000006</v>
      </c>
      <c r="AA155">
        <v>59.83</v>
      </c>
      <c r="AB155">
        <v>64.64</v>
      </c>
      <c r="AC155">
        <v>72.95</v>
      </c>
      <c r="AD155">
        <v>55.92</v>
      </c>
      <c r="AE155">
        <v>73.37</v>
      </c>
      <c r="AF155">
        <f t="shared" si="42"/>
        <v>64.64500000000001</v>
      </c>
      <c r="AG155">
        <v>17.45</v>
      </c>
      <c r="AH155">
        <v>64.64</v>
      </c>
      <c r="AI155">
        <v>27.11</v>
      </c>
      <c r="AL155">
        <v>89.55</v>
      </c>
      <c r="AM155">
        <v>83.93</v>
      </c>
      <c r="AN155">
        <v>74.44</v>
      </c>
      <c r="AO155">
        <v>76.41</v>
      </c>
      <c r="AP155">
        <v>82.86</v>
      </c>
      <c r="AQ155">
        <v>71.31</v>
      </c>
      <c r="AR155">
        <v>76.650000000000006</v>
      </c>
      <c r="AS155">
        <v>67.87</v>
      </c>
      <c r="AT155">
        <v>74.81</v>
      </c>
      <c r="AU155">
        <v>82.63</v>
      </c>
      <c r="AV155">
        <v>74.44</v>
      </c>
      <c r="AW155">
        <v>75.17</v>
      </c>
      <c r="AX155">
        <f t="shared" si="43"/>
        <v>74.805000000000007</v>
      </c>
      <c r="AY155">
        <v>0.74</v>
      </c>
      <c r="AZ155">
        <v>74.81</v>
      </c>
      <c r="BA155">
        <v>44.69</v>
      </c>
      <c r="BP155" s="1">
        <f t="shared" si="44"/>
        <v>7.9566666666666661</v>
      </c>
      <c r="BQ155" s="1">
        <f t="shared" si="39"/>
        <v>71.100000000000009</v>
      </c>
      <c r="BR155" s="1">
        <f t="shared" si="40"/>
        <v>38.136666666666663</v>
      </c>
    </row>
    <row r="156" spans="1:70" x14ac:dyDescent="0.25">
      <c r="B156">
        <v>68.97</v>
      </c>
      <c r="C156">
        <v>77.209999999999994</v>
      </c>
      <c r="D156">
        <v>57.94</v>
      </c>
      <c r="E156">
        <v>63.28</v>
      </c>
      <c r="F156">
        <v>81.25</v>
      </c>
      <c r="G156">
        <v>57.96</v>
      </c>
      <c r="H156">
        <v>67.66</v>
      </c>
      <c r="I156">
        <v>64.22</v>
      </c>
      <c r="J156">
        <v>69.900000000000006</v>
      </c>
      <c r="K156">
        <v>75.36</v>
      </c>
      <c r="L156">
        <v>57.94</v>
      </c>
      <c r="M156">
        <v>81.87</v>
      </c>
      <c r="N156">
        <f t="shared" si="41"/>
        <v>69.905000000000001</v>
      </c>
      <c r="O156">
        <v>23.93</v>
      </c>
      <c r="P156">
        <v>69.900000000000006</v>
      </c>
      <c r="Q156">
        <v>36.549999999999997</v>
      </c>
      <c r="T156">
        <v>73.64</v>
      </c>
      <c r="U156">
        <v>77.739999999999995</v>
      </c>
      <c r="V156">
        <v>58.53</v>
      </c>
      <c r="W156">
        <v>64.12</v>
      </c>
      <c r="X156">
        <v>81.42</v>
      </c>
      <c r="Y156">
        <v>58.6</v>
      </c>
      <c r="Z156">
        <v>68.150000000000006</v>
      </c>
      <c r="AA156">
        <v>65.11</v>
      </c>
      <c r="AB156">
        <v>71.81</v>
      </c>
      <c r="AC156">
        <v>78.16</v>
      </c>
      <c r="AD156">
        <v>58.53</v>
      </c>
      <c r="AE156">
        <v>85.09</v>
      </c>
      <c r="AF156">
        <f t="shared" si="42"/>
        <v>71.81</v>
      </c>
      <c r="AG156">
        <v>26.56</v>
      </c>
      <c r="AH156">
        <v>71.81</v>
      </c>
      <c r="AI156">
        <v>39.14</v>
      </c>
      <c r="AL156">
        <v>70.08</v>
      </c>
      <c r="AM156">
        <v>73.87</v>
      </c>
      <c r="AN156">
        <v>58.68</v>
      </c>
      <c r="AO156">
        <v>63.63</v>
      </c>
      <c r="AP156">
        <v>76.42</v>
      </c>
      <c r="AQ156">
        <v>59.87</v>
      </c>
      <c r="AR156">
        <v>67.14</v>
      </c>
      <c r="AS156">
        <v>62.38</v>
      </c>
      <c r="AT156">
        <v>66.819999999999993</v>
      </c>
      <c r="AU156">
        <v>74.010000000000005</v>
      </c>
      <c r="AV156">
        <v>58.68</v>
      </c>
      <c r="AW156">
        <v>74.959999999999994</v>
      </c>
      <c r="AX156">
        <f t="shared" si="43"/>
        <v>66.819999999999993</v>
      </c>
      <c r="AY156">
        <v>16.28</v>
      </c>
      <c r="AZ156">
        <v>66.819999999999993</v>
      </c>
      <c r="BA156">
        <v>31.78</v>
      </c>
      <c r="BP156" s="1">
        <f t="shared" si="44"/>
        <v>22.256666666666664</v>
      </c>
      <c r="BQ156" s="1">
        <f t="shared" si="39"/>
        <v>69.510000000000005</v>
      </c>
      <c r="BR156" s="1">
        <f t="shared" si="40"/>
        <v>35.823333333333331</v>
      </c>
    </row>
    <row r="157" spans="1:70" x14ac:dyDescent="0.25">
      <c r="B157">
        <v>58.91</v>
      </c>
      <c r="C157">
        <v>57.7</v>
      </c>
      <c r="D157">
        <v>48.42</v>
      </c>
      <c r="E157">
        <v>63.28</v>
      </c>
      <c r="F157">
        <v>67.959999999999994</v>
      </c>
      <c r="G157">
        <v>57.38</v>
      </c>
      <c r="H157">
        <v>62.22</v>
      </c>
      <c r="I157">
        <v>59.06</v>
      </c>
      <c r="J157">
        <v>60.02</v>
      </c>
      <c r="K157">
        <v>64.06</v>
      </c>
      <c r="L157">
        <v>48.42</v>
      </c>
      <c r="M157">
        <v>71.61</v>
      </c>
      <c r="N157">
        <f t="shared" si="41"/>
        <v>60.015000000000001</v>
      </c>
      <c r="O157">
        <v>23.2</v>
      </c>
      <c r="P157">
        <v>60.02</v>
      </c>
      <c r="Q157">
        <v>19.899999999999999</v>
      </c>
      <c r="T157">
        <v>63.76</v>
      </c>
      <c r="U157">
        <v>59.07</v>
      </c>
      <c r="V157">
        <v>57.81</v>
      </c>
      <c r="W157">
        <v>68.849999999999994</v>
      </c>
      <c r="X157">
        <v>66.94</v>
      </c>
      <c r="Y157">
        <v>66.39</v>
      </c>
      <c r="Z157">
        <v>66.67</v>
      </c>
      <c r="AA157">
        <v>61.41</v>
      </c>
      <c r="AB157">
        <v>62.34</v>
      </c>
      <c r="AC157">
        <v>67.5</v>
      </c>
      <c r="AD157">
        <v>57.81</v>
      </c>
      <c r="AE157">
        <v>66.88</v>
      </c>
      <c r="AF157">
        <f t="shared" si="42"/>
        <v>62.344999999999999</v>
      </c>
      <c r="AG157">
        <v>9.07</v>
      </c>
      <c r="AH157">
        <v>62.34</v>
      </c>
      <c r="AI157">
        <v>24.82</v>
      </c>
      <c r="AL157">
        <v>61.7</v>
      </c>
      <c r="AM157">
        <v>57.21</v>
      </c>
      <c r="AN157">
        <v>55.1</v>
      </c>
      <c r="AO157">
        <v>77.31</v>
      </c>
      <c r="AP157">
        <v>66.09</v>
      </c>
      <c r="AQ157">
        <v>62.3</v>
      </c>
      <c r="AR157">
        <v>64.14</v>
      </c>
      <c r="AS157">
        <v>59.97</v>
      </c>
      <c r="AT157">
        <v>61.44</v>
      </c>
      <c r="AU157">
        <v>67.11</v>
      </c>
      <c r="AV157">
        <v>55.1</v>
      </c>
      <c r="AW157">
        <v>67.78</v>
      </c>
      <c r="AX157">
        <f t="shared" si="43"/>
        <v>61.44</v>
      </c>
      <c r="AY157">
        <v>12.69</v>
      </c>
      <c r="AZ157">
        <v>61.44</v>
      </c>
      <c r="BA157">
        <v>23.45</v>
      </c>
      <c r="BP157" s="1">
        <f t="shared" si="44"/>
        <v>14.986666666666665</v>
      </c>
      <c r="BQ157" s="1">
        <f t="shared" si="39"/>
        <v>61.266666666666673</v>
      </c>
      <c r="BR157" s="1">
        <f t="shared" si="40"/>
        <v>22.723333333333333</v>
      </c>
    </row>
    <row r="158" spans="1:70" x14ac:dyDescent="0.25">
      <c r="B158">
        <v>89.32</v>
      </c>
      <c r="C158">
        <v>84.28</v>
      </c>
      <c r="D158">
        <v>64.7</v>
      </c>
      <c r="E158">
        <v>72.22</v>
      </c>
      <c r="F158">
        <v>84.62</v>
      </c>
      <c r="G158">
        <v>63.11</v>
      </c>
      <c r="H158">
        <v>72.3</v>
      </c>
      <c r="I158">
        <v>64.66</v>
      </c>
      <c r="J158">
        <v>71.08</v>
      </c>
      <c r="K158">
        <v>80.819999999999993</v>
      </c>
      <c r="L158">
        <v>64.7</v>
      </c>
      <c r="M158">
        <v>77.45</v>
      </c>
      <c r="N158">
        <f t="shared" si="41"/>
        <v>71.075000000000003</v>
      </c>
      <c r="O158">
        <v>12.74</v>
      </c>
      <c r="P158">
        <v>71.08</v>
      </c>
      <c r="Q158">
        <v>37.15</v>
      </c>
      <c r="T158">
        <v>87.53</v>
      </c>
      <c r="U158">
        <v>86.35</v>
      </c>
      <c r="V158">
        <v>72.959999999999994</v>
      </c>
      <c r="W158">
        <v>78.819999999999993</v>
      </c>
      <c r="X158">
        <v>87.13</v>
      </c>
      <c r="Y158">
        <v>72.13</v>
      </c>
      <c r="Z158">
        <v>78.92</v>
      </c>
      <c r="AA158">
        <v>69.819999999999993</v>
      </c>
      <c r="AB158">
        <v>73.94</v>
      </c>
      <c r="AC158">
        <v>79.94</v>
      </c>
      <c r="AD158">
        <v>72.959999999999994</v>
      </c>
      <c r="AE158">
        <v>74.92</v>
      </c>
      <c r="AF158">
        <f t="shared" si="42"/>
        <v>73.94</v>
      </c>
      <c r="AG158">
        <v>1.97</v>
      </c>
      <c r="AH158">
        <v>73.94</v>
      </c>
      <c r="AI158">
        <v>43.32</v>
      </c>
      <c r="AL158">
        <v>90.15</v>
      </c>
      <c r="AM158">
        <v>86.39</v>
      </c>
      <c r="AN158">
        <v>75.83</v>
      </c>
      <c r="AO158">
        <v>79.25</v>
      </c>
      <c r="AP158">
        <v>86.41</v>
      </c>
      <c r="AQ158">
        <v>72.95</v>
      </c>
      <c r="AR158">
        <v>79.11</v>
      </c>
      <c r="AS158">
        <v>70.84</v>
      </c>
      <c r="AT158">
        <v>76.739999999999995</v>
      </c>
      <c r="AU158">
        <v>83.6</v>
      </c>
      <c r="AV158">
        <v>75.83</v>
      </c>
      <c r="AW158">
        <v>77.66</v>
      </c>
      <c r="AX158">
        <f t="shared" si="43"/>
        <v>76.745000000000005</v>
      </c>
      <c r="AY158">
        <v>1.84</v>
      </c>
      <c r="AZ158">
        <v>76.739999999999995</v>
      </c>
      <c r="BA158">
        <v>48.18</v>
      </c>
      <c r="BP158" s="1">
        <f t="shared" si="44"/>
        <v>5.5166666666666666</v>
      </c>
      <c r="BQ158" s="1">
        <f t="shared" si="39"/>
        <v>73.92</v>
      </c>
      <c r="BR158" s="1">
        <f t="shared" si="40"/>
        <v>42.883333333333333</v>
      </c>
    </row>
    <row r="159" spans="1:70" x14ac:dyDescent="0.25">
      <c r="B159">
        <v>72.13</v>
      </c>
      <c r="C159">
        <v>75.86</v>
      </c>
      <c r="D159">
        <v>57.64</v>
      </c>
      <c r="E159">
        <v>64.45</v>
      </c>
      <c r="F159">
        <v>81.2</v>
      </c>
      <c r="G159">
        <v>60.51</v>
      </c>
      <c r="H159">
        <v>69.34</v>
      </c>
      <c r="I159">
        <v>65.28</v>
      </c>
      <c r="J159">
        <v>70.099999999999994</v>
      </c>
      <c r="K159">
        <v>78.010000000000005</v>
      </c>
      <c r="L159">
        <v>57.64</v>
      </c>
      <c r="M159">
        <v>82.56</v>
      </c>
      <c r="N159">
        <f t="shared" si="41"/>
        <v>70.099999999999994</v>
      </c>
      <c r="O159">
        <v>24.92</v>
      </c>
      <c r="P159">
        <v>70.099999999999994</v>
      </c>
      <c r="Q159">
        <v>36.47</v>
      </c>
      <c r="T159">
        <v>67.41</v>
      </c>
      <c r="U159">
        <v>71.67</v>
      </c>
      <c r="V159">
        <v>61.07</v>
      </c>
      <c r="W159">
        <v>64.709999999999994</v>
      </c>
      <c r="X159">
        <v>78.03</v>
      </c>
      <c r="Y159">
        <v>65.61</v>
      </c>
      <c r="Z159">
        <v>71.28</v>
      </c>
      <c r="AA159">
        <v>65.73</v>
      </c>
      <c r="AB159">
        <v>70.08</v>
      </c>
      <c r="AC159">
        <v>75.930000000000007</v>
      </c>
      <c r="AD159">
        <v>61.07</v>
      </c>
      <c r="AE159">
        <v>79.099999999999994</v>
      </c>
      <c r="AF159">
        <f t="shared" si="42"/>
        <v>70.084999999999994</v>
      </c>
      <c r="AG159">
        <v>18.04</v>
      </c>
      <c r="AH159">
        <v>70.08</v>
      </c>
      <c r="AI159">
        <v>35.54</v>
      </c>
      <c r="AL159">
        <v>69.45</v>
      </c>
      <c r="AM159">
        <v>68.5</v>
      </c>
      <c r="AN159">
        <v>53.3</v>
      </c>
      <c r="AO159">
        <v>57.35</v>
      </c>
      <c r="AP159">
        <v>72.5</v>
      </c>
      <c r="AQ159">
        <v>55.41</v>
      </c>
      <c r="AR159">
        <v>62.82</v>
      </c>
      <c r="AS159">
        <v>57.96</v>
      </c>
      <c r="AT159">
        <v>62.13</v>
      </c>
      <c r="AU159">
        <v>73.14</v>
      </c>
      <c r="AV159">
        <v>53.3</v>
      </c>
      <c r="AW159">
        <v>70.959999999999994</v>
      </c>
      <c r="AX159">
        <f t="shared" si="43"/>
        <v>62.129999999999995</v>
      </c>
      <c r="AY159">
        <v>17.66</v>
      </c>
      <c r="AZ159">
        <v>62.13</v>
      </c>
      <c r="BA159">
        <v>23.63</v>
      </c>
      <c r="BP159" s="1">
        <f t="shared" si="44"/>
        <v>20.206666666666667</v>
      </c>
      <c r="BQ159" s="1">
        <f t="shared" si="39"/>
        <v>67.436666666666667</v>
      </c>
      <c r="BR159" s="1">
        <f t="shared" si="40"/>
        <v>31.879999999999995</v>
      </c>
    </row>
    <row r="160" spans="1:70" x14ac:dyDescent="0.25">
      <c r="B160">
        <v>65.849999999999994</v>
      </c>
      <c r="C160">
        <v>68.010000000000005</v>
      </c>
      <c r="D160">
        <v>53.6</v>
      </c>
      <c r="E160">
        <v>59.35</v>
      </c>
      <c r="F160">
        <v>75.260000000000005</v>
      </c>
      <c r="G160">
        <v>59.84</v>
      </c>
      <c r="H160">
        <v>66.67</v>
      </c>
      <c r="I160">
        <v>65.27</v>
      </c>
      <c r="J160">
        <v>66.58</v>
      </c>
      <c r="K160">
        <v>68.930000000000007</v>
      </c>
      <c r="L160">
        <v>53.6</v>
      </c>
      <c r="M160">
        <v>79.55</v>
      </c>
      <c r="N160">
        <f t="shared" si="41"/>
        <v>66.575000000000003</v>
      </c>
      <c r="O160">
        <v>25.95</v>
      </c>
      <c r="P160">
        <v>66.58</v>
      </c>
      <c r="Q160">
        <v>33.17</v>
      </c>
      <c r="T160">
        <v>63.33</v>
      </c>
      <c r="U160">
        <v>64.459999999999994</v>
      </c>
      <c r="V160">
        <v>49.2</v>
      </c>
      <c r="W160">
        <v>65.64</v>
      </c>
      <c r="X160">
        <v>69.31</v>
      </c>
      <c r="Y160">
        <v>57.38</v>
      </c>
      <c r="Z160">
        <v>62.78</v>
      </c>
      <c r="AA160">
        <v>60.17</v>
      </c>
      <c r="AB160">
        <v>60.37</v>
      </c>
      <c r="AC160">
        <v>67.38</v>
      </c>
      <c r="AD160">
        <v>49.2</v>
      </c>
      <c r="AE160">
        <v>71.540000000000006</v>
      </c>
      <c r="AF160">
        <f t="shared" si="42"/>
        <v>60.370000000000005</v>
      </c>
      <c r="AG160">
        <v>22.34</v>
      </c>
      <c r="AH160">
        <v>60.37</v>
      </c>
      <c r="AI160">
        <v>22.68</v>
      </c>
      <c r="AL160">
        <v>69.13</v>
      </c>
      <c r="AM160">
        <v>68.92</v>
      </c>
      <c r="AN160">
        <v>62.05</v>
      </c>
      <c r="AO160">
        <v>74.31</v>
      </c>
      <c r="AP160">
        <v>75</v>
      </c>
      <c r="AQ160">
        <v>68.849999999999994</v>
      </c>
      <c r="AR160">
        <v>71.790000000000006</v>
      </c>
      <c r="AS160">
        <v>67.59</v>
      </c>
      <c r="AT160">
        <v>69.010000000000005</v>
      </c>
      <c r="AU160">
        <v>73.77</v>
      </c>
      <c r="AV160">
        <v>62.05</v>
      </c>
      <c r="AW160">
        <v>75.98</v>
      </c>
      <c r="AX160">
        <f t="shared" si="43"/>
        <v>69.015000000000001</v>
      </c>
      <c r="AY160">
        <v>13.93</v>
      </c>
      <c r="AZ160">
        <v>69.010000000000005</v>
      </c>
      <c r="BA160">
        <v>39.14</v>
      </c>
      <c r="BP160" s="1">
        <f t="shared" si="44"/>
        <v>20.74</v>
      </c>
      <c r="BQ160" s="1">
        <f t="shared" si="39"/>
        <v>65.319999999999993</v>
      </c>
      <c r="BR160" s="1">
        <f t="shared" si="40"/>
        <v>31.663333333333338</v>
      </c>
    </row>
    <row r="161" spans="1:70" x14ac:dyDescent="0.25">
      <c r="B161">
        <v>70.53</v>
      </c>
      <c r="C161">
        <v>67.47</v>
      </c>
      <c r="D161">
        <v>60.9</v>
      </c>
      <c r="E161">
        <v>61.87</v>
      </c>
      <c r="F161">
        <v>68.239999999999995</v>
      </c>
      <c r="G161">
        <v>62.85</v>
      </c>
      <c r="H161">
        <v>65.430000000000007</v>
      </c>
      <c r="I161">
        <v>63.87</v>
      </c>
      <c r="J161">
        <v>65.52</v>
      </c>
      <c r="K161">
        <v>71.7</v>
      </c>
      <c r="L161">
        <v>60.9</v>
      </c>
      <c r="M161">
        <v>70.150000000000006</v>
      </c>
      <c r="N161">
        <f t="shared" si="41"/>
        <v>65.525000000000006</v>
      </c>
      <c r="O161">
        <v>9.25</v>
      </c>
      <c r="P161">
        <v>65.52</v>
      </c>
      <c r="Q161">
        <v>31.66</v>
      </c>
      <c r="T161">
        <v>69.63</v>
      </c>
      <c r="U161">
        <v>63.53</v>
      </c>
      <c r="V161">
        <v>70.03</v>
      </c>
      <c r="W161">
        <v>65.680000000000007</v>
      </c>
      <c r="X161">
        <v>65.83</v>
      </c>
      <c r="Y161">
        <v>72.33</v>
      </c>
      <c r="Z161">
        <v>68.930000000000007</v>
      </c>
      <c r="AA161">
        <v>64.19</v>
      </c>
      <c r="AB161">
        <v>65.41</v>
      </c>
      <c r="AC161">
        <v>71.239999999999995</v>
      </c>
      <c r="AD161">
        <v>70.03</v>
      </c>
      <c r="AE161">
        <v>60.8</v>
      </c>
      <c r="AF161">
        <f t="shared" si="42"/>
        <v>65.414999999999992</v>
      </c>
      <c r="AG161">
        <v>9.23</v>
      </c>
      <c r="AH161">
        <v>65.41</v>
      </c>
      <c r="AI161">
        <v>30.41</v>
      </c>
      <c r="AL161">
        <v>72.81</v>
      </c>
      <c r="AM161">
        <v>66.22</v>
      </c>
      <c r="AN161">
        <v>65.239999999999995</v>
      </c>
      <c r="AO161">
        <v>64.25</v>
      </c>
      <c r="AP161">
        <v>68.63</v>
      </c>
      <c r="AQ161">
        <v>69.17</v>
      </c>
      <c r="AR161">
        <v>68.900000000000006</v>
      </c>
      <c r="AS161">
        <v>65.489999999999995</v>
      </c>
      <c r="AT161">
        <v>66.91</v>
      </c>
      <c r="AU161">
        <v>75.400000000000006</v>
      </c>
      <c r="AV161">
        <v>65.239999999999995</v>
      </c>
      <c r="AW161">
        <v>68.569999999999993</v>
      </c>
      <c r="AX161">
        <f t="shared" si="43"/>
        <v>66.905000000000001</v>
      </c>
      <c r="AY161">
        <v>3.33</v>
      </c>
      <c r="AZ161">
        <v>66.91</v>
      </c>
      <c r="BA161">
        <v>34.299999999999997</v>
      </c>
      <c r="BP161" s="1">
        <f t="shared" si="44"/>
        <v>7.2700000000000005</v>
      </c>
      <c r="BQ161" s="1">
        <f t="shared" si="39"/>
        <v>65.946666666666673</v>
      </c>
      <c r="BR161" s="1">
        <f t="shared" si="40"/>
        <v>32.123333333333335</v>
      </c>
    </row>
    <row r="162" spans="1:70" x14ac:dyDescent="0.25">
      <c r="B162" s="2">
        <f>AVERAGE(B152:B161)</f>
        <v>75.136999999999986</v>
      </c>
      <c r="C162" s="2">
        <f t="shared" ref="C162:Q162" si="45">AVERAGE(C152:C161)</f>
        <v>75.14</v>
      </c>
      <c r="D162" s="2">
        <f t="shared" si="45"/>
        <v>62.536000000000001</v>
      </c>
      <c r="E162" s="2">
        <f t="shared" si="45"/>
        <v>68.241000000000014</v>
      </c>
      <c r="F162" s="2">
        <f t="shared" si="45"/>
        <v>78.843000000000004</v>
      </c>
      <c r="G162" s="2">
        <f t="shared" si="45"/>
        <v>65.13000000000001</v>
      </c>
      <c r="H162" s="2">
        <f t="shared" si="45"/>
        <v>71.191000000000003</v>
      </c>
      <c r="I162" s="2">
        <f t="shared" si="45"/>
        <v>64.974000000000004</v>
      </c>
      <c r="J162" s="2">
        <f t="shared" si="45"/>
        <v>68.263999999999996</v>
      </c>
      <c r="K162" s="2">
        <f t="shared" si="45"/>
        <v>74.179999999999993</v>
      </c>
      <c r="L162" s="2">
        <f t="shared" si="45"/>
        <v>62.536000000000001</v>
      </c>
      <c r="M162" s="2">
        <f t="shared" si="45"/>
        <v>73.991</v>
      </c>
      <c r="N162" s="2">
        <f t="shared" si="45"/>
        <v>68.263499999999993</v>
      </c>
      <c r="O162" s="2">
        <f t="shared" si="45"/>
        <v>15.007</v>
      </c>
      <c r="P162" s="2">
        <f t="shared" si="45"/>
        <v>68.263999999999996</v>
      </c>
      <c r="Q162" s="2">
        <f t="shared" si="45"/>
        <v>34.119000000000007</v>
      </c>
      <c r="T162" s="2">
        <f>AVERAGE(T152:T161)</f>
        <v>74.906000000000006</v>
      </c>
      <c r="U162" s="2">
        <f t="shared" ref="U162:AI162" si="46">AVERAGE(U152:U161)</f>
        <v>73.978999999999999</v>
      </c>
      <c r="V162" s="2">
        <f t="shared" si="46"/>
        <v>62.102999999999994</v>
      </c>
      <c r="W162" s="2">
        <f t="shared" si="46"/>
        <v>68.625</v>
      </c>
      <c r="X162" s="2">
        <f t="shared" si="46"/>
        <v>77.84</v>
      </c>
      <c r="Y162" s="2">
        <f t="shared" si="46"/>
        <v>65.286000000000001</v>
      </c>
      <c r="Z162" s="2">
        <f t="shared" si="46"/>
        <v>70.683999999999997</v>
      </c>
      <c r="AA162" s="2">
        <f t="shared" si="46"/>
        <v>64.119999999999976</v>
      </c>
      <c r="AB162" s="2">
        <f t="shared" si="46"/>
        <v>67.263999999999996</v>
      </c>
      <c r="AC162" s="2">
        <f t="shared" si="46"/>
        <v>74.337999999999994</v>
      </c>
      <c r="AD162" s="2">
        <f t="shared" si="46"/>
        <v>62.102999999999994</v>
      </c>
      <c r="AE162" s="2">
        <f t="shared" si="46"/>
        <v>72.426999999999992</v>
      </c>
      <c r="AF162" s="2">
        <f t="shared" si="46"/>
        <v>67.264999999999986</v>
      </c>
      <c r="AG162" s="2">
        <f t="shared" si="46"/>
        <v>13.446999999999997</v>
      </c>
      <c r="AH162" s="2">
        <f t="shared" si="46"/>
        <v>67.263999999999996</v>
      </c>
      <c r="AI162" s="2">
        <f t="shared" si="46"/>
        <v>32.207000000000008</v>
      </c>
      <c r="AL162" s="2">
        <f t="shared" ref="AL162:BA162" si="47">AVERAGE(AL152:AL161)</f>
        <v>76.707999999999998</v>
      </c>
      <c r="AM162" s="2">
        <f t="shared" si="47"/>
        <v>73.186999999999998</v>
      </c>
      <c r="AN162" s="2">
        <f t="shared" si="47"/>
        <v>66.304000000000002</v>
      </c>
      <c r="AO162" s="2">
        <f t="shared" si="47"/>
        <v>70.921999999999997</v>
      </c>
      <c r="AP162" s="2">
        <f t="shared" si="47"/>
        <v>75.876000000000005</v>
      </c>
      <c r="AQ162" s="2">
        <f t="shared" si="47"/>
        <v>67.938000000000002</v>
      </c>
      <c r="AR162" s="2">
        <f t="shared" si="47"/>
        <v>71.549000000000007</v>
      </c>
      <c r="AS162" s="2">
        <f t="shared" si="47"/>
        <v>64.445999999999998</v>
      </c>
      <c r="AT162" s="2">
        <f t="shared" si="47"/>
        <v>68.215999999999994</v>
      </c>
      <c r="AU162" s="2">
        <f t="shared" si="47"/>
        <v>76.018999999999991</v>
      </c>
      <c r="AV162" s="2">
        <f t="shared" si="47"/>
        <v>66.304000000000002</v>
      </c>
      <c r="AW162" s="2">
        <f t="shared" si="47"/>
        <v>70.126999999999995</v>
      </c>
      <c r="AX162" s="2">
        <f t="shared" si="47"/>
        <v>68.215499999999992</v>
      </c>
      <c r="AY162" s="2">
        <f t="shared" si="47"/>
        <v>9.6980000000000004</v>
      </c>
      <c r="AZ162" s="2">
        <f t="shared" si="47"/>
        <v>68.215999999999994</v>
      </c>
      <c r="BA162" s="2">
        <f t="shared" si="47"/>
        <v>34.798000000000002</v>
      </c>
      <c r="BP162" s="2">
        <f t="shared" ref="BP162:BR162" si="48">AVERAGE(BP152:BP161)</f>
        <v>12.717333333333332</v>
      </c>
      <c r="BQ162" s="2">
        <f t="shared" si="48"/>
        <v>67.914666666666676</v>
      </c>
      <c r="BR162" s="2">
        <f t="shared" si="48"/>
        <v>33.707999999999998</v>
      </c>
    </row>
    <row r="166" spans="1:70" x14ac:dyDescent="0.25">
      <c r="A166" s="2" t="s">
        <v>39</v>
      </c>
      <c r="S166" s="2" t="s">
        <v>39</v>
      </c>
    </row>
    <row r="167" spans="1:70" x14ac:dyDescent="0.25">
      <c r="A167" s="2" t="s">
        <v>61</v>
      </c>
      <c r="S167" s="2" t="s">
        <v>61</v>
      </c>
    </row>
    <row r="168" spans="1:70" x14ac:dyDescent="0.25">
      <c r="B168" t="s">
        <v>0</v>
      </c>
      <c r="C168" t="s">
        <v>1</v>
      </c>
      <c r="D168" t="s">
        <v>2</v>
      </c>
      <c r="E168" t="s">
        <v>3</v>
      </c>
      <c r="F168" t="s">
        <v>4</v>
      </c>
      <c r="G168" t="s">
        <v>5</v>
      </c>
      <c r="H168" t="s">
        <v>6</v>
      </c>
      <c r="I168" t="s">
        <v>7</v>
      </c>
      <c r="J168" t="s">
        <v>8</v>
      </c>
      <c r="K168" t="s">
        <v>9</v>
      </c>
      <c r="L168" s="2" t="s">
        <v>10</v>
      </c>
      <c r="M168" s="2" t="s">
        <v>11</v>
      </c>
      <c r="N168" s="2" t="s">
        <v>12</v>
      </c>
      <c r="O168" s="2" t="s">
        <v>13</v>
      </c>
      <c r="P168" t="s">
        <v>14</v>
      </c>
      <c r="Q168" s="2" t="s">
        <v>15</v>
      </c>
      <c r="T168" t="s">
        <v>0</v>
      </c>
      <c r="U168" t="s">
        <v>1</v>
      </c>
      <c r="V168" t="s">
        <v>2</v>
      </c>
      <c r="W168" t="s">
        <v>3</v>
      </c>
      <c r="X168" t="s">
        <v>4</v>
      </c>
      <c r="Y168" t="s">
        <v>5</v>
      </c>
      <c r="Z168" t="s">
        <v>6</v>
      </c>
      <c r="AA168" t="s">
        <v>7</v>
      </c>
      <c r="AB168" t="s">
        <v>8</v>
      </c>
      <c r="AC168" t="s">
        <v>9</v>
      </c>
      <c r="AD168" s="2" t="s">
        <v>10</v>
      </c>
      <c r="AE168" s="2" t="s">
        <v>11</v>
      </c>
      <c r="AF168" s="2" t="s">
        <v>12</v>
      </c>
      <c r="AG168" s="2" t="s">
        <v>13</v>
      </c>
      <c r="AH168" t="s">
        <v>14</v>
      </c>
      <c r="AI168" s="2" t="s">
        <v>15</v>
      </c>
    </row>
    <row r="169" spans="1:70" x14ac:dyDescent="0.25">
      <c r="A169" t="s">
        <v>62</v>
      </c>
      <c r="B169">
        <v>59.506000000000007</v>
      </c>
      <c r="C169">
        <v>62.041999999999994</v>
      </c>
      <c r="D169">
        <v>45.412999999999997</v>
      </c>
      <c r="E169">
        <v>42.022000000000006</v>
      </c>
      <c r="F169">
        <v>57.801000000000002</v>
      </c>
      <c r="G169">
        <v>42.987000000000009</v>
      </c>
      <c r="H169">
        <v>44.543999999999997</v>
      </c>
      <c r="I169">
        <v>36.349000000000004</v>
      </c>
      <c r="J169">
        <v>50.536000000000008</v>
      </c>
      <c r="K169">
        <v>48.942999999999998</v>
      </c>
      <c r="L169">
        <v>45.412999999999997</v>
      </c>
      <c r="M169">
        <v>55.656000000000006</v>
      </c>
      <c r="N169">
        <v>50.534499999999994</v>
      </c>
      <c r="O169">
        <v>36.658999999999999</v>
      </c>
      <c r="P169">
        <v>50.536000000000008</v>
      </c>
      <c r="Q169">
        <v>1.1339999999999999</v>
      </c>
      <c r="S169" t="s">
        <v>62</v>
      </c>
      <c r="T169">
        <v>58.19</v>
      </c>
      <c r="U169">
        <v>62.76</v>
      </c>
      <c r="V169">
        <v>47.735000000000007</v>
      </c>
      <c r="W169">
        <v>43.574999999999996</v>
      </c>
      <c r="X169">
        <v>54.686666666666667</v>
      </c>
      <c r="Y169">
        <v>45.673333333333339</v>
      </c>
      <c r="Z169">
        <v>49.755000000000003</v>
      </c>
      <c r="AA169">
        <v>42.194999999999993</v>
      </c>
      <c r="AB169">
        <v>51.46</v>
      </c>
      <c r="AC169">
        <v>51.271666666666668</v>
      </c>
      <c r="AD169">
        <v>47.735000000000007</v>
      </c>
      <c r="AE169">
        <v>55.181666666666672</v>
      </c>
      <c r="AF169">
        <v>51.458333333333336</v>
      </c>
      <c r="AG169">
        <v>10.518333333333333</v>
      </c>
      <c r="AH169">
        <v>51.46</v>
      </c>
      <c r="AI169">
        <v>3.7033333333333331</v>
      </c>
    </row>
    <row r="170" spans="1:70" x14ac:dyDescent="0.25">
      <c r="B170">
        <v>61.572999999999993</v>
      </c>
      <c r="C170">
        <v>61.408999999999992</v>
      </c>
      <c r="D170">
        <v>55.45</v>
      </c>
      <c r="E170">
        <v>49.711999999999996</v>
      </c>
      <c r="F170">
        <v>54.941999999999993</v>
      </c>
      <c r="G170">
        <v>52.245000000000005</v>
      </c>
      <c r="H170">
        <v>52.362000000000002</v>
      </c>
      <c r="I170">
        <v>38.382000000000005</v>
      </c>
      <c r="J170">
        <v>49.699999999999989</v>
      </c>
      <c r="K170">
        <v>52.209000000000003</v>
      </c>
      <c r="L170">
        <v>55.45</v>
      </c>
      <c r="M170">
        <v>43.948</v>
      </c>
      <c r="N170">
        <v>49.698999999999998</v>
      </c>
      <c r="O170">
        <v>19.651</v>
      </c>
      <c r="P170">
        <v>49.699999999999989</v>
      </c>
      <c r="Q170">
        <v>-0.11000000000000001</v>
      </c>
      <c r="T170">
        <v>60.688333333333333</v>
      </c>
      <c r="U170">
        <v>64.473333333333329</v>
      </c>
      <c r="V170">
        <v>49.988333333333337</v>
      </c>
      <c r="W170">
        <v>46.933333333333337</v>
      </c>
      <c r="X170">
        <v>59.023333333333341</v>
      </c>
      <c r="Y170">
        <v>50.786666666666669</v>
      </c>
      <c r="Z170">
        <v>54.495000000000005</v>
      </c>
      <c r="AA170">
        <v>45.471666666666664</v>
      </c>
      <c r="AB170">
        <v>52.586666666666666</v>
      </c>
      <c r="AC170">
        <v>54.931666666666665</v>
      </c>
      <c r="AD170">
        <v>49.988333333333337</v>
      </c>
      <c r="AE170">
        <v>55.181666666666672</v>
      </c>
      <c r="AF170">
        <v>52.585000000000001</v>
      </c>
      <c r="AG170">
        <v>6.1449999999999996</v>
      </c>
      <c r="AH170">
        <v>52.586666666666666</v>
      </c>
      <c r="AI170">
        <v>6.5100000000000007</v>
      </c>
    </row>
    <row r="171" spans="1:70" x14ac:dyDescent="0.25">
      <c r="B171">
        <v>60.963000000000001</v>
      </c>
      <c r="C171">
        <v>64.295999999999992</v>
      </c>
      <c r="D171">
        <v>41.478999999999999</v>
      </c>
      <c r="E171">
        <v>47.241999999999997</v>
      </c>
      <c r="F171">
        <v>63.073999999999998</v>
      </c>
      <c r="G171">
        <v>44.981000000000002</v>
      </c>
      <c r="H171">
        <v>52.319999999999993</v>
      </c>
      <c r="I171">
        <v>44.863000000000007</v>
      </c>
      <c r="J171">
        <v>50.456999999999994</v>
      </c>
      <c r="K171">
        <v>51.335999999999999</v>
      </c>
      <c r="L171">
        <v>41.478999999999999</v>
      </c>
      <c r="M171">
        <v>59.436</v>
      </c>
      <c r="N171">
        <v>50.457499999999996</v>
      </c>
      <c r="O171">
        <v>21.792999999999999</v>
      </c>
      <c r="P171">
        <v>50.456999999999994</v>
      </c>
      <c r="Q171">
        <v>1.0309999999999999</v>
      </c>
      <c r="T171">
        <v>58.711666666666666</v>
      </c>
      <c r="U171">
        <v>61.904999999999994</v>
      </c>
      <c r="V171">
        <v>44.211666666666666</v>
      </c>
      <c r="W171">
        <v>43.54666666666666</v>
      </c>
      <c r="X171">
        <v>59.768333333333338</v>
      </c>
      <c r="Y171">
        <v>47.053333333333335</v>
      </c>
      <c r="Z171">
        <v>52.481666666666662</v>
      </c>
      <c r="AA171">
        <v>43.633333333333326</v>
      </c>
      <c r="AB171">
        <v>50.036666666666669</v>
      </c>
      <c r="AC171">
        <v>51.87166666666667</v>
      </c>
      <c r="AD171">
        <v>44.211666666666666</v>
      </c>
      <c r="AE171">
        <v>55.865000000000002</v>
      </c>
      <c r="AF171">
        <v>50.038333333333334</v>
      </c>
      <c r="AG171">
        <v>11.655000000000001</v>
      </c>
      <c r="AH171">
        <v>50.036666666666669</v>
      </c>
      <c r="AI171">
        <v>0.45333333333333337</v>
      </c>
    </row>
    <row r="172" spans="1:70" x14ac:dyDescent="0.25">
      <c r="B172" s="2">
        <f>AVERAGE(B169:B171)</f>
        <v>60.680666666666667</v>
      </c>
      <c r="C172" s="2">
        <f t="shared" ref="C172:Q172" si="49">AVERAGE(C169:C171)</f>
        <v>62.582333333333331</v>
      </c>
      <c r="D172" s="2">
        <f t="shared" si="49"/>
        <v>47.447333333333326</v>
      </c>
      <c r="E172" s="2">
        <f t="shared" si="49"/>
        <v>46.325333333333333</v>
      </c>
      <c r="F172" s="2">
        <f t="shared" si="49"/>
        <v>58.605666666666671</v>
      </c>
      <c r="G172" s="2">
        <f t="shared" si="49"/>
        <v>46.737666666666676</v>
      </c>
      <c r="H172" s="2">
        <f t="shared" si="49"/>
        <v>49.741999999999997</v>
      </c>
      <c r="I172" s="2">
        <f t="shared" si="49"/>
        <v>39.864666666666672</v>
      </c>
      <c r="J172" s="2">
        <f t="shared" si="49"/>
        <v>50.230999999999995</v>
      </c>
      <c r="K172" s="2">
        <f t="shared" si="49"/>
        <v>50.829333333333331</v>
      </c>
      <c r="L172" s="2">
        <f t="shared" si="49"/>
        <v>47.447333333333326</v>
      </c>
      <c r="M172" s="2">
        <f t="shared" si="49"/>
        <v>53.013333333333343</v>
      </c>
      <c r="N172" s="2">
        <f t="shared" si="49"/>
        <v>50.230333333333327</v>
      </c>
      <c r="O172" s="2">
        <f t="shared" si="49"/>
        <v>26.034333333333336</v>
      </c>
      <c r="P172" s="2">
        <f t="shared" si="49"/>
        <v>50.230999999999995</v>
      </c>
      <c r="Q172" s="2">
        <f t="shared" si="49"/>
        <v>0.68499999999999994</v>
      </c>
      <c r="T172" s="2">
        <f>AVERAGE(T169:T171)</f>
        <v>59.196666666666665</v>
      </c>
      <c r="U172" s="2">
        <f t="shared" ref="U172:AI172" si="50">AVERAGE(U169:U171)</f>
        <v>63.046111111111109</v>
      </c>
      <c r="V172" s="2">
        <f t="shared" si="50"/>
        <v>47.311666666666667</v>
      </c>
      <c r="W172" s="2">
        <f t="shared" si="50"/>
        <v>44.684999999999995</v>
      </c>
      <c r="X172" s="2">
        <f t="shared" si="50"/>
        <v>57.826111111111118</v>
      </c>
      <c r="Y172" s="2">
        <f t="shared" si="50"/>
        <v>47.837777777777781</v>
      </c>
      <c r="Z172" s="2">
        <f t="shared" si="50"/>
        <v>52.243888888888883</v>
      </c>
      <c r="AA172" s="2">
        <f t="shared" si="50"/>
        <v>43.766666666666659</v>
      </c>
      <c r="AB172" s="2">
        <f t="shared" si="50"/>
        <v>51.361111111111114</v>
      </c>
      <c r="AC172" s="2">
        <f t="shared" si="50"/>
        <v>52.691666666666663</v>
      </c>
      <c r="AD172" s="2">
        <f t="shared" si="50"/>
        <v>47.311666666666667</v>
      </c>
      <c r="AE172" s="2">
        <f t="shared" si="50"/>
        <v>55.409444444444453</v>
      </c>
      <c r="AF172" s="2">
        <f t="shared" si="50"/>
        <v>51.360555555555557</v>
      </c>
      <c r="AG172" s="2">
        <f t="shared" si="50"/>
        <v>9.4394444444444456</v>
      </c>
      <c r="AH172" s="2">
        <f t="shared" si="50"/>
        <v>51.361111111111114</v>
      </c>
      <c r="AI172" s="2">
        <f t="shared" si="50"/>
        <v>3.5555555555555558</v>
      </c>
      <c r="AK172" s="2">
        <f>(B172+T172)/2</f>
        <v>59.938666666666663</v>
      </c>
      <c r="AL172" s="2">
        <f t="shared" ref="AL172:AZ173" si="51">(C172+U172)/2</f>
        <v>62.81422222222222</v>
      </c>
      <c r="AM172" s="2">
        <f t="shared" si="51"/>
        <v>47.379499999999993</v>
      </c>
      <c r="AN172" s="2">
        <f t="shared" si="51"/>
        <v>45.505166666666668</v>
      </c>
      <c r="AO172" s="2">
        <f t="shared" si="51"/>
        <v>58.215888888888898</v>
      </c>
      <c r="AP172" s="2">
        <f t="shared" si="51"/>
        <v>47.287722222222229</v>
      </c>
      <c r="AQ172" s="2">
        <f t="shared" si="51"/>
        <v>50.99294444444444</v>
      </c>
      <c r="AR172" s="2">
        <f t="shared" si="51"/>
        <v>41.815666666666665</v>
      </c>
      <c r="AS172" s="2">
        <f t="shared" si="51"/>
        <v>50.796055555555554</v>
      </c>
      <c r="AT172" s="2">
        <f t="shared" si="51"/>
        <v>51.760499999999993</v>
      </c>
      <c r="AU172" s="2">
        <f t="shared" si="51"/>
        <v>47.379499999999993</v>
      </c>
      <c r="AV172" s="2">
        <f t="shared" si="51"/>
        <v>54.211388888888898</v>
      </c>
      <c r="AW172" s="2">
        <f t="shared" si="51"/>
        <v>50.795444444444442</v>
      </c>
      <c r="AX172" s="2">
        <f t="shared" si="51"/>
        <v>17.736888888888892</v>
      </c>
      <c r="AY172" s="2">
        <f t="shared" si="51"/>
        <v>50.796055555555554</v>
      </c>
      <c r="AZ172" s="2">
        <f>(Q172+AI172)/2</f>
        <v>2.1202777777777779</v>
      </c>
    </row>
    <row r="173" spans="1:70" x14ac:dyDescent="0.25">
      <c r="B173" s="2">
        <f>_xlfn.STDEV.S(B169:B171)</f>
        <v>1.0620293467382711</v>
      </c>
      <c r="C173" s="2">
        <f t="shared" ref="C173:Q173" si="52">_xlfn.STDEV.S(C169:C171)</f>
        <v>1.5174525802585506</v>
      </c>
      <c r="D173" s="2">
        <f t="shared" si="52"/>
        <v>7.2042414127605223</v>
      </c>
      <c r="E173" s="2">
        <f t="shared" si="52"/>
        <v>3.9260964498256148</v>
      </c>
      <c r="F173" s="2">
        <f t="shared" si="52"/>
        <v>4.1252845154405229</v>
      </c>
      <c r="G173" s="2">
        <f t="shared" si="52"/>
        <v>4.8725813829358788</v>
      </c>
      <c r="H173" s="2">
        <f t="shared" si="52"/>
        <v>4.5016490311884603</v>
      </c>
      <c r="I173" s="2">
        <f t="shared" si="52"/>
        <v>4.446433889459434</v>
      </c>
      <c r="J173" s="2">
        <f t="shared" si="52"/>
        <v>0.46155281387941638</v>
      </c>
      <c r="K173" s="2">
        <f t="shared" si="52"/>
        <v>1.6909235149270772</v>
      </c>
      <c r="L173" s="2">
        <f t="shared" si="52"/>
        <v>7.2042414127605223</v>
      </c>
      <c r="M173" s="2">
        <f t="shared" si="52"/>
        <v>8.0751037970624822</v>
      </c>
      <c r="N173" s="2">
        <f t="shared" si="52"/>
        <v>0.46175597812408636</v>
      </c>
      <c r="O173" s="2">
        <f t="shared" si="52"/>
        <v>9.2633523809327816</v>
      </c>
      <c r="P173" s="2">
        <f t="shared" si="52"/>
        <v>0.46155281387941638</v>
      </c>
      <c r="Q173" s="2">
        <f t="shared" si="52"/>
        <v>0.69041364412937256</v>
      </c>
      <c r="T173" s="2">
        <f>_xlfn.STDEV.S(T169:T171)</f>
        <v>1.31789078117692</v>
      </c>
      <c r="U173" s="2">
        <f t="shared" ref="U173:AI173" si="53">_xlfn.STDEV.S(U169:U171)</f>
        <v>1.3078527071898063</v>
      </c>
      <c r="V173" s="2">
        <f t="shared" si="53"/>
        <v>2.911507818601522</v>
      </c>
      <c r="W173" s="2">
        <f t="shared" si="53"/>
        <v>1.9471653185535631</v>
      </c>
      <c r="X173" s="2">
        <f t="shared" si="53"/>
        <v>2.7442375653020332</v>
      </c>
      <c r="Y173" s="2">
        <f t="shared" si="53"/>
        <v>2.6453845201140895</v>
      </c>
      <c r="Z173" s="2">
        <f t="shared" si="53"/>
        <v>2.378929108591449</v>
      </c>
      <c r="AA173" s="2">
        <f t="shared" si="53"/>
        <v>1.6423974684723706</v>
      </c>
      <c r="AB173" s="2">
        <f t="shared" si="53"/>
        <v>1.277872943316062</v>
      </c>
      <c r="AC173" s="2">
        <f t="shared" si="53"/>
        <v>1.9629569531703928</v>
      </c>
      <c r="AD173" s="2">
        <f t="shared" si="53"/>
        <v>2.911507818601522</v>
      </c>
      <c r="AE173" s="2">
        <f t="shared" si="53"/>
        <v>0.39452268394624235</v>
      </c>
      <c r="AF173" s="2">
        <f t="shared" si="53"/>
        <v>1.2761458177450369</v>
      </c>
      <c r="AG173" s="2">
        <f t="shared" si="53"/>
        <v>2.9091280353270643</v>
      </c>
      <c r="AH173" s="2">
        <f t="shared" si="53"/>
        <v>1.277872943316062</v>
      </c>
      <c r="AI173" s="2">
        <f t="shared" si="53"/>
        <v>3.0310363708608778</v>
      </c>
      <c r="AK173" s="2">
        <f>(B173+T173)/2</f>
        <v>1.1899600639575956</v>
      </c>
      <c r="AL173" s="2">
        <f t="shared" si="51"/>
        <v>1.4126526437241784</v>
      </c>
      <c r="AM173" s="2">
        <f t="shared" si="51"/>
        <v>5.0578746156810226</v>
      </c>
      <c r="AN173" s="2">
        <f t="shared" si="51"/>
        <v>2.9366308841895892</v>
      </c>
      <c r="AO173" s="2">
        <f t="shared" si="51"/>
        <v>3.4347610403712778</v>
      </c>
      <c r="AP173" s="2">
        <f t="shared" si="51"/>
        <v>3.7589829515249842</v>
      </c>
      <c r="AQ173" s="2">
        <f t="shared" si="51"/>
        <v>3.4402890698899546</v>
      </c>
      <c r="AR173" s="2">
        <f t="shared" si="51"/>
        <v>3.044415678965902</v>
      </c>
      <c r="AS173" s="2">
        <f t="shared" si="51"/>
        <v>0.86971287859773927</v>
      </c>
      <c r="AT173" s="2">
        <f t="shared" si="51"/>
        <v>1.8269402340487351</v>
      </c>
      <c r="AU173" s="2">
        <f t="shared" si="51"/>
        <v>5.0578746156810226</v>
      </c>
      <c r="AV173" s="2">
        <f t="shared" si="51"/>
        <v>4.2348132405043621</v>
      </c>
      <c r="AW173" s="2">
        <f t="shared" si="51"/>
        <v>0.86895089793456159</v>
      </c>
      <c r="AX173" s="2">
        <f t="shared" si="51"/>
        <v>6.0862402081299232</v>
      </c>
      <c r="AY173" s="2">
        <f t="shared" si="51"/>
        <v>0.86971287859773927</v>
      </c>
      <c r="AZ173" s="2">
        <f t="shared" si="51"/>
        <v>1.8607250074951251</v>
      </c>
    </row>
    <row r="175" spans="1:70" x14ac:dyDescent="0.25">
      <c r="A175" t="s">
        <v>63</v>
      </c>
      <c r="B175">
        <v>62.411999999999992</v>
      </c>
      <c r="C175">
        <v>60.309000000000012</v>
      </c>
      <c r="D175">
        <v>56.448999999999998</v>
      </c>
      <c r="E175">
        <v>53.957999999999991</v>
      </c>
      <c r="F175">
        <v>59.085000000000001</v>
      </c>
      <c r="G175">
        <v>55.644000000000005</v>
      </c>
      <c r="H175">
        <v>56.819000000000003</v>
      </c>
      <c r="I175">
        <v>46.238999999999997</v>
      </c>
      <c r="J175">
        <v>50.768000000000001</v>
      </c>
      <c r="K175">
        <v>53.250999999999998</v>
      </c>
      <c r="L175">
        <v>56.448999999999998</v>
      </c>
      <c r="M175">
        <v>45.085999999999999</v>
      </c>
      <c r="N175">
        <v>50.767499999999998</v>
      </c>
      <c r="O175">
        <v>13.028</v>
      </c>
      <c r="P175">
        <v>50.768000000000001</v>
      </c>
      <c r="Q175">
        <v>1.9340000000000004</v>
      </c>
      <c r="S175" t="s">
        <v>63</v>
      </c>
      <c r="T175">
        <v>59.68</v>
      </c>
      <c r="U175">
        <v>61.205000000000005</v>
      </c>
      <c r="V175">
        <v>50.77</v>
      </c>
      <c r="W175">
        <v>50.215000000000003</v>
      </c>
      <c r="X175">
        <v>58.805000000000007</v>
      </c>
      <c r="Y175">
        <v>52.476666666666659</v>
      </c>
      <c r="Z175">
        <v>55.278333333333329</v>
      </c>
      <c r="AA175">
        <v>46.801666666666669</v>
      </c>
      <c r="AB175">
        <v>52.019999999999989</v>
      </c>
      <c r="AC175">
        <v>55.1</v>
      </c>
      <c r="AD175">
        <v>50.77</v>
      </c>
      <c r="AE175">
        <v>53.265000000000008</v>
      </c>
      <c r="AF175">
        <v>52.017499999999991</v>
      </c>
      <c r="AG175">
        <v>4.4483333333333333</v>
      </c>
      <c r="AH175">
        <v>52.019999999999989</v>
      </c>
      <c r="AI175">
        <v>3.76</v>
      </c>
    </row>
    <row r="176" spans="1:70" x14ac:dyDescent="0.25">
      <c r="B176">
        <v>61.79</v>
      </c>
      <c r="C176">
        <v>61.000999999999991</v>
      </c>
      <c r="D176">
        <v>43.694000000000003</v>
      </c>
      <c r="E176">
        <v>47.013999999999996</v>
      </c>
      <c r="F176">
        <v>63.259000000000015</v>
      </c>
      <c r="G176">
        <v>47.436</v>
      </c>
      <c r="H176">
        <v>53.122</v>
      </c>
      <c r="I176">
        <v>44.25</v>
      </c>
      <c r="J176">
        <v>50.884</v>
      </c>
      <c r="K176">
        <v>52.511000000000003</v>
      </c>
      <c r="L176">
        <v>43.694000000000003</v>
      </c>
      <c r="M176">
        <v>58.072000000000003</v>
      </c>
      <c r="N176">
        <v>50.882999999999996</v>
      </c>
      <c r="O176">
        <v>27.005000000000003</v>
      </c>
      <c r="P176">
        <v>50.884</v>
      </c>
      <c r="Q176">
        <v>2.3340000000000005</v>
      </c>
      <c r="T176">
        <v>61.471666666666671</v>
      </c>
      <c r="U176">
        <v>62.945</v>
      </c>
      <c r="V176">
        <v>63.223333333333336</v>
      </c>
      <c r="W176">
        <v>57.77</v>
      </c>
      <c r="X176">
        <v>61.324999999999996</v>
      </c>
      <c r="Y176">
        <v>64.873333333333335</v>
      </c>
      <c r="Z176">
        <v>62.69</v>
      </c>
      <c r="AA176">
        <v>50.986666666666672</v>
      </c>
      <c r="AB176">
        <v>55.168333333333329</v>
      </c>
      <c r="AC176">
        <v>57.391666666666673</v>
      </c>
      <c r="AD176">
        <v>63.223333333333336</v>
      </c>
      <c r="AE176">
        <v>47.111666666666672</v>
      </c>
      <c r="AF176">
        <v>55.167499999999997</v>
      </c>
      <c r="AG176">
        <v>19.478333333333335</v>
      </c>
      <c r="AH176">
        <v>55.168333333333329</v>
      </c>
      <c r="AI176">
        <v>11.26</v>
      </c>
    </row>
    <row r="177" spans="1:52" x14ac:dyDescent="0.25">
      <c r="B177">
        <v>62.189</v>
      </c>
      <c r="C177">
        <v>60.612999999999985</v>
      </c>
      <c r="D177">
        <v>64.206999999999994</v>
      </c>
      <c r="E177">
        <v>57.10799999999999</v>
      </c>
      <c r="F177">
        <v>58.178999999999988</v>
      </c>
      <c r="G177">
        <v>61.559000000000005</v>
      </c>
      <c r="H177">
        <v>58.920999999999992</v>
      </c>
      <c r="I177">
        <v>46.992000000000004</v>
      </c>
      <c r="J177">
        <v>52.880999999999993</v>
      </c>
      <c r="K177">
        <v>53.954000000000008</v>
      </c>
      <c r="L177">
        <v>64.206999999999994</v>
      </c>
      <c r="M177">
        <v>41.554000000000002</v>
      </c>
      <c r="N177">
        <v>52.880499999999998</v>
      </c>
      <c r="O177">
        <v>25.866999999999997</v>
      </c>
      <c r="P177">
        <v>52.880999999999993</v>
      </c>
      <c r="Q177">
        <v>5.9739999999999993</v>
      </c>
      <c r="T177">
        <v>57.784999999999997</v>
      </c>
      <c r="U177">
        <v>56.401666666666664</v>
      </c>
      <c r="V177">
        <v>50.914999999999999</v>
      </c>
      <c r="W177">
        <v>49.42166666666666</v>
      </c>
      <c r="X177">
        <v>54.72</v>
      </c>
      <c r="Y177">
        <v>49.803333333333335</v>
      </c>
      <c r="Z177">
        <v>51.716666666666669</v>
      </c>
      <c r="AA177">
        <v>45.468333333333334</v>
      </c>
      <c r="AB177">
        <v>51.196666666666658</v>
      </c>
      <c r="AC177">
        <v>51.140000000000008</v>
      </c>
      <c r="AD177">
        <v>50.914999999999999</v>
      </c>
      <c r="AE177">
        <v>51.475000000000001</v>
      </c>
      <c r="AF177">
        <v>51.194999999999993</v>
      </c>
      <c r="AG177">
        <v>15.51</v>
      </c>
      <c r="AH177">
        <v>51.196666666666658</v>
      </c>
      <c r="AI177">
        <v>2.5733333333333328</v>
      </c>
    </row>
    <row r="178" spans="1:52" x14ac:dyDescent="0.25">
      <c r="B178" s="2">
        <f>AVERAGE(B175:B177)</f>
        <v>62.130333333333333</v>
      </c>
      <c r="C178" s="2">
        <f t="shared" ref="C178:Q178" si="54">AVERAGE(C175:C177)</f>
        <v>60.640999999999998</v>
      </c>
      <c r="D178" s="2">
        <f t="shared" si="54"/>
        <v>54.783333333333331</v>
      </c>
      <c r="E178" s="2">
        <f t="shared" si="54"/>
        <v>52.693333333333328</v>
      </c>
      <c r="F178" s="2">
        <f t="shared" si="54"/>
        <v>60.174333333333344</v>
      </c>
      <c r="G178" s="2">
        <f t="shared" si="54"/>
        <v>54.879666666666672</v>
      </c>
      <c r="H178" s="2">
        <f t="shared" si="54"/>
        <v>56.287333333333329</v>
      </c>
      <c r="I178" s="2">
        <f t="shared" si="54"/>
        <v>45.826999999999998</v>
      </c>
      <c r="J178" s="2">
        <f t="shared" si="54"/>
        <v>51.510999999999996</v>
      </c>
      <c r="K178" s="2">
        <f t="shared" si="54"/>
        <v>53.238666666666667</v>
      </c>
      <c r="L178" s="2">
        <f t="shared" si="54"/>
        <v>54.783333333333331</v>
      </c>
      <c r="M178" s="2">
        <f t="shared" si="54"/>
        <v>48.237333333333332</v>
      </c>
      <c r="N178" s="2">
        <f t="shared" si="54"/>
        <v>51.510333333333335</v>
      </c>
      <c r="O178" s="2">
        <f t="shared" si="54"/>
        <v>21.966666666666669</v>
      </c>
      <c r="P178" s="2">
        <f t="shared" si="54"/>
        <v>51.510999999999996</v>
      </c>
      <c r="Q178" s="2">
        <f t="shared" si="54"/>
        <v>3.4140000000000001</v>
      </c>
      <c r="T178" s="2">
        <f>AVERAGE(T175:T177)</f>
        <v>59.645555555555553</v>
      </c>
      <c r="U178" s="2">
        <f t="shared" ref="U178:AI178" si="55">AVERAGE(U175:U177)</f>
        <v>60.183888888888895</v>
      </c>
      <c r="V178" s="2">
        <f t="shared" si="55"/>
        <v>54.969444444444441</v>
      </c>
      <c r="W178" s="2">
        <f t="shared" si="55"/>
        <v>52.468888888888891</v>
      </c>
      <c r="X178" s="2">
        <f t="shared" si="55"/>
        <v>58.283333333333331</v>
      </c>
      <c r="Y178" s="2">
        <f t="shared" si="55"/>
        <v>55.717777777777776</v>
      </c>
      <c r="Z178" s="2">
        <f t="shared" si="55"/>
        <v>56.561666666666667</v>
      </c>
      <c r="AA178" s="2">
        <f t="shared" si="55"/>
        <v>47.752222222222223</v>
      </c>
      <c r="AB178" s="2">
        <f t="shared" si="55"/>
        <v>52.794999999999995</v>
      </c>
      <c r="AC178" s="2">
        <f t="shared" si="55"/>
        <v>54.543888888888894</v>
      </c>
      <c r="AD178" s="2">
        <f t="shared" si="55"/>
        <v>54.969444444444441</v>
      </c>
      <c r="AE178" s="2">
        <f t="shared" si="55"/>
        <v>50.617222222222232</v>
      </c>
      <c r="AF178" s="2">
        <f t="shared" si="55"/>
        <v>52.793333333333329</v>
      </c>
      <c r="AG178" s="2">
        <f t="shared" si="55"/>
        <v>13.145555555555555</v>
      </c>
      <c r="AH178" s="2">
        <f t="shared" si="55"/>
        <v>52.794999999999995</v>
      </c>
      <c r="AI178" s="2">
        <f t="shared" si="55"/>
        <v>5.8644444444444446</v>
      </c>
      <c r="AK178" s="2">
        <f>(B178+T178)/2</f>
        <v>60.887944444444443</v>
      </c>
      <c r="AL178" s="2">
        <f t="shared" ref="AL178:AZ179" si="56">(C178+U178)/2</f>
        <v>60.412444444444446</v>
      </c>
      <c r="AM178" s="2">
        <f t="shared" si="56"/>
        <v>54.876388888888883</v>
      </c>
      <c r="AN178" s="2">
        <f t="shared" si="56"/>
        <v>52.581111111111113</v>
      </c>
      <c r="AO178" s="2">
        <f t="shared" si="56"/>
        <v>59.228833333333341</v>
      </c>
      <c r="AP178" s="2">
        <f t="shared" si="56"/>
        <v>55.298722222222224</v>
      </c>
      <c r="AQ178" s="2">
        <f t="shared" si="56"/>
        <v>56.424499999999995</v>
      </c>
      <c r="AR178" s="2">
        <f t="shared" si="56"/>
        <v>46.789611111111114</v>
      </c>
      <c r="AS178" s="2">
        <f t="shared" si="56"/>
        <v>52.152999999999992</v>
      </c>
      <c r="AT178" s="2">
        <f t="shared" si="56"/>
        <v>53.89127777777778</v>
      </c>
      <c r="AU178" s="2">
        <f t="shared" si="56"/>
        <v>54.876388888888883</v>
      </c>
      <c r="AV178" s="2">
        <f t="shared" si="56"/>
        <v>49.427277777777782</v>
      </c>
      <c r="AW178" s="2">
        <f t="shared" si="56"/>
        <v>52.151833333333329</v>
      </c>
      <c r="AX178" s="2">
        <f t="shared" si="56"/>
        <v>17.556111111111111</v>
      </c>
      <c r="AY178" s="2">
        <f t="shared" si="56"/>
        <v>52.152999999999992</v>
      </c>
      <c r="AZ178" s="2">
        <f>(Q178+AI178)/2</f>
        <v>4.6392222222222221</v>
      </c>
    </row>
    <row r="179" spans="1:52" x14ac:dyDescent="0.25">
      <c r="B179" s="2">
        <f>_xlfn.STDEV.S(B175:B177)</f>
        <v>0.31512272741478253</v>
      </c>
      <c r="C179" s="2">
        <f t="shared" ref="C179:Q179" si="57">_xlfn.STDEV.S(C175:C177)</f>
        <v>0.34684867017186777</v>
      </c>
      <c r="D179" s="2">
        <f t="shared" si="57"/>
        <v>10.357443040313246</v>
      </c>
      <c r="E179" s="2">
        <f t="shared" si="57"/>
        <v>5.1644695113180115</v>
      </c>
      <c r="F179" s="2">
        <f t="shared" si="57"/>
        <v>2.709535999637835</v>
      </c>
      <c r="G179" s="2">
        <f t="shared" si="57"/>
        <v>7.0924562975977796</v>
      </c>
      <c r="H179" s="2">
        <f t="shared" si="57"/>
        <v>2.935830773960467</v>
      </c>
      <c r="I179" s="2">
        <f t="shared" si="57"/>
        <v>1.416668274508893</v>
      </c>
      <c r="J179" s="2">
        <f t="shared" si="57"/>
        <v>1.1878716260606572</v>
      </c>
      <c r="K179" s="2">
        <f t="shared" si="57"/>
        <v>0.72157905549796608</v>
      </c>
      <c r="L179" s="2">
        <f t="shared" si="57"/>
        <v>10.357443040313246</v>
      </c>
      <c r="M179" s="2">
        <f t="shared" si="57"/>
        <v>8.6982330006349073</v>
      </c>
      <c r="N179" s="2">
        <f t="shared" si="57"/>
        <v>1.1880036125085371</v>
      </c>
      <c r="O179" s="2">
        <f t="shared" si="57"/>
        <v>7.7619960276550826</v>
      </c>
      <c r="P179" s="2">
        <f t="shared" si="57"/>
        <v>1.1878716260606572</v>
      </c>
      <c r="Q179" s="2">
        <f t="shared" si="57"/>
        <v>2.2260278524762431</v>
      </c>
      <c r="T179" s="2">
        <f>_xlfn.STDEV.S(T175:T177)</f>
        <v>1.8435746777911133</v>
      </c>
      <c r="U179" s="2">
        <f t="shared" ref="U179:AI179" si="58">_xlfn.STDEV.S(U175:U177)</f>
        <v>3.3890712154960272</v>
      </c>
      <c r="V179" s="2">
        <f t="shared" si="58"/>
        <v>7.1484451171281229</v>
      </c>
      <c r="W179" s="2">
        <f t="shared" si="58"/>
        <v>4.6080015954536879</v>
      </c>
      <c r="X179" s="2">
        <f t="shared" si="58"/>
        <v>3.3332579158134954</v>
      </c>
      <c r="Y179" s="2">
        <f t="shared" si="58"/>
        <v>8.0408224657633909</v>
      </c>
      <c r="Z179" s="2">
        <f t="shared" si="58"/>
        <v>5.5980996279491517</v>
      </c>
      <c r="AA179" s="2">
        <f t="shared" si="58"/>
        <v>2.8793519396893124</v>
      </c>
      <c r="AB179" s="2">
        <f t="shared" si="58"/>
        <v>2.0961876771362316</v>
      </c>
      <c r="AC179" s="2">
        <f t="shared" si="58"/>
        <v>3.1627169812842402</v>
      </c>
      <c r="AD179" s="2">
        <f t="shared" si="58"/>
        <v>7.1484451171281229</v>
      </c>
      <c r="AE179" s="2">
        <f t="shared" si="58"/>
        <v>3.1650773789616609</v>
      </c>
      <c r="AF179" s="2">
        <f t="shared" si="58"/>
        <v>2.09681355473808</v>
      </c>
      <c r="AG179" s="2">
        <f t="shared" si="58"/>
        <v>7.7889776702817803</v>
      </c>
      <c r="AH179" s="2">
        <f t="shared" si="58"/>
        <v>2.0961876771362316</v>
      </c>
      <c r="AI179" s="2">
        <f t="shared" si="58"/>
        <v>4.7102079847135458</v>
      </c>
      <c r="AK179" s="2">
        <f>(B179+T179)/2</f>
        <v>1.0793487026029478</v>
      </c>
      <c r="AL179" s="2">
        <f t="shared" si="56"/>
        <v>1.8679599428339475</v>
      </c>
      <c r="AM179" s="2">
        <f t="shared" si="56"/>
        <v>8.7529440787206845</v>
      </c>
      <c r="AN179" s="2">
        <f t="shared" si="56"/>
        <v>4.8862355533858501</v>
      </c>
      <c r="AO179" s="2">
        <f t="shared" si="56"/>
        <v>3.0213969577256652</v>
      </c>
      <c r="AP179" s="2">
        <f t="shared" si="56"/>
        <v>7.5666393816805853</v>
      </c>
      <c r="AQ179" s="2">
        <f t="shared" si="56"/>
        <v>4.2669652009548091</v>
      </c>
      <c r="AR179" s="2">
        <f t="shared" si="56"/>
        <v>2.1480101070991027</v>
      </c>
      <c r="AS179" s="2">
        <f t="shared" si="56"/>
        <v>1.6420296515984445</v>
      </c>
      <c r="AT179" s="2">
        <f t="shared" si="56"/>
        <v>1.9421480183911031</v>
      </c>
      <c r="AU179" s="2">
        <f t="shared" si="56"/>
        <v>8.7529440787206845</v>
      </c>
      <c r="AV179" s="2">
        <f t="shared" si="56"/>
        <v>5.9316551897982839</v>
      </c>
      <c r="AW179" s="2">
        <f t="shared" si="56"/>
        <v>1.6424085836233084</v>
      </c>
      <c r="AX179" s="2">
        <f t="shared" si="56"/>
        <v>7.7754868489684315</v>
      </c>
      <c r="AY179" s="2">
        <f t="shared" si="56"/>
        <v>1.6420296515984445</v>
      </c>
      <c r="AZ179" s="2">
        <f t="shared" si="56"/>
        <v>3.4681179185948947</v>
      </c>
    </row>
    <row r="181" spans="1:52" x14ac:dyDescent="0.25">
      <c r="A181" s="1" t="s">
        <v>65</v>
      </c>
      <c r="B181">
        <v>58.246999999999993</v>
      </c>
      <c r="C181">
        <v>68.705000000000013</v>
      </c>
      <c r="D181">
        <v>57.682000000000002</v>
      </c>
      <c r="E181">
        <v>46.912999999999997</v>
      </c>
      <c r="F181">
        <v>55.633999999999993</v>
      </c>
      <c r="G181">
        <v>55.359000000000002</v>
      </c>
      <c r="H181">
        <v>55.423000000000002</v>
      </c>
      <c r="I181">
        <v>38.417999999999999</v>
      </c>
      <c r="J181">
        <v>50.053000000000011</v>
      </c>
      <c r="K181">
        <v>48.887000000000008</v>
      </c>
      <c r="L181">
        <v>57.682000000000002</v>
      </c>
      <c r="M181">
        <v>42.422999999999995</v>
      </c>
      <c r="N181">
        <v>50.052500000000002</v>
      </c>
      <c r="O181">
        <v>17.250999999999998</v>
      </c>
      <c r="P181">
        <v>50.053000000000011</v>
      </c>
      <c r="Q181">
        <v>-1.0780000000000001</v>
      </c>
      <c r="S181" s="1" t="s">
        <v>65</v>
      </c>
      <c r="T181">
        <v>59.906666666666666</v>
      </c>
      <c r="U181">
        <v>60.533333333333331</v>
      </c>
      <c r="V181">
        <v>66.951666666666668</v>
      </c>
      <c r="W181">
        <v>54.121666666666663</v>
      </c>
      <c r="X181">
        <v>55.108333333333341</v>
      </c>
      <c r="Y181">
        <v>64.331666666666663</v>
      </c>
      <c r="Z181">
        <v>59.20333333333334</v>
      </c>
      <c r="AA181">
        <v>42.976666666666667</v>
      </c>
      <c r="AB181">
        <v>51.723333333333336</v>
      </c>
      <c r="AC181">
        <v>54.286666666666669</v>
      </c>
      <c r="AD181">
        <v>66.951666666666668</v>
      </c>
      <c r="AE181">
        <v>36.501666666666665</v>
      </c>
      <c r="AF181">
        <v>51.726666666666667</v>
      </c>
      <c r="AG181">
        <v>30.448333333333334</v>
      </c>
      <c r="AH181">
        <v>51.723333333333336</v>
      </c>
      <c r="AI181">
        <v>4.4149999999999991</v>
      </c>
    </row>
    <row r="182" spans="1:52" x14ac:dyDescent="0.25">
      <c r="B182">
        <v>62.001000000000012</v>
      </c>
      <c r="C182">
        <v>67.450999999999993</v>
      </c>
      <c r="D182">
        <v>38.349000000000004</v>
      </c>
      <c r="E182">
        <v>36.860999999999997</v>
      </c>
      <c r="F182">
        <v>57.470000000000006</v>
      </c>
      <c r="G182">
        <v>37.572000000000003</v>
      </c>
      <c r="H182">
        <v>44.008000000000003</v>
      </c>
      <c r="I182">
        <v>39.398999999999994</v>
      </c>
      <c r="J182">
        <v>51.203999999999994</v>
      </c>
      <c r="K182">
        <v>51.387</v>
      </c>
      <c r="L182">
        <v>38.349000000000004</v>
      </c>
      <c r="M182">
        <v>64.052999999999997</v>
      </c>
      <c r="N182">
        <v>51.201000000000001</v>
      </c>
      <c r="O182">
        <v>25.703999999999997</v>
      </c>
      <c r="P182">
        <v>51.203999999999994</v>
      </c>
      <c r="Q182">
        <v>2.1040000000000001</v>
      </c>
      <c r="T182">
        <v>60.811666666666667</v>
      </c>
      <c r="U182">
        <v>67.62833333333333</v>
      </c>
      <c r="V182">
        <v>43.098333333333336</v>
      </c>
      <c r="W182">
        <v>34.958333333333336</v>
      </c>
      <c r="X182">
        <v>59.205000000000005</v>
      </c>
      <c r="Y182">
        <v>43.745000000000005</v>
      </c>
      <c r="Z182">
        <v>48.01</v>
      </c>
      <c r="AA182">
        <v>37.434999999999995</v>
      </c>
      <c r="AB182">
        <v>50.886666666666663</v>
      </c>
      <c r="AC182">
        <v>54.44166666666667</v>
      </c>
      <c r="AD182">
        <v>43.098333333333336</v>
      </c>
      <c r="AE182">
        <v>58.680000000000007</v>
      </c>
      <c r="AF182">
        <v>50.889166666666675</v>
      </c>
      <c r="AG182">
        <v>27.248333333333335</v>
      </c>
      <c r="AH182">
        <v>50.886666666666663</v>
      </c>
      <c r="AI182">
        <v>2.7233333333333332</v>
      </c>
    </row>
    <row r="183" spans="1:52" x14ac:dyDescent="0.25">
      <c r="B183">
        <v>60.797000000000004</v>
      </c>
      <c r="C183">
        <v>68.713999999999984</v>
      </c>
      <c r="D183">
        <v>59.521000000000001</v>
      </c>
      <c r="E183">
        <v>51.618000000000009</v>
      </c>
      <c r="F183">
        <v>59.003999999999998</v>
      </c>
      <c r="G183">
        <v>59.592999999999996</v>
      </c>
      <c r="H183">
        <v>59.198</v>
      </c>
      <c r="I183">
        <v>43.415999999999997</v>
      </c>
      <c r="J183">
        <v>51.807999999999993</v>
      </c>
      <c r="K183">
        <v>52.523000000000003</v>
      </c>
      <c r="L183">
        <v>59.521000000000001</v>
      </c>
      <c r="M183">
        <v>44.095999999999997</v>
      </c>
      <c r="N183">
        <v>51.808499999999995</v>
      </c>
      <c r="O183">
        <v>18.451000000000001</v>
      </c>
      <c r="P183">
        <v>51.807999999999993</v>
      </c>
      <c r="Q183">
        <v>2.9350000000000001</v>
      </c>
      <c r="T183">
        <v>60.793333333333329</v>
      </c>
      <c r="U183">
        <v>61.661666666666662</v>
      </c>
      <c r="V183">
        <v>68.673333333333332</v>
      </c>
      <c r="W183">
        <v>57.19</v>
      </c>
      <c r="X183">
        <v>56.77000000000001</v>
      </c>
      <c r="Y183">
        <v>67.408333333333346</v>
      </c>
      <c r="Z183">
        <v>61.441666666666663</v>
      </c>
      <c r="AA183">
        <v>45.56</v>
      </c>
      <c r="AB183">
        <v>52.241666666666667</v>
      </c>
      <c r="AC183">
        <v>54.918333333333329</v>
      </c>
      <c r="AD183">
        <v>68.673333333333332</v>
      </c>
      <c r="AE183">
        <v>35.811666666666667</v>
      </c>
      <c r="AF183">
        <v>52.242500000000007</v>
      </c>
      <c r="AG183">
        <v>32.86</v>
      </c>
      <c r="AH183">
        <v>52.241666666666667</v>
      </c>
      <c r="AI183">
        <v>4.6399999999999997</v>
      </c>
    </row>
    <row r="184" spans="1:52" x14ac:dyDescent="0.25">
      <c r="B184" s="2">
        <f>AVERAGE(B181:B183)</f>
        <v>60.348333333333336</v>
      </c>
      <c r="C184" s="2">
        <f t="shared" ref="C184:Q184" si="59">AVERAGE(C181:C183)</f>
        <v>68.290000000000006</v>
      </c>
      <c r="D184" s="2">
        <f t="shared" si="59"/>
        <v>51.850666666666676</v>
      </c>
      <c r="E184" s="2">
        <f t="shared" si="59"/>
        <v>45.130666666666663</v>
      </c>
      <c r="F184" s="2">
        <f t="shared" si="59"/>
        <v>57.369333333333337</v>
      </c>
      <c r="G184" s="2">
        <f t="shared" si="59"/>
        <v>50.841333333333331</v>
      </c>
      <c r="H184" s="2">
        <f t="shared" si="59"/>
        <v>52.876333333333342</v>
      </c>
      <c r="I184" s="2">
        <f t="shared" si="59"/>
        <v>40.410999999999994</v>
      </c>
      <c r="J184" s="2">
        <f t="shared" si="59"/>
        <v>51.021666666666668</v>
      </c>
      <c r="K184" s="2">
        <f t="shared" si="59"/>
        <v>50.932333333333332</v>
      </c>
      <c r="L184" s="2">
        <f t="shared" si="59"/>
        <v>51.850666666666676</v>
      </c>
      <c r="M184" s="2">
        <f t="shared" si="59"/>
        <v>50.190666666666665</v>
      </c>
      <c r="N184" s="2">
        <f t="shared" si="59"/>
        <v>51.020666666666671</v>
      </c>
      <c r="O184" s="2">
        <f t="shared" si="59"/>
        <v>20.468666666666667</v>
      </c>
      <c r="P184" s="2">
        <f t="shared" si="59"/>
        <v>51.021666666666668</v>
      </c>
      <c r="Q184" s="2">
        <f t="shared" si="59"/>
        <v>1.3203333333333334</v>
      </c>
      <c r="T184" s="2">
        <f>AVERAGE(T181:T183)</f>
        <v>60.503888888888888</v>
      </c>
      <c r="U184" s="2">
        <f t="shared" ref="U184:AI184" si="60">AVERAGE(U181:U183)</f>
        <v>63.274444444444441</v>
      </c>
      <c r="V184" s="2">
        <f t="shared" si="60"/>
        <v>59.574444444444453</v>
      </c>
      <c r="W184" s="2">
        <f t="shared" si="60"/>
        <v>48.756666666666661</v>
      </c>
      <c r="X184" s="2">
        <f t="shared" si="60"/>
        <v>57.027777777777793</v>
      </c>
      <c r="Y184" s="2">
        <f t="shared" si="60"/>
        <v>58.495000000000005</v>
      </c>
      <c r="Z184" s="2">
        <f t="shared" si="60"/>
        <v>56.218333333333334</v>
      </c>
      <c r="AA184" s="2">
        <f t="shared" si="60"/>
        <v>41.990555555555552</v>
      </c>
      <c r="AB184" s="2">
        <f t="shared" si="60"/>
        <v>51.617222222222217</v>
      </c>
      <c r="AC184" s="2">
        <f t="shared" si="60"/>
        <v>54.548888888888889</v>
      </c>
      <c r="AD184" s="2">
        <f t="shared" si="60"/>
        <v>59.574444444444453</v>
      </c>
      <c r="AE184" s="2">
        <f t="shared" si="60"/>
        <v>43.664444444444449</v>
      </c>
      <c r="AF184" s="2">
        <f t="shared" si="60"/>
        <v>51.619444444444447</v>
      </c>
      <c r="AG184" s="2">
        <f t="shared" si="60"/>
        <v>30.185555555555556</v>
      </c>
      <c r="AH184" s="2">
        <f t="shared" si="60"/>
        <v>51.617222222222217</v>
      </c>
      <c r="AI184" s="2">
        <f t="shared" si="60"/>
        <v>3.9261111111111107</v>
      </c>
      <c r="AK184" s="2">
        <f>(B184+T184)/2</f>
        <v>60.426111111111112</v>
      </c>
      <c r="AL184" s="2">
        <f t="shared" ref="AL184:AZ185" si="61">(C184+U184)/2</f>
        <v>65.782222222222231</v>
      </c>
      <c r="AM184" s="2">
        <f t="shared" si="61"/>
        <v>55.712555555555568</v>
      </c>
      <c r="AN184" s="2">
        <f t="shared" si="61"/>
        <v>46.943666666666658</v>
      </c>
      <c r="AO184" s="2">
        <f t="shared" si="61"/>
        <v>57.198555555555565</v>
      </c>
      <c r="AP184" s="2">
        <f t="shared" si="61"/>
        <v>54.668166666666664</v>
      </c>
      <c r="AQ184" s="2">
        <f t="shared" si="61"/>
        <v>54.547333333333341</v>
      </c>
      <c r="AR184" s="2">
        <f t="shared" si="61"/>
        <v>41.200777777777773</v>
      </c>
      <c r="AS184" s="2">
        <f t="shared" si="61"/>
        <v>51.319444444444443</v>
      </c>
      <c r="AT184" s="2">
        <f t="shared" si="61"/>
        <v>52.740611111111107</v>
      </c>
      <c r="AU184" s="2">
        <f t="shared" si="61"/>
        <v>55.712555555555568</v>
      </c>
      <c r="AV184" s="2">
        <f t="shared" si="61"/>
        <v>46.927555555555557</v>
      </c>
      <c r="AW184" s="2">
        <f t="shared" si="61"/>
        <v>51.320055555555555</v>
      </c>
      <c r="AX184" s="2">
        <f t="shared" si="61"/>
        <v>25.327111111111112</v>
      </c>
      <c r="AY184" s="2">
        <f t="shared" si="61"/>
        <v>51.319444444444443</v>
      </c>
      <c r="AZ184" s="2">
        <f>(Q184+AI184)/2</f>
        <v>2.6232222222222221</v>
      </c>
    </row>
    <row r="185" spans="1:52" x14ac:dyDescent="0.25">
      <c r="B185" s="2">
        <f>_xlfn.STDEV.S(B181:B183)</f>
        <v>1.9167955898669451</v>
      </c>
      <c r="C185" s="2">
        <f t="shared" ref="C185:Q185" si="62">_xlfn.STDEV.S(C181:C183)</f>
        <v>0.72660924849605657</v>
      </c>
      <c r="D185" s="2">
        <f t="shared" si="62"/>
        <v>11.728884530650488</v>
      </c>
      <c r="E185" s="2">
        <f t="shared" si="62"/>
        <v>7.5382223589738837</v>
      </c>
      <c r="F185" s="2">
        <f t="shared" si="62"/>
        <v>1.6872537845070439</v>
      </c>
      <c r="G185" s="2">
        <f t="shared" si="62"/>
        <v>11.684951618784435</v>
      </c>
      <c r="H185" s="2">
        <f t="shared" si="62"/>
        <v>7.9087393643571371</v>
      </c>
      <c r="I185" s="2">
        <f t="shared" si="62"/>
        <v>2.6482275204370183</v>
      </c>
      <c r="J185" s="2">
        <f t="shared" si="62"/>
        <v>0.89159426497332039</v>
      </c>
      <c r="K185" s="2">
        <f t="shared" si="62"/>
        <v>1.8601519651182596</v>
      </c>
      <c r="L185" s="2">
        <f t="shared" si="62"/>
        <v>11.728884530650488</v>
      </c>
      <c r="M185" s="2">
        <f t="shared" si="62"/>
        <v>12.034240579834391</v>
      </c>
      <c r="N185" s="2">
        <f t="shared" si="62"/>
        <v>0.89178141006264966</v>
      </c>
      <c r="O185" s="2">
        <f t="shared" si="62"/>
        <v>4.573459995816437</v>
      </c>
      <c r="P185" s="2">
        <f t="shared" si="62"/>
        <v>0.89159426497332039</v>
      </c>
      <c r="Q185" s="2">
        <f t="shared" si="62"/>
        <v>2.1181695714303266</v>
      </c>
      <c r="T185" s="2">
        <f>_xlfn.STDEV.S(T181:T183)</f>
        <v>0.51729084161119088</v>
      </c>
      <c r="U185" s="2">
        <f t="shared" ref="U185:AI185" si="63">_xlfn.STDEV.S(U181:U183)</f>
        <v>3.8125510318381797</v>
      </c>
      <c r="V185" s="2">
        <f t="shared" si="63"/>
        <v>14.294674254317064</v>
      </c>
      <c r="W185" s="2">
        <f t="shared" si="63"/>
        <v>12.047786910650638</v>
      </c>
      <c r="X185" s="2">
        <f t="shared" si="63"/>
        <v>2.0604626862628392</v>
      </c>
      <c r="Y185" s="2">
        <f t="shared" si="63"/>
        <v>12.866170543112048</v>
      </c>
      <c r="Z185" s="2">
        <f t="shared" si="63"/>
        <v>7.1961855250619413</v>
      </c>
      <c r="AA185" s="2">
        <f t="shared" si="63"/>
        <v>4.1512910753875856</v>
      </c>
      <c r="AB185" s="2">
        <f t="shared" si="63"/>
        <v>0.68370382909994665</v>
      </c>
      <c r="AC185" s="2">
        <f t="shared" si="63"/>
        <v>0.32920077179154028</v>
      </c>
      <c r="AD185" s="2">
        <f t="shared" si="63"/>
        <v>14.294674254317064</v>
      </c>
      <c r="AE185" s="2">
        <f t="shared" si="63"/>
        <v>13.008428286364257</v>
      </c>
      <c r="AF185" s="2">
        <f t="shared" si="63"/>
        <v>0.68300822211850387</v>
      </c>
      <c r="AG185" s="2">
        <f t="shared" si="63"/>
        <v>2.815047035986221</v>
      </c>
      <c r="AH185" s="2">
        <f t="shared" si="63"/>
        <v>0.68370382909994665</v>
      </c>
      <c r="AI185" s="2">
        <f t="shared" si="63"/>
        <v>1.0476936751918628</v>
      </c>
      <c r="AK185" s="2">
        <f>(B185+T185)/2</f>
        <v>1.217043215739068</v>
      </c>
      <c r="AL185" s="2">
        <f t="shared" si="61"/>
        <v>2.2695801401671183</v>
      </c>
      <c r="AM185" s="2">
        <f t="shared" si="61"/>
        <v>13.011779392483776</v>
      </c>
      <c r="AN185" s="2">
        <f t="shared" si="61"/>
        <v>9.7930046348122612</v>
      </c>
      <c r="AO185" s="2">
        <f t="shared" si="61"/>
        <v>1.8738582353849416</v>
      </c>
      <c r="AP185" s="2">
        <f t="shared" si="61"/>
        <v>12.275561080948242</v>
      </c>
      <c r="AQ185" s="2">
        <f t="shared" si="61"/>
        <v>7.5524624447095388</v>
      </c>
      <c r="AR185" s="2">
        <f t="shared" si="61"/>
        <v>3.3997592979123019</v>
      </c>
      <c r="AS185" s="2">
        <f t="shared" si="61"/>
        <v>0.78764904703663352</v>
      </c>
      <c r="AT185" s="2">
        <f t="shared" si="61"/>
        <v>1.0946763684548999</v>
      </c>
      <c r="AU185" s="2">
        <f t="shared" si="61"/>
        <v>13.011779392483776</v>
      </c>
      <c r="AV185" s="2">
        <f t="shared" si="61"/>
        <v>12.521334433099323</v>
      </c>
      <c r="AW185" s="2">
        <f t="shared" si="61"/>
        <v>0.78739481609057682</v>
      </c>
      <c r="AX185" s="2">
        <f t="shared" si="61"/>
        <v>3.694253515901329</v>
      </c>
      <c r="AY185" s="2">
        <f t="shared" si="61"/>
        <v>0.78764904703663352</v>
      </c>
      <c r="AZ185" s="2">
        <f t="shared" si="61"/>
        <v>1.5829316233110946</v>
      </c>
    </row>
    <row r="187" spans="1:52" x14ac:dyDescent="0.25">
      <c r="A187" s="1" t="s">
        <v>17</v>
      </c>
      <c r="B187">
        <v>62.564</v>
      </c>
      <c r="C187">
        <v>67.177999999999997</v>
      </c>
      <c r="D187">
        <v>53.125999999999998</v>
      </c>
      <c r="E187">
        <v>55.326000000000001</v>
      </c>
      <c r="F187">
        <v>64.585000000000008</v>
      </c>
      <c r="G187">
        <v>57.326000000000001</v>
      </c>
      <c r="H187">
        <v>60.540999999999997</v>
      </c>
      <c r="I187">
        <v>46.766000000000005</v>
      </c>
      <c r="J187">
        <v>50.194000000000003</v>
      </c>
      <c r="K187">
        <v>53.629999999999995</v>
      </c>
      <c r="L187">
        <v>53.125999999999998</v>
      </c>
      <c r="M187">
        <v>47.262999999999998</v>
      </c>
      <c r="N187">
        <v>50.194499999999998</v>
      </c>
      <c r="O187">
        <v>22.041000000000004</v>
      </c>
      <c r="P187">
        <v>50.194000000000003</v>
      </c>
      <c r="Q187">
        <v>0.94699999999999984</v>
      </c>
      <c r="S187" s="1" t="s">
        <v>17</v>
      </c>
      <c r="T187">
        <v>61.741666666666667</v>
      </c>
      <c r="U187">
        <v>66.646666666666661</v>
      </c>
      <c r="V187">
        <v>37.771666666666668</v>
      </c>
      <c r="W187">
        <v>37.741666666666667</v>
      </c>
      <c r="X187">
        <v>56.87833333333333</v>
      </c>
      <c r="Y187">
        <v>34.865000000000002</v>
      </c>
      <c r="Z187">
        <v>42.071666666666665</v>
      </c>
      <c r="AA187">
        <v>42.481666666666676</v>
      </c>
      <c r="AB187">
        <v>53.068333333333328</v>
      </c>
      <c r="AC187">
        <v>55.925000000000004</v>
      </c>
      <c r="AD187">
        <v>37.771666666666668</v>
      </c>
      <c r="AE187">
        <v>68.364999999999995</v>
      </c>
      <c r="AF187">
        <v>53.068333333333328</v>
      </c>
      <c r="AG187">
        <v>30.594999999999999</v>
      </c>
      <c r="AH187">
        <v>53.068333333333328</v>
      </c>
      <c r="AI187">
        <v>6.6099999999999994</v>
      </c>
    </row>
    <row r="188" spans="1:52" x14ac:dyDescent="0.25">
      <c r="B188">
        <v>59.954999999999998</v>
      </c>
      <c r="C188">
        <v>65.147000000000006</v>
      </c>
      <c r="D188">
        <v>44.816000000000003</v>
      </c>
      <c r="E188">
        <v>50.693000000000005</v>
      </c>
      <c r="F188">
        <v>62.027000000000008</v>
      </c>
      <c r="G188">
        <v>46.071999999999996</v>
      </c>
      <c r="H188">
        <v>52.844000000000008</v>
      </c>
      <c r="I188">
        <v>43.204999999999998</v>
      </c>
      <c r="J188">
        <v>52.548999999999999</v>
      </c>
      <c r="K188">
        <v>52.547000000000004</v>
      </c>
      <c r="L188">
        <v>44.816000000000003</v>
      </c>
      <c r="M188">
        <v>60.286000000000001</v>
      </c>
      <c r="N188">
        <v>52.551000000000002</v>
      </c>
      <c r="O188">
        <v>15.978</v>
      </c>
      <c r="P188">
        <v>52.548999999999999</v>
      </c>
      <c r="Q188">
        <v>4.3100000000000005</v>
      </c>
      <c r="T188">
        <v>61.441666666666663</v>
      </c>
      <c r="U188">
        <v>71.228333333333339</v>
      </c>
      <c r="V188">
        <v>52.216666666666669</v>
      </c>
      <c r="W188">
        <v>47.543333333333329</v>
      </c>
      <c r="X188">
        <v>61.211666666666673</v>
      </c>
      <c r="Y188">
        <v>56.185000000000002</v>
      </c>
      <c r="Z188">
        <v>58.49666666666667</v>
      </c>
      <c r="AA188">
        <v>44.776666666666671</v>
      </c>
      <c r="AB188">
        <v>51.743333333333339</v>
      </c>
      <c r="AC188">
        <v>55.669999999999995</v>
      </c>
      <c r="AD188">
        <v>52.216666666666669</v>
      </c>
      <c r="AE188">
        <v>51.271666666666668</v>
      </c>
      <c r="AF188">
        <v>51.744166666666665</v>
      </c>
      <c r="AG188">
        <v>4.6533333333333333</v>
      </c>
      <c r="AH188">
        <v>51.743333333333339</v>
      </c>
      <c r="AI188">
        <v>4.0949999999999998</v>
      </c>
    </row>
    <row r="189" spans="1:52" x14ac:dyDescent="0.25">
      <c r="B189">
        <v>59.858000000000004</v>
      </c>
      <c r="C189">
        <v>61.600999999999999</v>
      </c>
      <c r="D189">
        <v>49.217999999999996</v>
      </c>
      <c r="E189">
        <v>49.048999999999999</v>
      </c>
      <c r="F189">
        <v>54.969000000000008</v>
      </c>
      <c r="G189">
        <v>47.553999999999995</v>
      </c>
      <c r="H189">
        <v>50.397000000000006</v>
      </c>
      <c r="I189">
        <v>42.185000000000002</v>
      </c>
      <c r="J189">
        <v>50.631</v>
      </c>
      <c r="K189">
        <v>50.192999999999998</v>
      </c>
      <c r="L189">
        <v>49.217999999999996</v>
      </c>
      <c r="M189">
        <v>52.047000000000004</v>
      </c>
      <c r="N189">
        <v>50.6325</v>
      </c>
      <c r="O189">
        <v>7.3140000000000001</v>
      </c>
      <c r="P189">
        <v>50.631</v>
      </c>
      <c r="Q189">
        <v>0.90700000000000003</v>
      </c>
      <c r="T189">
        <v>61.831666666666671</v>
      </c>
      <c r="U189">
        <v>65.646666666666661</v>
      </c>
      <c r="V189">
        <v>55.418333333333344</v>
      </c>
      <c r="W189">
        <v>50.333333333333336</v>
      </c>
      <c r="X189">
        <v>56.404999999999994</v>
      </c>
      <c r="Y189">
        <v>52.318333333333328</v>
      </c>
      <c r="Z189">
        <v>54.155000000000001</v>
      </c>
      <c r="AA189">
        <v>46.968333333333334</v>
      </c>
      <c r="AB189">
        <v>54.449999999999996</v>
      </c>
      <c r="AC189">
        <v>57.478333333333332</v>
      </c>
      <c r="AD189">
        <v>55.418333333333344</v>
      </c>
      <c r="AE189">
        <v>53.48</v>
      </c>
      <c r="AF189">
        <v>54.449166666666663</v>
      </c>
      <c r="AG189">
        <v>6.3299999999999992</v>
      </c>
      <c r="AH189">
        <v>54.449999999999996</v>
      </c>
      <c r="AI189">
        <v>9.4583333333333339</v>
      </c>
    </row>
    <row r="190" spans="1:52" x14ac:dyDescent="0.25">
      <c r="B190" s="2">
        <f>AVERAGE(B187:B189)</f>
        <v>60.792333333333339</v>
      </c>
      <c r="C190" s="2">
        <f t="shared" ref="C190:Q190" si="64">AVERAGE(C187:C189)</f>
        <v>64.641999999999996</v>
      </c>
      <c r="D190" s="2">
        <f t="shared" si="64"/>
        <v>49.053333333333335</v>
      </c>
      <c r="E190" s="2">
        <f t="shared" si="64"/>
        <v>51.689333333333337</v>
      </c>
      <c r="F190" s="2">
        <f t="shared" si="64"/>
        <v>60.527000000000008</v>
      </c>
      <c r="G190" s="2">
        <f t="shared" si="64"/>
        <v>50.31733333333333</v>
      </c>
      <c r="H190" s="2">
        <f t="shared" si="64"/>
        <v>54.594000000000001</v>
      </c>
      <c r="I190" s="2">
        <f t="shared" si="64"/>
        <v>44.052</v>
      </c>
      <c r="J190" s="2">
        <f t="shared" si="64"/>
        <v>51.124666666666663</v>
      </c>
      <c r="K190" s="2">
        <f t="shared" si="64"/>
        <v>52.123333333333335</v>
      </c>
      <c r="L190" s="2">
        <f t="shared" si="64"/>
        <v>49.053333333333335</v>
      </c>
      <c r="M190" s="2">
        <f t="shared" si="64"/>
        <v>53.198666666666668</v>
      </c>
      <c r="N190" s="2">
        <f t="shared" si="64"/>
        <v>51.125999999999998</v>
      </c>
      <c r="O190" s="2">
        <f t="shared" si="64"/>
        <v>15.111000000000002</v>
      </c>
      <c r="P190" s="2">
        <f t="shared" si="64"/>
        <v>51.124666666666663</v>
      </c>
      <c r="Q190" s="2">
        <f t="shared" si="64"/>
        <v>2.0546666666666669</v>
      </c>
      <c r="T190" s="2">
        <f>AVERAGE(T187:T189)</f>
        <v>61.671666666666674</v>
      </c>
      <c r="U190" s="2">
        <f t="shared" ref="U190:AI190" si="65">AVERAGE(U187:U189)</f>
        <v>67.840555555555554</v>
      </c>
      <c r="V190" s="2">
        <f t="shared" si="65"/>
        <v>48.468888888888898</v>
      </c>
      <c r="W190" s="2">
        <f t="shared" si="65"/>
        <v>45.206111111111113</v>
      </c>
      <c r="X190" s="2">
        <f t="shared" si="65"/>
        <v>58.164999999999999</v>
      </c>
      <c r="Y190" s="2">
        <f t="shared" si="65"/>
        <v>47.789444444444449</v>
      </c>
      <c r="Z190" s="2">
        <f t="shared" si="65"/>
        <v>51.574444444444445</v>
      </c>
      <c r="AA190" s="2">
        <f t="shared" si="65"/>
        <v>44.742222222222232</v>
      </c>
      <c r="AB190" s="2">
        <f t="shared" si="65"/>
        <v>53.087222222222216</v>
      </c>
      <c r="AC190" s="2">
        <f t="shared" si="65"/>
        <v>56.357777777777777</v>
      </c>
      <c r="AD190" s="2">
        <f t="shared" si="65"/>
        <v>48.468888888888898</v>
      </c>
      <c r="AE190" s="2">
        <f t="shared" si="65"/>
        <v>57.705555555555549</v>
      </c>
      <c r="AF190" s="2">
        <f t="shared" si="65"/>
        <v>53.087222222222216</v>
      </c>
      <c r="AG190" s="2">
        <f t="shared" si="65"/>
        <v>13.859444444444444</v>
      </c>
      <c r="AH190" s="2">
        <f t="shared" si="65"/>
        <v>53.087222222222216</v>
      </c>
      <c r="AI190" s="2">
        <f t="shared" si="65"/>
        <v>6.721111111111111</v>
      </c>
      <c r="AK190" s="2">
        <f>(B190+T190)/2</f>
        <v>61.232000000000006</v>
      </c>
      <c r="AL190" s="2">
        <f t="shared" ref="AL190:AZ191" si="66">(C190+U190)/2</f>
        <v>66.241277777777782</v>
      </c>
      <c r="AM190" s="2">
        <f t="shared" si="66"/>
        <v>48.76111111111112</v>
      </c>
      <c r="AN190" s="2">
        <f t="shared" si="66"/>
        <v>48.447722222222225</v>
      </c>
      <c r="AO190" s="2">
        <f t="shared" si="66"/>
        <v>59.346000000000004</v>
      </c>
      <c r="AP190" s="2">
        <f t="shared" si="66"/>
        <v>49.05338888888889</v>
      </c>
      <c r="AQ190" s="2">
        <f t="shared" si="66"/>
        <v>53.084222222222223</v>
      </c>
      <c r="AR190" s="2">
        <f t="shared" si="66"/>
        <v>44.397111111111116</v>
      </c>
      <c r="AS190" s="2">
        <f t="shared" si="66"/>
        <v>52.10594444444444</v>
      </c>
      <c r="AT190" s="2">
        <f t="shared" si="66"/>
        <v>54.240555555555559</v>
      </c>
      <c r="AU190" s="2">
        <f t="shared" si="66"/>
        <v>48.76111111111112</v>
      </c>
      <c r="AV190" s="2">
        <f t="shared" si="66"/>
        <v>55.452111111111108</v>
      </c>
      <c r="AW190" s="2">
        <f t="shared" si="66"/>
        <v>52.106611111111107</v>
      </c>
      <c r="AX190" s="2">
        <f t="shared" si="66"/>
        <v>14.485222222222223</v>
      </c>
      <c r="AY190" s="2">
        <f t="shared" si="66"/>
        <v>52.10594444444444</v>
      </c>
      <c r="AZ190" s="2">
        <f>(Q190+AI190)/2</f>
        <v>4.3878888888888889</v>
      </c>
    </row>
    <row r="191" spans="1:52" x14ac:dyDescent="0.25">
      <c r="B191" s="2">
        <f>_xlfn.STDEV.S(B187:B189)</f>
        <v>1.5350746995939093</v>
      </c>
      <c r="C191" s="2">
        <f t="shared" ref="C191:Q191" si="67">_xlfn.STDEV.S(C187:C189)</f>
        <v>2.8225876425719711</v>
      </c>
      <c r="D191" s="2">
        <f t="shared" si="67"/>
        <v>4.1574464919386891</v>
      </c>
      <c r="E191" s="2">
        <f t="shared" si="67"/>
        <v>3.2549488987284163</v>
      </c>
      <c r="F191" s="2">
        <f t="shared" si="67"/>
        <v>4.9803979760657677</v>
      </c>
      <c r="G191" s="2">
        <f t="shared" si="67"/>
        <v>6.1147475281759069</v>
      </c>
      <c r="H191" s="2">
        <f t="shared" si="67"/>
        <v>5.2935865913386113</v>
      </c>
      <c r="I191" s="2">
        <f t="shared" si="67"/>
        <v>2.4050877322875381</v>
      </c>
      <c r="J191" s="2">
        <f t="shared" si="67"/>
        <v>1.2527115922403409</v>
      </c>
      <c r="K191" s="2">
        <f t="shared" si="67"/>
        <v>1.7572314398887052</v>
      </c>
      <c r="L191" s="2">
        <f t="shared" si="67"/>
        <v>4.1574464919386891</v>
      </c>
      <c r="M191" s="2">
        <f t="shared" si="67"/>
        <v>6.5874414102391547</v>
      </c>
      <c r="N191" s="2">
        <f t="shared" si="67"/>
        <v>1.2533673643429546</v>
      </c>
      <c r="O191" s="2">
        <f t="shared" si="67"/>
        <v>7.4016821736683616</v>
      </c>
      <c r="P191" s="2">
        <f t="shared" si="67"/>
        <v>1.2527115922403409</v>
      </c>
      <c r="Q191" s="2">
        <f t="shared" si="67"/>
        <v>1.9532783553127635</v>
      </c>
      <c r="T191" s="2">
        <f>_xlfn.STDEV.S(T187:T189)</f>
        <v>0.20420577856662511</v>
      </c>
      <c r="U191" s="2">
        <f t="shared" ref="U191:AI191" si="68">_xlfn.STDEV.S(U187:U189)</f>
        <v>2.9762020602949222</v>
      </c>
      <c r="V191" s="2">
        <f t="shared" si="68"/>
        <v>9.4013610618258063</v>
      </c>
      <c r="W191" s="2">
        <f t="shared" si="68"/>
        <v>6.6132044538292911</v>
      </c>
      <c r="X191" s="2">
        <f t="shared" si="68"/>
        <v>2.6490836990258497</v>
      </c>
      <c r="Y191" s="2">
        <f t="shared" si="68"/>
        <v>11.358641024608797</v>
      </c>
      <c r="Z191" s="2">
        <f t="shared" si="68"/>
        <v>8.5111460145788485</v>
      </c>
      <c r="AA191" s="2">
        <f t="shared" si="68"/>
        <v>2.2435316488205017</v>
      </c>
      <c r="AB191" s="2">
        <f t="shared" si="68"/>
        <v>1.3534321939808029</v>
      </c>
      <c r="AC191" s="2">
        <f t="shared" si="68"/>
        <v>0.97876954121734638</v>
      </c>
      <c r="AD191" s="2">
        <f t="shared" si="68"/>
        <v>9.4013610618258063</v>
      </c>
      <c r="AE191" s="2">
        <f t="shared" si="68"/>
        <v>9.2971501507680543</v>
      </c>
      <c r="AF191" s="2">
        <f t="shared" si="68"/>
        <v>1.3525989215553109</v>
      </c>
      <c r="AG191" s="2">
        <f t="shared" si="68"/>
        <v>14.517641598847678</v>
      </c>
      <c r="AH191" s="2">
        <f t="shared" si="68"/>
        <v>1.3534321939808029</v>
      </c>
      <c r="AI191" s="2">
        <f t="shared" si="68"/>
        <v>2.6833925114247386</v>
      </c>
      <c r="AK191" s="2">
        <f>(B191+T191)/2</f>
        <v>0.86964023908026722</v>
      </c>
      <c r="AL191" s="2">
        <f t="shared" si="66"/>
        <v>2.8993948514334464</v>
      </c>
      <c r="AM191" s="2">
        <f t="shared" si="66"/>
        <v>6.7794037768822477</v>
      </c>
      <c r="AN191" s="2">
        <f t="shared" si="66"/>
        <v>4.9340766762788535</v>
      </c>
      <c r="AO191" s="2">
        <f t="shared" si="66"/>
        <v>3.8147408375458087</v>
      </c>
      <c r="AP191" s="2">
        <f t="shared" si="66"/>
        <v>8.7366942763923525</v>
      </c>
      <c r="AQ191" s="2">
        <f t="shared" si="66"/>
        <v>6.9023663029587299</v>
      </c>
      <c r="AR191" s="2">
        <f t="shared" si="66"/>
        <v>2.3243096905540197</v>
      </c>
      <c r="AS191" s="2">
        <f t="shared" si="66"/>
        <v>1.3030718931105718</v>
      </c>
      <c r="AT191" s="2">
        <f t="shared" si="66"/>
        <v>1.3680004905530259</v>
      </c>
      <c r="AU191" s="2">
        <f t="shared" si="66"/>
        <v>6.7794037768822477</v>
      </c>
      <c r="AV191" s="2">
        <f t="shared" si="66"/>
        <v>7.9422957805036045</v>
      </c>
      <c r="AW191" s="2">
        <f t="shared" si="66"/>
        <v>1.3029831429491328</v>
      </c>
      <c r="AX191" s="2">
        <f t="shared" si="66"/>
        <v>10.95966188625802</v>
      </c>
      <c r="AY191" s="2">
        <f t="shared" si="66"/>
        <v>1.3030718931105718</v>
      </c>
      <c r="AZ191" s="2">
        <f t="shared" si="66"/>
        <v>2.3183354333687509</v>
      </c>
    </row>
    <row r="193" spans="1:52" x14ac:dyDescent="0.25">
      <c r="A193" s="1" t="s">
        <v>18</v>
      </c>
      <c r="B193">
        <v>62.582999999999991</v>
      </c>
      <c r="C193">
        <v>60.55</v>
      </c>
      <c r="D193">
        <v>64.306999999999988</v>
      </c>
      <c r="E193">
        <v>56.446000000000005</v>
      </c>
      <c r="F193">
        <v>58.544000000000004</v>
      </c>
      <c r="G193">
        <v>62.180000000000007</v>
      </c>
      <c r="H193">
        <v>59.534999999999989</v>
      </c>
      <c r="I193">
        <v>43.250999999999998</v>
      </c>
      <c r="J193">
        <v>52.673999999999992</v>
      </c>
      <c r="K193">
        <v>54.451999999999998</v>
      </c>
      <c r="L193">
        <v>64.306999999999988</v>
      </c>
      <c r="M193">
        <v>41.04</v>
      </c>
      <c r="N193">
        <v>52.67349999999999</v>
      </c>
      <c r="O193">
        <v>24.943000000000001</v>
      </c>
      <c r="P193">
        <v>52.673999999999992</v>
      </c>
      <c r="Q193">
        <v>5.1839999999999993</v>
      </c>
      <c r="S193" s="1" t="s">
        <v>18</v>
      </c>
      <c r="T193">
        <v>58.093333333333334</v>
      </c>
      <c r="U193">
        <v>60.241666666666674</v>
      </c>
      <c r="V193">
        <v>54.038333333333334</v>
      </c>
      <c r="W193">
        <v>50.096666666666671</v>
      </c>
      <c r="X193">
        <v>55.593333333333334</v>
      </c>
      <c r="Y193">
        <v>52.13</v>
      </c>
      <c r="Z193">
        <v>53.603333333333332</v>
      </c>
      <c r="AA193">
        <v>45.221666666666664</v>
      </c>
      <c r="AB193">
        <v>52.278333333333336</v>
      </c>
      <c r="AC193">
        <v>51.18333333333333</v>
      </c>
      <c r="AD193">
        <v>54.038333333333334</v>
      </c>
      <c r="AE193">
        <v>50.516666666666673</v>
      </c>
      <c r="AF193">
        <v>52.277500000000003</v>
      </c>
      <c r="AG193">
        <v>8.4683333333333319</v>
      </c>
      <c r="AH193">
        <v>52.278333333333336</v>
      </c>
      <c r="AI193">
        <v>4.3083333333333336</v>
      </c>
    </row>
    <row r="194" spans="1:52" x14ac:dyDescent="0.25">
      <c r="B194">
        <v>63.476999999999997</v>
      </c>
      <c r="C194">
        <v>65.833999999999989</v>
      </c>
      <c r="D194">
        <v>56.969999999999992</v>
      </c>
      <c r="E194">
        <v>49.847999999999999</v>
      </c>
      <c r="F194">
        <v>56.076999999999998</v>
      </c>
      <c r="G194">
        <v>52.545999999999992</v>
      </c>
      <c r="H194">
        <v>53.802</v>
      </c>
      <c r="I194">
        <v>42.489999999999995</v>
      </c>
      <c r="J194">
        <v>52.571000000000005</v>
      </c>
      <c r="K194">
        <v>55.093999999999994</v>
      </c>
      <c r="L194">
        <v>56.969999999999992</v>
      </c>
      <c r="M194">
        <v>48.168000000000006</v>
      </c>
      <c r="N194">
        <v>52.569000000000003</v>
      </c>
      <c r="O194">
        <v>14.484</v>
      </c>
      <c r="P194">
        <v>52.571000000000005</v>
      </c>
      <c r="Q194">
        <v>5.7210000000000001</v>
      </c>
      <c r="T194">
        <v>59.60499999999999</v>
      </c>
      <c r="U194">
        <v>61.79</v>
      </c>
      <c r="V194">
        <v>74.846666666666678</v>
      </c>
      <c r="W194">
        <v>59.506666666666668</v>
      </c>
      <c r="X194">
        <v>55.68</v>
      </c>
      <c r="Y194">
        <v>71.410000000000011</v>
      </c>
      <c r="Z194">
        <v>62.531666666666666</v>
      </c>
      <c r="AA194">
        <v>45.151666666666671</v>
      </c>
      <c r="AB194">
        <v>54.161666666666669</v>
      </c>
      <c r="AC194">
        <v>55.314999999999998</v>
      </c>
      <c r="AD194">
        <v>74.846666666666678</v>
      </c>
      <c r="AE194">
        <v>33.476666666666667</v>
      </c>
      <c r="AF194">
        <v>54.161666666666669</v>
      </c>
      <c r="AG194">
        <v>41.373333333333328</v>
      </c>
      <c r="AH194">
        <v>54.161666666666669</v>
      </c>
      <c r="AI194">
        <v>8.8683333333333323</v>
      </c>
    </row>
    <row r="195" spans="1:52" x14ac:dyDescent="0.25">
      <c r="B195">
        <v>62.488</v>
      </c>
      <c r="C195">
        <v>67.859000000000009</v>
      </c>
      <c r="D195">
        <v>34.383000000000003</v>
      </c>
      <c r="E195">
        <v>42.505000000000003</v>
      </c>
      <c r="F195">
        <v>64.319999999999993</v>
      </c>
      <c r="G195">
        <v>37.086999999999996</v>
      </c>
      <c r="H195">
        <v>45.078000000000003</v>
      </c>
      <c r="I195">
        <v>42.047000000000004</v>
      </c>
      <c r="J195">
        <v>53.029999999999994</v>
      </c>
      <c r="K195">
        <v>53.483000000000004</v>
      </c>
      <c r="L195">
        <v>34.383000000000003</v>
      </c>
      <c r="M195">
        <v>71.674999999999997</v>
      </c>
      <c r="N195">
        <v>53.028999999999996</v>
      </c>
      <c r="O195">
        <v>37.292999999999999</v>
      </c>
      <c r="P195">
        <v>53.029999999999994</v>
      </c>
      <c r="Q195">
        <v>4.7830000000000004</v>
      </c>
      <c r="T195">
        <v>62.703333333333326</v>
      </c>
      <c r="U195">
        <v>70.501666666666665</v>
      </c>
      <c r="V195">
        <v>41.550000000000004</v>
      </c>
      <c r="W195">
        <v>41.120000000000005</v>
      </c>
      <c r="X195">
        <v>57.381666666666668</v>
      </c>
      <c r="Y195">
        <v>39.443333333333335</v>
      </c>
      <c r="Z195">
        <v>46.44</v>
      </c>
      <c r="AA195">
        <v>44.696666666666658</v>
      </c>
      <c r="AB195">
        <v>53.268333333333338</v>
      </c>
      <c r="AC195">
        <v>55.914999999999999</v>
      </c>
      <c r="AD195">
        <v>41.550000000000004</v>
      </c>
      <c r="AE195">
        <v>64.986666666666665</v>
      </c>
      <c r="AF195">
        <v>53.268333333333338</v>
      </c>
      <c r="AG195">
        <v>23.431666666666668</v>
      </c>
      <c r="AH195">
        <v>53.268333333333338</v>
      </c>
      <c r="AI195">
        <v>7.451666666666668</v>
      </c>
    </row>
    <row r="196" spans="1:52" x14ac:dyDescent="0.25">
      <c r="B196" s="2">
        <f>AVERAGE(B193:B195)</f>
        <v>62.849333333333334</v>
      </c>
      <c r="C196" s="2">
        <f t="shared" ref="C196:Q196" si="69">AVERAGE(C193:C195)</f>
        <v>64.74766666666666</v>
      </c>
      <c r="D196" s="2">
        <f t="shared" si="69"/>
        <v>51.886666666666663</v>
      </c>
      <c r="E196" s="2">
        <f t="shared" si="69"/>
        <v>49.599666666666671</v>
      </c>
      <c r="F196" s="2">
        <f t="shared" si="69"/>
        <v>59.646999999999998</v>
      </c>
      <c r="G196" s="2">
        <f t="shared" si="69"/>
        <v>50.604333333333329</v>
      </c>
      <c r="H196" s="2">
        <f t="shared" si="69"/>
        <v>52.805</v>
      </c>
      <c r="I196" s="2">
        <f t="shared" si="69"/>
        <v>42.595999999999997</v>
      </c>
      <c r="J196" s="2">
        <f t="shared" si="69"/>
        <v>52.758333333333333</v>
      </c>
      <c r="K196" s="2">
        <f t="shared" si="69"/>
        <v>54.342999999999996</v>
      </c>
      <c r="L196" s="2">
        <f t="shared" si="69"/>
        <v>51.886666666666663</v>
      </c>
      <c r="M196" s="2">
        <f t="shared" si="69"/>
        <v>53.627666666666663</v>
      </c>
      <c r="N196" s="2">
        <f t="shared" si="69"/>
        <v>52.75716666666667</v>
      </c>
      <c r="O196" s="2">
        <f t="shared" si="69"/>
        <v>25.573333333333334</v>
      </c>
      <c r="P196" s="2">
        <f t="shared" si="69"/>
        <v>52.758333333333333</v>
      </c>
      <c r="Q196" s="2">
        <f t="shared" si="69"/>
        <v>5.2293333333333329</v>
      </c>
      <c r="T196" s="2">
        <f>AVERAGE(T193:T195)</f>
        <v>60.133888888888883</v>
      </c>
      <c r="U196" s="2">
        <f t="shared" ref="U196:AI196" si="70">AVERAGE(U193:U195)</f>
        <v>64.177777777777777</v>
      </c>
      <c r="V196" s="2">
        <f t="shared" si="70"/>
        <v>56.811666666666675</v>
      </c>
      <c r="W196" s="2">
        <f t="shared" si="70"/>
        <v>50.241111111111117</v>
      </c>
      <c r="X196" s="2">
        <f t="shared" si="70"/>
        <v>56.218333333333334</v>
      </c>
      <c r="Y196" s="2">
        <f t="shared" si="70"/>
        <v>54.327777777777783</v>
      </c>
      <c r="Z196" s="2">
        <f t="shared" si="70"/>
        <v>54.191666666666663</v>
      </c>
      <c r="AA196" s="2">
        <f t="shared" si="70"/>
        <v>45.023333333333333</v>
      </c>
      <c r="AB196" s="2">
        <f t="shared" si="70"/>
        <v>53.236111111111114</v>
      </c>
      <c r="AC196" s="2">
        <f t="shared" si="70"/>
        <v>54.137777777777778</v>
      </c>
      <c r="AD196" s="2">
        <f t="shared" si="70"/>
        <v>56.811666666666675</v>
      </c>
      <c r="AE196" s="2">
        <f t="shared" si="70"/>
        <v>49.660000000000004</v>
      </c>
      <c r="AF196" s="2">
        <f t="shared" si="70"/>
        <v>53.235833333333339</v>
      </c>
      <c r="AG196" s="2">
        <f t="shared" si="70"/>
        <v>24.424444444444443</v>
      </c>
      <c r="AH196" s="2">
        <f t="shared" si="70"/>
        <v>53.236111111111114</v>
      </c>
      <c r="AI196" s="2">
        <f t="shared" si="70"/>
        <v>6.8761111111111113</v>
      </c>
      <c r="AK196" s="2">
        <f>(B196+T196)/2</f>
        <v>61.491611111111112</v>
      </c>
      <c r="AL196" s="2">
        <f t="shared" ref="AL196:AZ197" si="71">(C196+U196)/2</f>
        <v>64.462722222222226</v>
      </c>
      <c r="AM196" s="2">
        <f t="shared" si="71"/>
        <v>54.349166666666669</v>
      </c>
      <c r="AN196" s="2">
        <f t="shared" si="71"/>
        <v>49.920388888888894</v>
      </c>
      <c r="AO196" s="2">
        <f t="shared" si="71"/>
        <v>57.932666666666663</v>
      </c>
      <c r="AP196" s="2">
        <f t="shared" si="71"/>
        <v>52.466055555555556</v>
      </c>
      <c r="AQ196" s="2">
        <f t="shared" si="71"/>
        <v>53.498333333333335</v>
      </c>
      <c r="AR196" s="2">
        <f t="shared" si="71"/>
        <v>43.809666666666665</v>
      </c>
      <c r="AS196" s="2">
        <f t="shared" si="71"/>
        <v>52.99722222222222</v>
      </c>
      <c r="AT196" s="2">
        <f t="shared" si="71"/>
        <v>54.240388888888887</v>
      </c>
      <c r="AU196" s="2">
        <f t="shared" si="71"/>
        <v>54.349166666666669</v>
      </c>
      <c r="AV196" s="2">
        <f t="shared" si="71"/>
        <v>51.643833333333333</v>
      </c>
      <c r="AW196" s="2">
        <f t="shared" si="71"/>
        <v>52.996500000000005</v>
      </c>
      <c r="AX196" s="2">
        <f t="shared" si="71"/>
        <v>24.998888888888889</v>
      </c>
      <c r="AY196" s="2">
        <f t="shared" si="71"/>
        <v>52.99722222222222</v>
      </c>
      <c r="AZ196" s="2">
        <f>(Q196+AI196)/2</f>
        <v>6.0527222222222221</v>
      </c>
    </row>
    <row r="197" spans="1:52" x14ac:dyDescent="0.25">
      <c r="B197" s="2">
        <f>_xlfn.STDEV.S(B193:B195)</f>
        <v>0.5456467110991633</v>
      </c>
      <c r="C197" s="2">
        <f t="shared" ref="C197:Q197" si="72">_xlfn.STDEV.S(C193:C195)</f>
        <v>3.7736534463743965</v>
      </c>
      <c r="D197" s="2">
        <f t="shared" si="72"/>
        <v>15.596206344279134</v>
      </c>
      <c r="E197" s="2">
        <f t="shared" si="72"/>
        <v>6.9738169128056287</v>
      </c>
      <c r="F197" s="2">
        <f t="shared" si="72"/>
        <v>4.2307468607800169</v>
      </c>
      <c r="G197" s="2">
        <f t="shared" si="72"/>
        <v>12.658681382092441</v>
      </c>
      <c r="H197" s="2">
        <f t="shared" si="72"/>
        <v>7.2798845457877803</v>
      </c>
      <c r="I197" s="2">
        <f t="shared" si="72"/>
        <v>0.60895894771322368</v>
      </c>
      <c r="J197" s="2">
        <f t="shared" si="72"/>
        <v>0.2408408880014592</v>
      </c>
      <c r="K197" s="2">
        <f t="shared" si="72"/>
        <v>0.8110123303624871</v>
      </c>
      <c r="L197" s="2">
        <f t="shared" si="72"/>
        <v>15.596206344279134</v>
      </c>
      <c r="M197" s="2">
        <f t="shared" si="72"/>
        <v>16.030651151258169</v>
      </c>
      <c r="N197" s="2">
        <f t="shared" si="72"/>
        <v>0.24114328382381436</v>
      </c>
      <c r="O197" s="2">
        <f t="shared" si="72"/>
        <v>11.41755710882733</v>
      </c>
      <c r="P197" s="2">
        <f t="shared" si="72"/>
        <v>0.2408408880014592</v>
      </c>
      <c r="Q197" s="2">
        <f t="shared" si="72"/>
        <v>0.47064034392870874</v>
      </c>
      <c r="T197" s="2">
        <f>_xlfn.STDEV.S(T193:T195)</f>
        <v>2.3500675719205564</v>
      </c>
      <c r="U197" s="2">
        <f t="shared" ref="U197:AI197" si="73">_xlfn.STDEV.S(U193:U195)</f>
        <v>5.5310950124760101</v>
      </c>
      <c r="V197" s="2">
        <f t="shared" si="73"/>
        <v>16.820687741917993</v>
      </c>
      <c r="W197" s="2">
        <f t="shared" si="73"/>
        <v>9.1941843534880974</v>
      </c>
      <c r="X197" s="2">
        <f t="shared" si="73"/>
        <v>1.0084077107554823</v>
      </c>
      <c r="Y197" s="2">
        <f t="shared" si="73"/>
        <v>16.096260895463111</v>
      </c>
      <c r="Z197" s="2">
        <f t="shared" si="73"/>
        <v>8.0619498951005273</v>
      </c>
      <c r="AA197" s="2">
        <f t="shared" si="73"/>
        <v>0.28505847353365249</v>
      </c>
      <c r="AB197" s="2">
        <f t="shared" si="73"/>
        <v>0.94208004692532066</v>
      </c>
      <c r="AC197" s="2">
        <f t="shared" si="73"/>
        <v>2.5761514865165611</v>
      </c>
      <c r="AD197" s="2">
        <f t="shared" si="73"/>
        <v>16.820687741917993</v>
      </c>
      <c r="AE197" s="2">
        <f t="shared" si="73"/>
        <v>15.772458062500363</v>
      </c>
      <c r="AF197" s="2">
        <f t="shared" si="73"/>
        <v>0.9425036840482075</v>
      </c>
      <c r="AG197" s="2">
        <f t="shared" si="73"/>
        <v>16.474949530637016</v>
      </c>
      <c r="AH197" s="2">
        <f t="shared" si="73"/>
        <v>0.94208004692532066</v>
      </c>
      <c r="AI197" s="2">
        <f t="shared" si="73"/>
        <v>2.3338483558595122</v>
      </c>
      <c r="AK197" s="2">
        <f>(B197+T197)/2</f>
        <v>1.4478571415098598</v>
      </c>
      <c r="AL197" s="2">
        <f t="shared" si="71"/>
        <v>4.6523742294252033</v>
      </c>
      <c r="AM197" s="2">
        <f t="shared" si="71"/>
        <v>16.208447043098563</v>
      </c>
      <c r="AN197" s="2">
        <f t="shared" si="71"/>
        <v>8.0840006331468626</v>
      </c>
      <c r="AO197" s="2">
        <f t="shared" si="71"/>
        <v>2.6195772857677495</v>
      </c>
      <c r="AP197" s="2">
        <f t="shared" si="71"/>
        <v>14.377471138777775</v>
      </c>
      <c r="AQ197" s="2">
        <f t="shared" si="71"/>
        <v>7.6709172204441538</v>
      </c>
      <c r="AR197" s="2">
        <f t="shared" si="71"/>
        <v>0.44700871062343805</v>
      </c>
      <c r="AS197" s="2">
        <f t="shared" si="71"/>
        <v>0.59146046746338987</v>
      </c>
      <c r="AT197" s="2">
        <f t="shared" si="71"/>
        <v>1.6935819084395241</v>
      </c>
      <c r="AU197" s="2">
        <f t="shared" si="71"/>
        <v>16.208447043098563</v>
      </c>
      <c r="AV197" s="2">
        <f t="shared" si="71"/>
        <v>15.901554606879266</v>
      </c>
      <c r="AW197" s="2">
        <f t="shared" si="71"/>
        <v>0.59182348393601092</v>
      </c>
      <c r="AX197" s="2">
        <f t="shared" si="71"/>
        <v>13.946253319732172</v>
      </c>
      <c r="AY197" s="2">
        <f t="shared" si="71"/>
        <v>0.59146046746338987</v>
      </c>
      <c r="AZ197" s="2">
        <f t="shared" si="71"/>
        <v>1.4022443498941104</v>
      </c>
    </row>
    <row r="199" spans="1:52" x14ac:dyDescent="0.25">
      <c r="A199" s="1" t="s">
        <v>21</v>
      </c>
      <c r="B199">
        <v>60.104999999999997</v>
      </c>
      <c r="C199">
        <v>79.944999999999993</v>
      </c>
      <c r="D199">
        <v>21.564</v>
      </c>
      <c r="E199">
        <v>16.981000000000002</v>
      </c>
      <c r="F199">
        <v>64.429999999999993</v>
      </c>
      <c r="G199">
        <v>17.173999999999999</v>
      </c>
      <c r="H199">
        <v>19.805</v>
      </c>
      <c r="I199">
        <v>29.223000000000003</v>
      </c>
      <c r="J199">
        <v>50.531999999999996</v>
      </c>
      <c r="K199">
        <v>53.403999999999996</v>
      </c>
      <c r="L199">
        <v>21.564</v>
      </c>
      <c r="M199">
        <v>79.500000000000014</v>
      </c>
      <c r="N199">
        <v>50.531999999999996</v>
      </c>
      <c r="O199">
        <v>57.937000000000012</v>
      </c>
      <c r="P199">
        <v>50.531999999999996</v>
      </c>
      <c r="Q199">
        <v>1.014</v>
      </c>
      <c r="S199" s="1" t="s">
        <v>21</v>
      </c>
      <c r="T199">
        <v>57.866666666666674</v>
      </c>
      <c r="U199">
        <v>53.980000000000011</v>
      </c>
      <c r="V199">
        <v>80.23833333333333</v>
      </c>
      <c r="W199">
        <v>67.44</v>
      </c>
      <c r="X199">
        <v>57.941666666666663</v>
      </c>
      <c r="Y199">
        <v>82.821666666666673</v>
      </c>
      <c r="Z199">
        <v>67.495000000000005</v>
      </c>
      <c r="AA199">
        <v>39.738333333333337</v>
      </c>
      <c r="AB199">
        <v>49.951666666666661</v>
      </c>
      <c r="AC199">
        <v>51.076666666666661</v>
      </c>
      <c r="AD199">
        <v>80.23833333333333</v>
      </c>
      <c r="AE199">
        <v>19.663333333333334</v>
      </c>
      <c r="AF199">
        <v>49.950833333333343</v>
      </c>
      <c r="AG199">
        <v>60.824999999999996</v>
      </c>
      <c r="AH199">
        <v>49.951666666666661</v>
      </c>
      <c r="AI199">
        <v>8.3333333333333481E-2</v>
      </c>
    </row>
    <row r="200" spans="1:52" x14ac:dyDescent="0.25">
      <c r="B200">
        <v>56.244000000000007</v>
      </c>
      <c r="C200">
        <v>58.484000000000002</v>
      </c>
      <c r="D200">
        <v>100</v>
      </c>
      <c r="E200">
        <v>71.290999999999997</v>
      </c>
      <c r="F200">
        <v>58.108000000000004</v>
      </c>
      <c r="G200">
        <v>100</v>
      </c>
      <c r="H200">
        <v>73.137</v>
      </c>
      <c r="I200">
        <v>35.644999999999996</v>
      </c>
      <c r="J200">
        <v>50</v>
      </c>
      <c r="K200">
        <v>50</v>
      </c>
      <c r="L200">
        <v>100</v>
      </c>
      <c r="M200">
        <v>0</v>
      </c>
      <c r="N200">
        <v>50</v>
      </c>
      <c r="O200">
        <v>100</v>
      </c>
      <c r="P200">
        <v>50</v>
      </c>
      <c r="Q200">
        <v>0</v>
      </c>
      <c r="T200">
        <v>57.860000000000007</v>
      </c>
      <c r="U200">
        <v>57.815000000000005</v>
      </c>
      <c r="V200">
        <v>87.62</v>
      </c>
      <c r="W200">
        <v>65.278333333333322</v>
      </c>
      <c r="X200">
        <v>56.57</v>
      </c>
      <c r="Y200">
        <v>87.855000000000004</v>
      </c>
      <c r="Z200">
        <v>68.77</v>
      </c>
      <c r="AA200">
        <v>39.61</v>
      </c>
      <c r="AB200">
        <v>50.71</v>
      </c>
      <c r="AC200">
        <v>52.876666666666665</v>
      </c>
      <c r="AD200">
        <v>87.62</v>
      </c>
      <c r="AE200">
        <v>13.795000000000002</v>
      </c>
      <c r="AF200">
        <v>50.707500000000003</v>
      </c>
      <c r="AG200">
        <v>73.823333333333323</v>
      </c>
      <c r="AH200">
        <v>50.71</v>
      </c>
      <c r="AI200">
        <v>1.7766666666666664</v>
      </c>
    </row>
    <row r="201" spans="1:52" x14ac:dyDescent="0.25">
      <c r="B201">
        <v>57.900999999999996</v>
      </c>
      <c r="C201">
        <v>58.963000000000001</v>
      </c>
      <c r="D201">
        <v>97.639999999999986</v>
      </c>
      <c r="E201">
        <v>70.667999999999992</v>
      </c>
      <c r="F201">
        <v>58.38900000000001</v>
      </c>
      <c r="G201">
        <v>97.584000000000003</v>
      </c>
      <c r="H201">
        <v>72.654000000000011</v>
      </c>
      <c r="I201">
        <v>37.040999999999997</v>
      </c>
      <c r="J201">
        <v>50.716000000000001</v>
      </c>
      <c r="K201">
        <v>52.465999999999994</v>
      </c>
      <c r="L201">
        <v>97.639999999999986</v>
      </c>
      <c r="M201">
        <v>3.7909999999999995</v>
      </c>
      <c r="N201">
        <v>50.715500000000006</v>
      </c>
      <c r="O201">
        <v>93.85</v>
      </c>
      <c r="P201">
        <v>50.716000000000001</v>
      </c>
      <c r="Q201">
        <v>1.502</v>
      </c>
      <c r="T201">
        <v>56.966666666666669</v>
      </c>
      <c r="U201">
        <v>55.831666666666671</v>
      </c>
      <c r="V201">
        <v>100</v>
      </c>
      <c r="W201">
        <v>70.183333333333323</v>
      </c>
      <c r="X201">
        <v>55.638333333333343</v>
      </c>
      <c r="Y201">
        <v>100</v>
      </c>
      <c r="Z201">
        <v>71.323333333333338</v>
      </c>
      <c r="AA201">
        <v>35.093333333333327</v>
      </c>
      <c r="AB201">
        <v>50</v>
      </c>
      <c r="AC201">
        <v>50</v>
      </c>
      <c r="AD201">
        <v>100</v>
      </c>
      <c r="AE201">
        <v>0</v>
      </c>
      <c r="AF201">
        <v>50</v>
      </c>
      <c r="AG201">
        <v>100</v>
      </c>
      <c r="AH201">
        <v>50</v>
      </c>
      <c r="AI201">
        <v>0</v>
      </c>
    </row>
    <row r="202" spans="1:52" x14ac:dyDescent="0.25">
      <c r="B202" s="2">
        <f>AVERAGE(B199:B201)</f>
        <v>58.083333333333336</v>
      </c>
      <c r="C202" s="2">
        <f t="shared" ref="C202:Q202" si="74">AVERAGE(C199:C201)</f>
        <v>65.797333333333327</v>
      </c>
      <c r="D202" s="2">
        <f t="shared" si="74"/>
        <v>73.067999999999998</v>
      </c>
      <c r="E202" s="2">
        <f t="shared" si="74"/>
        <v>52.98</v>
      </c>
      <c r="F202" s="2">
        <f t="shared" si="74"/>
        <v>60.309000000000005</v>
      </c>
      <c r="G202" s="2">
        <f t="shared" si="74"/>
        <v>71.585999999999999</v>
      </c>
      <c r="H202" s="2">
        <f t="shared" si="74"/>
        <v>55.198666666666668</v>
      </c>
      <c r="I202" s="2">
        <f t="shared" si="74"/>
        <v>33.969666666666662</v>
      </c>
      <c r="J202" s="2">
        <f t="shared" si="74"/>
        <v>50.415999999999997</v>
      </c>
      <c r="K202" s="2">
        <f t="shared" si="74"/>
        <v>51.956666666666671</v>
      </c>
      <c r="L202" s="2">
        <f t="shared" si="74"/>
        <v>73.067999999999998</v>
      </c>
      <c r="M202" s="2">
        <f t="shared" si="74"/>
        <v>27.763666666666669</v>
      </c>
      <c r="N202" s="2">
        <f t="shared" si="74"/>
        <v>50.415833333333332</v>
      </c>
      <c r="O202" s="2">
        <f t="shared" si="74"/>
        <v>83.929000000000002</v>
      </c>
      <c r="P202" s="2">
        <f t="shared" si="74"/>
        <v>50.415999999999997</v>
      </c>
      <c r="Q202" s="2">
        <f t="shared" si="74"/>
        <v>0.83866666666666667</v>
      </c>
      <c r="T202" s="2">
        <f>AVERAGE(T199:T201)</f>
        <v>57.564444444444455</v>
      </c>
      <c r="U202" s="2">
        <f t="shared" ref="U202:AI202" si="75">AVERAGE(U199:U201)</f>
        <v>55.875555555555565</v>
      </c>
      <c r="V202" s="2">
        <f t="shared" si="75"/>
        <v>89.286111111111111</v>
      </c>
      <c r="W202" s="2">
        <f t="shared" si="75"/>
        <v>67.633888888888876</v>
      </c>
      <c r="X202" s="2">
        <f t="shared" si="75"/>
        <v>56.716666666666669</v>
      </c>
      <c r="Y202" s="2">
        <f t="shared" si="75"/>
        <v>90.225555555555559</v>
      </c>
      <c r="Z202" s="2">
        <f t="shared" si="75"/>
        <v>69.196111111111108</v>
      </c>
      <c r="AA202" s="2">
        <f t="shared" si="75"/>
        <v>38.147222222222219</v>
      </c>
      <c r="AB202" s="2">
        <f t="shared" si="75"/>
        <v>50.220555555555556</v>
      </c>
      <c r="AC202" s="2">
        <f t="shared" si="75"/>
        <v>51.317777777777771</v>
      </c>
      <c r="AD202" s="2">
        <f t="shared" si="75"/>
        <v>89.286111111111111</v>
      </c>
      <c r="AE202" s="2">
        <f t="shared" si="75"/>
        <v>11.152777777777779</v>
      </c>
      <c r="AF202" s="2">
        <f t="shared" si="75"/>
        <v>50.219444444444456</v>
      </c>
      <c r="AG202" s="2">
        <f t="shared" si="75"/>
        <v>78.216111111111104</v>
      </c>
      <c r="AH202" s="2">
        <f t="shared" si="75"/>
        <v>50.220555555555556</v>
      </c>
      <c r="AI202" s="2">
        <f t="shared" si="75"/>
        <v>0.62</v>
      </c>
      <c r="AK202" s="2">
        <f>(B202+T202)/2</f>
        <v>57.823888888888895</v>
      </c>
      <c r="AL202" s="2">
        <f t="shared" ref="AL202:AZ203" si="76">(C202+U202)/2</f>
        <v>60.836444444444446</v>
      </c>
      <c r="AM202" s="2">
        <f t="shared" si="76"/>
        <v>81.177055555555555</v>
      </c>
      <c r="AN202" s="2">
        <f t="shared" si="76"/>
        <v>60.30694444444444</v>
      </c>
      <c r="AO202" s="2">
        <f t="shared" si="76"/>
        <v>58.512833333333333</v>
      </c>
      <c r="AP202" s="2">
        <f t="shared" si="76"/>
        <v>80.905777777777786</v>
      </c>
      <c r="AQ202" s="2">
        <f t="shared" si="76"/>
        <v>62.197388888888888</v>
      </c>
      <c r="AR202" s="2">
        <f t="shared" si="76"/>
        <v>36.05844444444444</v>
      </c>
      <c r="AS202" s="2">
        <f t="shared" si="76"/>
        <v>50.31827777777778</v>
      </c>
      <c r="AT202" s="2">
        <f t="shared" si="76"/>
        <v>51.637222222222221</v>
      </c>
      <c r="AU202" s="2">
        <f t="shared" si="76"/>
        <v>81.177055555555555</v>
      </c>
      <c r="AV202" s="2">
        <f t="shared" si="76"/>
        <v>19.458222222222226</v>
      </c>
      <c r="AW202" s="2">
        <f t="shared" si="76"/>
        <v>50.317638888888894</v>
      </c>
      <c r="AX202" s="2">
        <f t="shared" si="76"/>
        <v>81.072555555555553</v>
      </c>
      <c r="AY202" s="2">
        <f t="shared" si="76"/>
        <v>50.31827777777778</v>
      </c>
      <c r="AZ202" s="2">
        <f>(Q202+AI202)/2</f>
        <v>0.72933333333333339</v>
      </c>
    </row>
    <row r="203" spans="1:52" x14ac:dyDescent="0.25">
      <c r="B203" s="2">
        <f>_xlfn.STDEV.S(B199:B201)</f>
        <v>1.9369471684414408</v>
      </c>
      <c r="C203" s="2">
        <f t="shared" ref="C203:Q203" si="77">_xlfn.STDEV.S(C199:C201)</f>
        <v>12.254579320944979</v>
      </c>
      <c r="D203" s="2">
        <f t="shared" si="77"/>
        <v>44.619378211714242</v>
      </c>
      <c r="E203" s="2">
        <f t="shared" si="77"/>
        <v>31.177604670660621</v>
      </c>
      <c r="F203" s="2">
        <f t="shared" si="77"/>
        <v>3.5716552185226309</v>
      </c>
      <c r="G203" s="2">
        <f t="shared" si="77"/>
        <v>47.137655563254313</v>
      </c>
      <c r="H203" s="2">
        <f t="shared" si="77"/>
        <v>30.652765818655475</v>
      </c>
      <c r="I203" s="2">
        <f t="shared" si="77"/>
        <v>4.1695727998601129</v>
      </c>
      <c r="J203" s="2">
        <f t="shared" si="77"/>
        <v>0.37182791718750746</v>
      </c>
      <c r="K203" s="2">
        <f t="shared" si="77"/>
        <v>1.7582290332414958</v>
      </c>
      <c r="L203" s="2">
        <f t="shared" si="77"/>
        <v>44.619378211714242</v>
      </c>
      <c r="M203" s="2">
        <f t="shared" si="77"/>
        <v>44.845056141489373</v>
      </c>
      <c r="N203" s="2">
        <f t="shared" si="77"/>
        <v>0.37162626835751894</v>
      </c>
      <c r="O203" s="2">
        <f t="shared" si="77"/>
        <v>22.718795588675</v>
      </c>
      <c r="P203" s="2">
        <f t="shared" si="77"/>
        <v>0.37182791718750746</v>
      </c>
      <c r="Q203" s="2">
        <f t="shared" si="77"/>
        <v>0.76619666752951443</v>
      </c>
      <c r="T203" s="2">
        <f>_xlfn.STDEV.S(T199:T201)</f>
        <v>0.51770147267978472</v>
      </c>
      <c r="U203" s="2">
        <f t="shared" ref="U203:AI203" si="78">_xlfn.STDEV.S(U199:U201)</f>
        <v>1.9178766711981026</v>
      </c>
      <c r="V203" s="2">
        <f t="shared" si="78"/>
        <v>9.9856302774054804</v>
      </c>
      <c r="W203" s="2">
        <f t="shared" si="78"/>
        <v>2.4582414295438775</v>
      </c>
      <c r="X203" s="2">
        <f t="shared" si="78"/>
        <v>1.1586498368551346</v>
      </c>
      <c r="Y203" s="2">
        <f t="shared" si="78"/>
        <v>8.8311060609223357</v>
      </c>
      <c r="Z203" s="2">
        <f t="shared" si="78"/>
        <v>1.9494132545555958</v>
      </c>
      <c r="AA203" s="2">
        <f t="shared" si="78"/>
        <v>2.6455236476679613</v>
      </c>
      <c r="AB203" s="2">
        <f t="shared" si="78"/>
        <v>0.42455968476284683</v>
      </c>
      <c r="AC203" s="2">
        <f t="shared" si="78"/>
        <v>1.4534110580643396</v>
      </c>
      <c r="AD203" s="2">
        <f t="shared" si="78"/>
        <v>9.9856302774054804</v>
      </c>
      <c r="AE203" s="2">
        <f t="shared" si="78"/>
        <v>10.09443773313542</v>
      </c>
      <c r="AF203" s="2">
        <f t="shared" si="78"/>
        <v>0.42338281644306053</v>
      </c>
      <c r="AG203" s="2">
        <f t="shared" si="78"/>
        <v>19.953509182690283</v>
      </c>
      <c r="AH203" s="2">
        <f t="shared" si="78"/>
        <v>0.42455968476284683</v>
      </c>
      <c r="AI203" s="2">
        <f t="shared" si="78"/>
        <v>1.0025689225407119</v>
      </c>
      <c r="AK203" s="2">
        <f>(B203+T203)/2</f>
        <v>1.2273243205606128</v>
      </c>
      <c r="AL203" s="2">
        <f t="shared" si="76"/>
        <v>7.0862279960715409</v>
      </c>
      <c r="AM203" s="2">
        <f t="shared" si="76"/>
        <v>27.302504244559863</v>
      </c>
      <c r="AN203" s="2">
        <f t="shared" si="76"/>
        <v>16.817923050102248</v>
      </c>
      <c r="AO203" s="2">
        <f t="shared" si="76"/>
        <v>2.365152527688883</v>
      </c>
      <c r="AP203" s="2">
        <f t="shared" si="76"/>
        <v>27.984380812088325</v>
      </c>
      <c r="AQ203" s="2">
        <f t="shared" si="76"/>
        <v>16.301089536605534</v>
      </c>
      <c r="AR203" s="2">
        <f t="shared" si="76"/>
        <v>3.4075482237640369</v>
      </c>
      <c r="AS203" s="2">
        <f t="shared" si="76"/>
        <v>0.39819380097517715</v>
      </c>
      <c r="AT203" s="2">
        <f t="shared" si="76"/>
        <v>1.6058200456529177</v>
      </c>
      <c r="AU203" s="2">
        <f t="shared" si="76"/>
        <v>27.302504244559863</v>
      </c>
      <c r="AV203" s="2">
        <f t="shared" si="76"/>
        <v>27.469746937312397</v>
      </c>
      <c r="AW203" s="2">
        <f t="shared" si="76"/>
        <v>0.39750454240028976</v>
      </c>
      <c r="AX203" s="2">
        <f t="shared" si="76"/>
        <v>21.336152385682642</v>
      </c>
      <c r="AY203" s="2">
        <f t="shared" si="76"/>
        <v>0.39819380097517715</v>
      </c>
      <c r="AZ203" s="2">
        <f t="shared" si="76"/>
        <v>0.88438279503511319</v>
      </c>
    </row>
    <row r="205" spans="1:52" x14ac:dyDescent="0.25">
      <c r="A205" s="1" t="s">
        <v>22</v>
      </c>
      <c r="B205">
        <v>64.530999999999992</v>
      </c>
      <c r="C205">
        <v>75.056999999999988</v>
      </c>
      <c r="D205">
        <v>24.907</v>
      </c>
      <c r="E205">
        <v>25.751999999999999</v>
      </c>
      <c r="F205">
        <v>62.10199999999999</v>
      </c>
      <c r="G205">
        <v>22.608999999999998</v>
      </c>
      <c r="H205">
        <v>28.689999999999998</v>
      </c>
      <c r="I205">
        <v>36.620000000000005</v>
      </c>
      <c r="J205">
        <v>52.527999999999999</v>
      </c>
      <c r="K205">
        <v>58.378999999999998</v>
      </c>
      <c r="L205">
        <v>24.907</v>
      </c>
      <c r="M205">
        <v>80.150000000000006</v>
      </c>
      <c r="N205">
        <v>52.528499999999994</v>
      </c>
      <c r="O205">
        <v>55.242999999999995</v>
      </c>
      <c r="P205">
        <v>52.527999999999999</v>
      </c>
      <c r="Q205">
        <v>5.3819999999999997</v>
      </c>
      <c r="S205" s="1" t="s">
        <v>22</v>
      </c>
      <c r="T205">
        <v>64.911666666666676</v>
      </c>
      <c r="U205">
        <v>67.260000000000005</v>
      </c>
      <c r="V205">
        <v>46.07</v>
      </c>
      <c r="W205">
        <v>49.84</v>
      </c>
      <c r="X205">
        <v>64.548333333333332</v>
      </c>
      <c r="Y205">
        <v>48.945</v>
      </c>
      <c r="Z205">
        <v>53.938333333333333</v>
      </c>
      <c r="AA205">
        <v>47.403333333333329</v>
      </c>
      <c r="AB205">
        <v>54.853333333333332</v>
      </c>
      <c r="AC205">
        <v>60.176666666666677</v>
      </c>
      <c r="AD205">
        <v>46.07</v>
      </c>
      <c r="AE205">
        <v>63.633333333333326</v>
      </c>
      <c r="AF205">
        <v>54.851666666666659</v>
      </c>
      <c r="AG205">
        <v>28.723333333333333</v>
      </c>
      <c r="AH205">
        <v>54.853333333333332</v>
      </c>
      <c r="AI205">
        <v>10.173333333333332</v>
      </c>
    </row>
    <row r="206" spans="1:52" x14ac:dyDescent="0.25">
      <c r="B206">
        <v>66.11</v>
      </c>
      <c r="C206">
        <v>77.179999999999993</v>
      </c>
      <c r="D206">
        <v>42.419999999999995</v>
      </c>
      <c r="E206">
        <v>45.478000000000002</v>
      </c>
      <c r="F206">
        <v>74.28</v>
      </c>
      <c r="G206">
        <v>49.043999999999997</v>
      </c>
      <c r="H206">
        <v>58.619000000000007</v>
      </c>
      <c r="I206">
        <v>47.826999999999998</v>
      </c>
      <c r="J206">
        <v>55.265000000000001</v>
      </c>
      <c r="K206">
        <v>59.911000000000001</v>
      </c>
      <c r="L206">
        <v>42.419999999999995</v>
      </c>
      <c r="M206">
        <v>68.113</v>
      </c>
      <c r="N206">
        <v>55.266499999999994</v>
      </c>
      <c r="O206">
        <v>25.895000000000003</v>
      </c>
      <c r="P206">
        <v>55.265000000000001</v>
      </c>
      <c r="Q206">
        <v>10.586</v>
      </c>
      <c r="T206">
        <v>64.179999999999993</v>
      </c>
      <c r="U206">
        <v>66.094999999999999</v>
      </c>
      <c r="V206">
        <v>63.163333333333327</v>
      </c>
      <c r="W206">
        <v>53.69166666666667</v>
      </c>
      <c r="X206">
        <v>60.778333333333343</v>
      </c>
      <c r="Y206">
        <v>66.121666666666655</v>
      </c>
      <c r="Z206">
        <v>62.973333333333329</v>
      </c>
      <c r="AA206">
        <v>47.175000000000004</v>
      </c>
      <c r="AB206">
        <v>53.524999999999999</v>
      </c>
      <c r="AC206">
        <v>58.348333333333336</v>
      </c>
      <c r="AD206">
        <v>63.163333333333327</v>
      </c>
      <c r="AE206">
        <v>43.888333333333328</v>
      </c>
      <c r="AF206">
        <v>53.525833333333331</v>
      </c>
      <c r="AG206">
        <v>27.778333333333336</v>
      </c>
      <c r="AH206">
        <v>53.524999999999999</v>
      </c>
      <c r="AI206">
        <v>10.76</v>
      </c>
    </row>
    <row r="207" spans="1:52" x14ac:dyDescent="0.25">
      <c r="B207">
        <v>63.855999999999995</v>
      </c>
      <c r="C207">
        <v>68.084999999999994</v>
      </c>
      <c r="D207">
        <v>48.304000000000002</v>
      </c>
      <c r="E207">
        <v>47.863</v>
      </c>
      <c r="F207">
        <v>62.83</v>
      </c>
      <c r="G207">
        <v>48.012999999999998</v>
      </c>
      <c r="H207">
        <v>52.983000000000004</v>
      </c>
      <c r="I207">
        <v>45.588000000000001</v>
      </c>
      <c r="J207">
        <v>54.114999999999995</v>
      </c>
      <c r="K207">
        <v>54.407999999999994</v>
      </c>
      <c r="L207">
        <v>48.304000000000002</v>
      </c>
      <c r="M207">
        <v>59.927999999999997</v>
      </c>
      <c r="N207">
        <v>54.116</v>
      </c>
      <c r="O207">
        <v>22.538999999999998</v>
      </c>
      <c r="P207">
        <v>54.114999999999995</v>
      </c>
      <c r="Q207">
        <v>8.7850000000000001</v>
      </c>
      <c r="T207">
        <v>68.054999999999993</v>
      </c>
      <c r="U207">
        <v>67.50833333333334</v>
      </c>
      <c r="V207">
        <v>46.493333333333339</v>
      </c>
      <c r="W207">
        <v>44.251666666666665</v>
      </c>
      <c r="X207">
        <v>56.748333333333335</v>
      </c>
      <c r="Y207">
        <v>41.736666666666665</v>
      </c>
      <c r="Z207">
        <v>47.134999999999998</v>
      </c>
      <c r="AA207">
        <v>46.388333333333328</v>
      </c>
      <c r="AB207">
        <v>56.413333333333334</v>
      </c>
      <c r="AC207">
        <v>64.99166666666666</v>
      </c>
      <c r="AD207">
        <v>46.493333333333339</v>
      </c>
      <c r="AE207">
        <v>66.334999999999994</v>
      </c>
      <c r="AF207">
        <v>56.414166666666667</v>
      </c>
      <c r="AG207">
        <v>22.284999999999997</v>
      </c>
      <c r="AH207">
        <v>56.413333333333334</v>
      </c>
      <c r="AI207">
        <v>14.176666666666668</v>
      </c>
    </row>
    <row r="208" spans="1:52" x14ac:dyDescent="0.25">
      <c r="B208" s="2">
        <f>AVERAGE(B205:B207)</f>
        <v>64.832333333333324</v>
      </c>
      <c r="C208" s="2">
        <f t="shared" ref="C208:Q208" si="79">AVERAGE(C205:C207)</f>
        <v>73.440666666666644</v>
      </c>
      <c r="D208" s="2">
        <f t="shared" si="79"/>
        <v>38.543666666666667</v>
      </c>
      <c r="E208" s="2">
        <f t="shared" si="79"/>
        <v>39.69766666666667</v>
      </c>
      <c r="F208" s="2">
        <f t="shared" si="79"/>
        <v>66.403999999999996</v>
      </c>
      <c r="G208" s="2">
        <f t="shared" si="79"/>
        <v>39.888666666666666</v>
      </c>
      <c r="H208" s="2">
        <f t="shared" si="79"/>
        <v>46.764000000000003</v>
      </c>
      <c r="I208" s="2">
        <f t="shared" si="79"/>
        <v>43.344999999999999</v>
      </c>
      <c r="J208" s="2">
        <f t="shared" si="79"/>
        <v>53.969333333333338</v>
      </c>
      <c r="K208" s="2">
        <f t="shared" si="79"/>
        <v>57.565999999999995</v>
      </c>
      <c r="L208" s="2">
        <f t="shared" si="79"/>
        <v>38.543666666666667</v>
      </c>
      <c r="M208" s="2">
        <f t="shared" si="79"/>
        <v>69.397000000000006</v>
      </c>
      <c r="N208" s="2">
        <f t="shared" si="79"/>
        <v>53.970333333333336</v>
      </c>
      <c r="O208" s="2">
        <f t="shared" si="79"/>
        <v>34.559000000000005</v>
      </c>
      <c r="P208" s="2">
        <f t="shared" si="79"/>
        <v>53.969333333333338</v>
      </c>
      <c r="Q208" s="2">
        <f t="shared" si="79"/>
        <v>8.2509999999999994</v>
      </c>
      <c r="T208" s="2">
        <f>AVERAGE(T205:T207)</f>
        <v>65.715555555555554</v>
      </c>
      <c r="U208" s="2">
        <f t="shared" ref="U208:AI208" si="80">AVERAGE(U205:U207)</f>
        <v>66.954444444444448</v>
      </c>
      <c r="V208" s="2">
        <f t="shared" si="80"/>
        <v>51.908888888888889</v>
      </c>
      <c r="W208" s="2">
        <f t="shared" si="80"/>
        <v>49.261111111111113</v>
      </c>
      <c r="X208" s="2">
        <f t="shared" si="80"/>
        <v>60.69166666666667</v>
      </c>
      <c r="Y208" s="2">
        <f t="shared" si="80"/>
        <v>52.267777777777781</v>
      </c>
      <c r="Z208" s="2">
        <f t="shared" si="80"/>
        <v>54.682222222222215</v>
      </c>
      <c r="AA208" s="2">
        <f t="shared" si="80"/>
        <v>46.988888888888887</v>
      </c>
      <c r="AB208" s="2">
        <f t="shared" si="80"/>
        <v>54.93055555555555</v>
      </c>
      <c r="AC208" s="2">
        <f t="shared" si="80"/>
        <v>61.172222222222217</v>
      </c>
      <c r="AD208" s="2">
        <f t="shared" si="80"/>
        <v>51.908888888888889</v>
      </c>
      <c r="AE208" s="2">
        <f t="shared" si="80"/>
        <v>57.952222222222211</v>
      </c>
      <c r="AF208" s="2">
        <f t="shared" si="80"/>
        <v>54.93055555555555</v>
      </c>
      <c r="AG208" s="2">
        <f t="shared" si="80"/>
        <v>26.262222222222221</v>
      </c>
      <c r="AH208" s="2">
        <f t="shared" si="80"/>
        <v>54.93055555555555</v>
      </c>
      <c r="AI208" s="2">
        <f t="shared" si="80"/>
        <v>11.703333333333333</v>
      </c>
      <c r="AK208" s="2">
        <f>(B208+T208)/2</f>
        <v>65.273944444444439</v>
      </c>
      <c r="AL208" s="2">
        <f t="shared" ref="AL208:AZ209" si="81">(C208+U208)/2</f>
        <v>70.197555555555539</v>
      </c>
      <c r="AM208" s="2">
        <f t="shared" si="81"/>
        <v>45.226277777777781</v>
      </c>
      <c r="AN208" s="2">
        <f t="shared" si="81"/>
        <v>44.479388888888892</v>
      </c>
      <c r="AO208" s="2">
        <f t="shared" si="81"/>
        <v>63.54783333333333</v>
      </c>
      <c r="AP208" s="2">
        <f t="shared" si="81"/>
        <v>46.078222222222223</v>
      </c>
      <c r="AQ208" s="2">
        <f t="shared" si="81"/>
        <v>50.723111111111109</v>
      </c>
      <c r="AR208" s="2">
        <f t="shared" si="81"/>
        <v>45.166944444444439</v>
      </c>
      <c r="AS208" s="2">
        <f t="shared" si="81"/>
        <v>54.449944444444441</v>
      </c>
      <c r="AT208" s="2">
        <f t="shared" si="81"/>
        <v>59.36911111111111</v>
      </c>
      <c r="AU208" s="2">
        <f t="shared" si="81"/>
        <v>45.226277777777781</v>
      </c>
      <c r="AV208" s="2">
        <f t="shared" si="81"/>
        <v>63.674611111111105</v>
      </c>
      <c r="AW208" s="2">
        <f t="shared" si="81"/>
        <v>54.450444444444443</v>
      </c>
      <c r="AX208" s="2">
        <f t="shared" si="81"/>
        <v>30.410611111111113</v>
      </c>
      <c r="AY208" s="2">
        <f t="shared" si="81"/>
        <v>54.449944444444441</v>
      </c>
      <c r="AZ208" s="2">
        <f>(Q208+AI208)/2</f>
        <v>9.9771666666666654</v>
      </c>
    </row>
    <row r="209" spans="1:52" x14ac:dyDescent="0.25">
      <c r="B209" s="2">
        <f>_xlfn.STDEV.S(B205:B207)</f>
        <v>1.1568190581648197</v>
      </c>
      <c r="C209" s="2">
        <f t="shared" ref="C209:Q209" si="82">_xlfn.STDEV.S(C205:C207)</f>
        <v>4.7580622456345942</v>
      </c>
      <c r="D209" s="2">
        <f t="shared" si="82"/>
        <v>12.170635658556755</v>
      </c>
      <c r="E209" s="2">
        <f t="shared" si="82"/>
        <v>12.136031902287227</v>
      </c>
      <c r="F209" s="2">
        <f t="shared" si="82"/>
        <v>6.8305217955878055</v>
      </c>
      <c r="G209" s="2">
        <f t="shared" si="82"/>
        <v>14.97350661446187</v>
      </c>
      <c r="H209" s="2">
        <f t="shared" si="82"/>
        <v>15.904189102246008</v>
      </c>
      <c r="I209" s="2">
        <f t="shared" si="82"/>
        <v>5.9306406905157134</v>
      </c>
      <c r="J209" s="2">
        <f t="shared" si="82"/>
        <v>1.3743021259291333</v>
      </c>
      <c r="K209" s="2">
        <f t="shared" si="82"/>
        <v>2.8401547493050483</v>
      </c>
      <c r="L209" s="2">
        <f t="shared" si="82"/>
        <v>12.170635658556755</v>
      </c>
      <c r="M209" s="2">
        <f t="shared" si="82"/>
        <v>10.171962101777677</v>
      </c>
      <c r="N209" s="2">
        <f t="shared" si="82"/>
        <v>1.3748000157598681</v>
      </c>
      <c r="O209" s="2">
        <f t="shared" si="82"/>
        <v>17.991291671250284</v>
      </c>
      <c r="P209" s="2">
        <f t="shared" si="82"/>
        <v>1.3743021259291333</v>
      </c>
      <c r="Q209" s="2">
        <f t="shared" si="82"/>
        <v>2.6427771377851785</v>
      </c>
      <c r="T209" s="2">
        <f>_xlfn.STDEV.S(T205:T207)</f>
        <v>2.0587822272545595</v>
      </c>
      <c r="U209" s="2">
        <f t="shared" ref="U209:AI209" si="83">_xlfn.STDEV.S(U205:U207)</f>
        <v>0.75458659272871542</v>
      </c>
      <c r="V209" s="2">
        <f t="shared" si="83"/>
        <v>9.7489328950707659</v>
      </c>
      <c r="W209" s="2">
        <f t="shared" si="83"/>
        <v>4.7465497215618928</v>
      </c>
      <c r="X209" s="2">
        <f t="shared" si="83"/>
        <v>3.9007221553621738</v>
      </c>
      <c r="Y209" s="2">
        <f t="shared" si="83"/>
        <v>12.527477614043839</v>
      </c>
      <c r="Z209" s="2">
        <f t="shared" si="83"/>
        <v>7.9453274761777273</v>
      </c>
      <c r="AA209" s="2">
        <f t="shared" si="83"/>
        <v>0.53247935101678945</v>
      </c>
      <c r="AB209" s="2">
        <f t="shared" si="83"/>
        <v>1.4457142922496196</v>
      </c>
      <c r="AC209" s="2">
        <f t="shared" si="83"/>
        <v>3.4317368186666863</v>
      </c>
      <c r="AD209" s="2">
        <f t="shared" si="83"/>
        <v>9.7489328950707659</v>
      </c>
      <c r="AE209" s="2">
        <f t="shared" si="83"/>
        <v>12.254365699770187</v>
      </c>
      <c r="AF209" s="2">
        <f t="shared" si="83"/>
        <v>1.4457817794202925</v>
      </c>
      <c r="AG209" s="2">
        <f t="shared" si="83"/>
        <v>3.476633242621924</v>
      </c>
      <c r="AH209" s="2">
        <f t="shared" si="83"/>
        <v>1.4457142922496196</v>
      </c>
      <c r="AI209" s="2">
        <f t="shared" si="83"/>
        <v>2.1619615578862166</v>
      </c>
      <c r="AK209" s="2">
        <f>(B209+T209)/2</f>
        <v>1.6078006427096896</v>
      </c>
      <c r="AL209" s="2">
        <f t="shared" si="81"/>
        <v>2.7563244191816549</v>
      </c>
      <c r="AM209" s="2">
        <f t="shared" si="81"/>
        <v>10.95978427681376</v>
      </c>
      <c r="AN209" s="2">
        <f t="shared" si="81"/>
        <v>8.44129081192456</v>
      </c>
      <c r="AO209" s="2">
        <f t="shared" si="81"/>
        <v>5.3656219754749896</v>
      </c>
      <c r="AP209" s="2">
        <f t="shared" si="81"/>
        <v>13.750492114252854</v>
      </c>
      <c r="AQ209" s="2">
        <f t="shared" si="81"/>
        <v>11.924758289211868</v>
      </c>
      <c r="AR209" s="2">
        <f t="shared" si="81"/>
        <v>3.2315600207662514</v>
      </c>
      <c r="AS209" s="2">
        <f t="shared" si="81"/>
        <v>1.4100082090893764</v>
      </c>
      <c r="AT209" s="2">
        <f t="shared" si="81"/>
        <v>3.1359457839858673</v>
      </c>
      <c r="AU209" s="2">
        <f t="shared" si="81"/>
        <v>10.95978427681376</v>
      </c>
      <c r="AV209" s="2">
        <f t="shared" si="81"/>
        <v>11.213163900773932</v>
      </c>
      <c r="AW209" s="2">
        <f t="shared" si="81"/>
        <v>1.4102908975900803</v>
      </c>
      <c r="AX209" s="2">
        <f t="shared" si="81"/>
        <v>10.733962456936105</v>
      </c>
      <c r="AY209" s="2">
        <f t="shared" si="81"/>
        <v>1.4100082090893764</v>
      </c>
      <c r="AZ209" s="2">
        <f t="shared" si="81"/>
        <v>2.4023693478356973</v>
      </c>
    </row>
    <row r="211" spans="1:52" x14ac:dyDescent="0.25">
      <c r="A211" s="1" t="s">
        <v>23</v>
      </c>
      <c r="B211">
        <v>73.785000000000011</v>
      </c>
      <c r="C211">
        <v>73.741</v>
      </c>
      <c r="D211">
        <v>51.506000000000007</v>
      </c>
      <c r="E211">
        <v>60.274999999999999</v>
      </c>
      <c r="F211">
        <v>75.894999999999996</v>
      </c>
      <c r="G211">
        <v>53.531999999999996</v>
      </c>
      <c r="H211">
        <v>61.828999999999994</v>
      </c>
      <c r="I211">
        <v>58.260999999999989</v>
      </c>
      <c r="J211">
        <v>64.282000000000011</v>
      </c>
      <c r="K211">
        <v>72.230999999999995</v>
      </c>
      <c r="L211">
        <v>51.506000000000007</v>
      </c>
      <c r="M211">
        <v>77.057999999999993</v>
      </c>
      <c r="N211">
        <v>64.282000000000011</v>
      </c>
      <c r="O211">
        <v>25.550000000000004</v>
      </c>
      <c r="P211">
        <v>64.282000000000011</v>
      </c>
      <c r="Q211">
        <v>27.828000000000003</v>
      </c>
      <c r="S211" s="1" t="s">
        <v>23</v>
      </c>
      <c r="T211">
        <v>76.651666666666657</v>
      </c>
      <c r="U211">
        <v>74.565000000000012</v>
      </c>
      <c r="V211">
        <v>61.858333333333327</v>
      </c>
      <c r="W211">
        <v>65.523333333333326</v>
      </c>
      <c r="X211">
        <v>74.963333333333324</v>
      </c>
      <c r="Y211">
        <v>61.375</v>
      </c>
      <c r="Z211">
        <v>67.243333333333325</v>
      </c>
      <c r="AA211">
        <v>65.035000000000011</v>
      </c>
      <c r="AB211">
        <v>67.760000000000005</v>
      </c>
      <c r="AC211">
        <v>74.793333333333322</v>
      </c>
      <c r="AD211">
        <v>61.858333333333327</v>
      </c>
      <c r="AE211">
        <v>73.656666666666652</v>
      </c>
      <c r="AF211">
        <v>67.757499999999993</v>
      </c>
      <c r="AG211">
        <v>13.920000000000002</v>
      </c>
      <c r="AH211">
        <v>67.760000000000005</v>
      </c>
      <c r="AI211">
        <v>35.016666666666673</v>
      </c>
    </row>
    <row r="212" spans="1:52" x14ac:dyDescent="0.25">
      <c r="B212">
        <v>73.571999999999989</v>
      </c>
      <c r="C212">
        <v>72.301000000000002</v>
      </c>
      <c r="D212">
        <v>56.547000000000004</v>
      </c>
      <c r="E212">
        <v>64.088999999999999</v>
      </c>
      <c r="F212">
        <v>75.703999999999994</v>
      </c>
      <c r="G212">
        <v>59.605000000000004</v>
      </c>
      <c r="H212">
        <v>66.465000000000003</v>
      </c>
      <c r="I212">
        <v>60.571000000000005</v>
      </c>
      <c r="J212">
        <v>64.220999999999989</v>
      </c>
      <c r="K212">
        <v>72.27</v>
      </c>
      <c r="L212">
        <v>56.547000000000004</v>
      </c>
      <c r="M212">
        <v>71.893000000000001</v>
      </c>
      <c r="N212">
        <v>64.22</v>
      </c>
      <c r="O212">
        <v>17.64</v>
      </c>
      <c r="P212">
        <v>64.220999999999989</v>
      </c>
      <c r="Q212">
        <v>26.782999999999998</v>
      </c>
      <c r="T212">
        <v>76.445000000000007</v>
      </c>
      <c r="U212">
        <v>74.741666666666674</v>
      </c>
      <c r="V212">
        <v>62.995000000000005</v>
      </c>
      <c r="W212">
        <v>67.373333333333321</v>
      </c>
      <c r="X212">
        <v>76.703333333333333</v>
      </c>
      <c r="Y212">
        <v>64.143333333333331</v>
      </c>
      <c r="Z212">
        <v>69.786666666666662</v>
      </c>
      <c r="AA212">
        <v>66.406666666666666</v>
      </c>
      <c r="AB212">
        <v>68.225000000000009</v>
      </c>
      <c r="AC212">
        <v>75.161666666666676</v>
      </c>
      <c r="AD212">
        <v>62.995000000000005</v>
      </c>
      <c r="AE212">
        <v>73.453333333333333</v>
      </c>
      <c r="AF212">
        <v>68.224166666666676</v>
      </c>
      <c r="AG212">
        <v>13.508333333333333</v>
      </c>
      <c r="AH212">
        <v>68.225000000000009</v>
      </c>
      <c r="AI212">
        <v>36.075000000000003</v>
      </c>
    </row>
    <row r="213" spans="1:52" x14ac:dyDescent="0.25">
      <c r="B213">
        <v>72.75</v>
      </c>
      <c r="C213">
        <v>70.663000000000011</v>
      </c>
      <c r="D213">
        <v>50.137</v>
      </c>
      <c r="E213">
        <v>56.48</v>
      </c>
      <c r="F213">
        <v>71.832999999999998</v>
      </c>
      <c r="G213">
        <v>50.521000000000001</v>
      </c>
      <c r="H213">
        <v>58.212000000000003</v>
      </c>
      <c r="I213">
        <v>55.714999999999996</v>
      </c>
      <c r="J213">
        <v>62.63600000000001</v>
      </c>
      <c r="K213">
        <v>70.691999999999979</v>
      </c>
      <c r="L213">
        <v>50.137</v>
      </c>
      <c r="M213">
        <v>75.137</v>
      </c>
      <c r="N213">
        <v>62.637000000000015</v>
      </c>
      <c r="O213">
        <v>25.001999999999999</v>
      </c>
      <c r="P213">
        <v>62.63600000000001</v>
      </c>
      <c r="Q213">
        <v>23.433</v>
      </c>
      <c r="T213">
        <v>75.834999999999994</v>
      </c>
      <c r="U213">
        <v>74.321666666666658</v>
      </c>
      <c r="V213">
        <v>53.673333333333339</v>
      </c>
      <c r="W213">
        <v>60.06166666666666</v>
      </c>
      <c r="X213">
        <v>75.63666666666667</v>
      </c>
      <c r="Y213">
        <v>54.455000000000005</v>
      </c>
      <c r="Z213">
        <v>62.71</v>
      </c>
      <c r="AA213">
        <v>62.123333333333335</v>
      </c>
      <c r="AB213">
        <v>66.396666666666661</v>
      </c>
      <c r="AC213">
        <v>74.56</v>
      </c>
      <c r="AD213">
        <v>53.673333333333339</v>
      </c>
      <c r="AE213">
        <v>79.125</v>
      </c>
      <c r="AF213">
        <v>66.399166666666659</v>
      </c>
      <c r="AG213">
        <v>25.453333333333333</v>
      </c>
      <c r="AH213">
        <v>66.396666666666661</v>
      </c>
      <c r="AI213">
        <v>32.066666666666663</v>
      </c>
    </row>
    <row r="214" spans="1:52" x14ac:dyDescent="0.25">
      <c r="B214" s="2">
        <f>AVERAGE(B211:B213)</f>
        <v>73.369</v>
      </c>
      <c r="C214" s="2">
        <f t="shared" ref="C214:Q214" si="84">AVERAGE(C211:C213)</f>
        <v>72.234999999999999</v>
      </c>
      <c r="D214" s="2">
        <f t="shared" si="84"/>
        <v>52.73</v>
      </c>
      <c r="E214" s="2">
        <f t="shared" si="84"/>
        <v>60.281333333333329</v>
      </c>
      <c r="F214" s="2">
        <f t="shared" si="84"/>
        <v>74.477333333333334</v>
      </c>
      <c r="G214" s="2">
        <f t="shared" si="84"/>
        <v>54.552666666666674</v>
      </c>
      <c r="H214" s="2">
        <f t="shared" si="84"/>
        <v>62.16866666666666</v>
      </c>
      <c r="I214" s="2">
        <f t="shared" si="84"/>
        <v>58.182333333333332</v>
      </c>
      <c r="J214" s="2">
        <f t="shared" si="84"/>
        <v>63.713000000000001</v>
      </c>
      <c r="K214" s="2">
        <f t="shared" si="84"/>
        <v>71.73099999999998</v>
      </c>
      <c r="L214" s="2">
        <f t="shared" si="84"/>
        <v>52.73</v>
      </c>
      <c r="M214" s="2">
        <f t="shared" si="84"/>
        <v>74.695999999999998</v>
      </c>
      <c r="N214" s="2">
        <f t="shared" si="84"/>
        <v>63.713000000000001</v>
      </c>
      <c r="O214" s="2">
        <f t="shared" si="84"/>
        <v>22.730666666666668</v>
      </c>
      <c r="P214" s="2">
        <f t="shared" si="84"/>
        <v>63.713000000000001</v>
      </c>
      <c r="Q214" s="2">
        <f t="shared" si="84"/>
        <v>26.01466666666667</v>
      </c>
      <c r="T214" s="2">
        <f>AVERAGE(T211:T213)</f>
        <v>76.310555555555553</v>
      </c>
      <c r="U214" s="2">
        <f t="shared" ref="U214:AI214" si="85">AVERAGE(U211:U213)</f>
        <v>74.542777777777772</v>
      </c>
      <c r="V214" s="2">
        <f t="shared" si="85"/>
        <v>59.50888888888889</v>
      </c>
      <c r="W214" s="2">
        <f t="shared" si="85"/>
        <v>64.319444444444443</v>
      </c>
      <c r="X214" s="2">
        <f t="shared" si="85"/>
        <v>75.767777777777781</v>
      </c>
      <c r="Y214" s="2">
        <f t="shared" si="85"/>
        <v>59.99111111111111</v>
      </c>
      <c r="Z214" s="2">
        <f t="shared" si="85"/>
        <v>66.58</v>
      </c>
      <c r="AA214" s="2">
        <f t="shared" si="85"/>
        <v>64.521666666666661</v>
      </c>
      <c r="AB214" s="2">
        <f t="shared" si="85"/>
        <v>67.460555555555558</v>
      </c>
      <c r="AC214" s="2">
        <f t="shared" si="85"/>
        <v>74.838333333333324</v>
      </c>
      <c r="AD214" s="2">
        <f t="shared" si="85"/>
        <v>59.50888888888889</v>
      </c>
      <c r="AE214" s="2">
        <f t="shared" si="85"/>
        <v>75.411666666666662</v>
      </c>
      <c r="AF214" s="2">
        <f t="shared" si="85"/>
        <v>67.460277777777776</v>
      </c>
      <c r="AG214" s="2">
        <f t="shared" si="85"/>
        <v>17.627222222222223</v>
      </c>
      <c r="AH214" s="2">
        <f t="shared" si="85"/>
        <v>67.460555555555558</v>
      </c>
      <c r="AI214" s="2">
        <f t="shared" si="85"/>
        <v>34.386111111111113</v>
      </c>
      <c r="AK214" s="2">
        <f>(B214+T214)/2</f>
        <v>74.839777777777783</v>
      </c>
      <c r="AL214" s="2">
        <f t="shared" ref="AL214:AZ215" si="86">(C214+U214)/2</f>
        <v>73.388888888888886</v>
      </c>
      <c r="AM214" s="2">
        <f t="shared" si="86"/>
        <v>56.11944444444444</v>
      </c>
      <c r="AN214" s="2">
        <f t="shared" si="86"/>
        <v>62.300388888888889</v>
      </c>
      <c r="AO214" s="2">
        <f t="shared" si="86"/>
        <v>75.12255555555555</v>
      </c>
      <c r="AP214" s="2">
        <f t="shared" si="86"/>
        <v>57.271888888888896</v>
      </c>
      <c r="AQ214" s="2">
        <f t="shared" si="86"/>
        <v>64.374333333333325</v>
      </c>
      <c r="AR214" s="2">
        <f t="shared" si="86"/>
        <v>61.351999999999997</v>
      </c>
      <c r="AS214" s="2">
        <f t="shared" si="86"/>
        <v>65.586777777777783</v>
      </c>
      <c r="AT214" s="2">
        <f t="shared" si="86"/>
        <v>73.284666666666652</v>
      </c>
      <c r="AU214" s="2">
        <f t="shared" si="86"/>
        <v>56.11944444444444</v>
      </c>
      <c r="AV214" s="2">
        <f t="shared" si="86"/>
        <v>75.05383333333333</v>
      </c>
      <c r="AW214" s="2">
        <f t="shared" si="86"/>
        <v>65.586638888888885</v>
      </c>
      <c r="AX214" s="2">
        <f t="shared" si="86"/>
        <v>20.178944444444447</v>
      </c>
      <c r="AY214" s="2">
        <f t="shared" si="86"/>
        <v>65.586777777777783</v>
      </c>
      <c r="AZ214" s="2">
        <f>(Q214+AI214)/2</f>
        <v>30.200388888888892</v>
      </c>
    </row>
    <row r="215" spans="1:52" x14ac:dyDescent="0.25">
      <c r="B215" s="2">
        <f>_xlfn.STDEV.S(B211:B213)</f>
        <v>0.54654642986666935</v>
      </c>
      <c r="C215" s="2">
        <f t="shared" ref="C215:Q215" si="87">_xlfn.STDEV.S(C211:C213)</f>
        <v>1.5400610377514206</v>
      </c>
      <c r="D215" s="2">
        <f t="shared" si="87"/>
        <v>3.3757453991674202</v>
      </c>
      <c r="E215" s="2">
        <f t="shared" si="87"/>
        <v>3.8045039536493244</v>
      </c>
      <c r="F215" s="2">
        <f t="shared" si="87"/>
        <v>2.2920502466859936</v>
      </c>
      <c r="G215" s="2">
        <f t="shared" si="87"/>
        <v>4.627211291191851</v>
      </c>
      <c r="H215" s="2">
        <f t="shared" si="87"/>
        <v>4.1369713962430703</v>
      </c>
      <c r="I215" s="2">
        <f t="shared" si="87"/>
        <v>2.428955605467781</v>
      </c>
      <c r="J215" s="2">
        <f t="shared" si="87"/>
        <v>0.9332079082390965</v>
      </c>
      <c r="K215" s="2">
        <f t="shared" si="87"/>
        <v>0.90001166659105991</v>
      </c>
      <c r="L215" s="2">
        <f t="shared" si="87"/>
        <v>3.3757453991674202</v>
      </c>
      <c r="M215" s="2">
        <f t="shared" si="87"/>
        <v>2.6105874817749322</v>
      </c>
      <c r="N215" s="2">
        <f t="shared" si="87"/>
        <v>0.93235883650019091</v>
      </c>
      <c r="O215" s="2">
        <f t="shared" si="87"/>
        <v>4.4171530801335441</v>
      </c>
      <c r="P215" s="2">
        <f t="shared" si="87"/>
        <v>0.9332079082390965</v>
      </c>
      <c r="Q215" s="2">
        <f t="shared" si="87"/>
        <v>2.296030995725741</v>
      </c>
      <c r="T215" s="2">
        <f>_xlfn.STDEV.S(T211:T213)</f>
        <v>0.42460875237398615</v>
      </c>
      <c r="U215" s="2">
        <f t="shared" ref="U215:AI215" si="88">_xlfn.STDEV.S(U211:U213)</f>
        <v>0.21087999044568922</v>
      </c>
      <c r="V215" s="2">
        <f t="shared" si="88"/>
        <v>5.0855957624706294</v>
      </c>
      <c r="W215" s="2">
        <f t="shared" si="88"/>
        <v>3.8015955470964666</v>
      </c>
      <c r="X215" s="2">
        <f t="shared" si="88"/>
        <v>0.87737824944125409</v>
      </c>
      <c r="Y215" s="2">
        <f t="shared" si="88"/>
        <v>4.9902216420753289</v>
      </c>
      <c r="Z215" s="2">
        <f t="shared" si="88"/>
        <v>3.5846633190735062</v>
      </c>
      <c r="AA215" s="2">
        <f t="shared" si="88"/>
        <v>2.1873201513368925</v>
      </c>
      <c r="AB215" s="2">
        <f t="shared" si="88"/>
        <v>0.95023729979723481</v>
      </c>
      <c r="AC215" s="2">
        <f t="shared" si="88"/>
        <v>0.3033470692860693</v>
      </c>
      <c r="AD215" s="2">
        <f t="shared" si="88"/>
        <v>5.0855957624706294</v>
      </c>
      <c r="AE215" s="2">
        <f t="shared" si="88"/>
        <v>3.2174476599386153</v>
      </c>
      <c r="AF215" s="2">
        <f t="shared" si="88"/>
        <v>0.94810971782650255</v>
      </c>
      <c r="AG215" s="2">
        <f t="shared" si="88"/>
        <v>6.7807358526714347</v>
      </c>
      <c r="AH215" s="2">
        <f t="shared" si="88"/>
        <v>0.95023729979723481</v>
      </c>
      <c r="AI215" s="2">
        <f t="shared" si="88"/>
        <v>2.0772299485755727</v>
      </c>
      <c r="AK215" s="2">
        <f>(B215+T215)/2</f>
        <v>0.48557759112032772</v>
      </c>
      <c r="AL215" s="2">
        <f t="shared" si="86"/>
        <v>0.87547051409855492</v>
      </c>
      <c r="AM215" s="2">
        <f t="shared" si="86"/>
        <v>4.2306705808190248</v>
      </c>
      <c r="AN215" s="2">
        <f t="shared" si="86"/>
        <v>3.8030497503728955</v>
      </c>
      <c r="AO215" s="2">
        <f t="shared" si="86"/>
        <v>1.5847142480636238</v>
      </c>
      <c r="AP215" s="2">
        <f t="shared" si="86"/>
        <v>4.80871646663359</v>
      </c>
      <c r="AQ215" s="2">
        <f t="shared" si="86"/>
        <v>3.8608173576582883</v>
      </c>
      <c r="AR215" s="2">
        <f t="shared" si="86"/>
        <v>2.308137878402337</v>
      </c>
      <c r="AS215" s="2">
        <f t="shared" si="86"/>
        <v>0.94172260401816565</v>
      </c>
      <c r="AT215" s="2">
        <f t="shared" si="86"/>
        <v>0.60167936793856458</v>
      </c>
      <c r="AU215" s="2">
        <f t="shared" si="86"/>
        <v>4.2306705808190248</v>
      </c>
      <c r="AV215" s="2">
        <f t="shared" si="86"/>
        <v>2.9140175708567737</v>
      </c>
      <c r="AW215" s="2">
        <f t="shared" si="86"/>
        <v>0.94023427716334673</v>
      </c>
      <c r="AX215" s="2">
        <f t="shared" si="86"/>
        <v>5.5989444664024894</v>
      </c>
      <c r="AY215" s="2">
        <f t="shared" si="86"/>
        <v>0.94172260401816565</v>
      </c>
      <c r="AZ215" s="2">
        <f t="shared" si="86"/>
        <v>2.1866304721506569</v>
      </c>
    </row>
    <row r="217" spans="1:52" x14ac:dyDescent="0.25">
      <c r="A217" s="1" t="s">
        <v>24</v>
      </c>
      <c r="B217">
        <v>68.698000000000008</v>
      </c>
      <c r="C217">
        <v>68.085999999999999</v>
      </c>
      <c r="D217">
        <v>40.635000000000005</v>
      </c>
      <c r="E217">
        <v>48.003</v>
      </c>
      <c r="F217">
        <v>68.727999999999994</v>
      </c>
      <c r="G217">
        <v>40.311</v>
      </c>
      <c r="H217">
        <v>49.936999999999998</v>
      </c>
      <c r="I217">
        <v>50.872</v>
      </c>
      <c r="J217">
        <v>57.326000000000001</v>
      </c>
      <c r="K217">
        <v>62.274999999999991</v>
      </c>
      <c r="L217">
        <v>40.635000000000005</v>
      </c>
      <c r="M217">
        <v>74.01700000000001</v>
      </c>
      <c r="N217">
        <v>57.326000000000001</v>
      </c>
      <c r="O217">
        <v>33.382000000000005</v>
      </c>
      <c r="P217">
        <v>57.326000000000001</v>
      </c>
      <c r="Q217">
        <v>14.365</v>
      </c>
      <c r="S217" s="1" t="s">
        <v>24</v>
      </c>
      <c r="T217">
        <v>69.39</v>
      </c>
      <c r="U217">
        <v>63.52</v>
      </c>
      <c r="V217">
        <v>72.95</v>
      </c>
      <c r="W217">
        <v>66.101666666666659</v>
      </c>
      <c r="X217">
        <v>63.111666666666672</v>
      </c>
      <c r="Y217">
        <v>71.183333333333337</v>
      </c>
      <c r="Z217">
        <v>66.768333333333331</v>
      </c>
      <c r="AA217">
        <v>57.506666666666661</v>
      </c>
      <c r="AB217">
        <v>59.961666666666666</v>
      </c>
      <c r="AC217">
        <v>64.146666666666661</v>
      </c>
      <c r="AD217">
        <v>72.95</v>
      </c>
      <c r="AE217">
        <v>46.978333333333332</v>
      </c>
      <c r="AF217">
        <v>59.964166666666678</v>
      </c>
      <c r="AG217">
        <v>25.973333333333333</v>
      </c>
      <c r="AH217">
        <v>59.961666666666666</v>
      </c>
      <c r="AI217">
        <v>19.62833333333333</v>
      </c>
    </row>
    <row r="218" spans="1:52" x14ac:dyDescent="0.25">
      <c r="A218" s="1"/>
      <c r="B218">
        <v>67.425999999999988</v>
      </c>
      <c r="C218">
        <v>69.078000000000003</v>
      </c>
      <c r="D218">
        <v>31.072000000000003</v>
      </c>
      <c r="E218">
        <v>40.210999999999999</v>
      </c>
      <c r="F218">
        <v>69.508999999999986</v>
      </c>
      <c r="G218">
        <v>29.660000000000004</v>
      </c>
      <c r="H218">
        <v>40.922999999999995</v>
      </c>
      <c r="I218">
        <v>47.657000000000004</v>
      </c>
      <c r="J218">
        <v>56.053999999999995</v>
      </c>
      <c r="K218">
        <v>60</v>
      </c>
      <c r="L218">
        <v>31.072000000000003</v>
      </c>
      <c r="M218">
        <v>81.036999999999992</v>
      </c>
      <c r="N218">
        <v>56.054499999999997</v>
      </c>
      <c r="O218">
        <v>50.527000000000001</v>
      </c>
      <c r="P218">
        <v>56.053999999999995</v>
      </c>
      <c r="Q218">
        <v>13.001999999999999</v>
      </c>
      <c r="S218" s="1"/>
      <c r="T218">
        <v>67.74499999999999</v>
      </c>
      <c r="U218">
        <v>65.853333333333339</v>
      </c>
      <c r="V218">
        <v>61.774999999999999</v>
      </c>
      <c r="W218">
        <v>61.81</v>
      </c>
      <c r="X218">
        <v>65.328333333333333</v>
      </c>
      <c r="Y218">
        <v>60.94666666666668</v>
      </c>
      <c r="Z218">
        <v>62.901666666666664</v>
      </c>
      <c r="AA218">
        <v>58.568333333333328</v>
      </c>
      <c r="AB218">
        <v>61.324999999999996</v>
      </c>
      <c r="AC218">
        <v>64.62</v>
      </c>
      <c r="AD218">
        <v>61.774999999999999</v>
      </c>
      <c r="AE218">
        <v>60.879999999999995</v>
      </c>
      <c r="AF218">
        <v>61.327500000000008</v>
      </c>
      <c r="AG218">
        <v>3.438333333333333</v>
      </c>
      <c r="AH218">
        <v>61.324999999999996</v>
      </c>
      <c r="AI218">
        <v>21.653333333333332</v>
      </c>
    </row>
    <row r="219" spans="1:52" x14ac:dyDescent="0.25">
      <c r="A219" s="1"/>
      <c r="B219">
        <v>66.884</v>
      </c>
      <c r="C219">
        <v>68.040999999999983</v>
      </c>
      <c r="D219">
        <v>37.547999999999995</v>
      </c>
      <c r="E219">
        <v>45.862000000000002</v>
      </c>
      <c r="F219">
        <v>67.640000000000015</v>
      </c>
      <c r="G219">
        <v>37.496000000000002</v>
      </c>
      <c r="H219">
        <v>47.582000000000001</v>
      </c>
      <c r="I219">
        <v>50.179000000000002</v>
      </c>
      <c r="J219">
        <v>57.37299999999999</v>
      </c>
      <c r="K219">
        <v>61.156000000000006</v>
      </c>
      <c r="L219">
        <v>37.547999999999995</v>
      </c>
      <c r="M219">
        <v>77.199999999999989</v>
      </c>
      <c r="N219">
        <v>57.373999999999988</v>
      </c>
      <c r="O219">
        <v>39.654000000000003</v>
      </c>
      <c r="P219">
        <v>57.37299999999999</v>
      </c>
      <c r="Q219">
        <v>14.412000000000001</v>
      </c>
      <c r="S219" s="1"/>
      <c r="T219">
        <v>69.575000000000003</v>
      </c>
      <c r="U219">
        <v>70.843333333333334</v>
      </c>
      <c r="V219">
        <v>36.091666666666669</v>
      </c>
      <c r="W219">
        <v>48.718333333333334</v>
      </c>
      <c r="X219">
        <v>70.92</v>
      </c>
      <c r="Y219">
        <v>35.338333333333331</v>
      </c>
      <c r="Z219">
        <v>46.190000000000005</v>
      </c>
      <c r="AA219">
        <v>52.524999999999999</v>
      </c>
      <c r="AB219">
        <v>58.613333333333337</v>
      </c>
      <c r="AC219">
        <v>64.413333333333341</v>
      </c>
      <c r="AD219">
        <v>36.091666666666669</v>
      </c>
      <c r="AE219">
        <v>81.13</v>
      </c>
      <c r="AF219">
        <v>58.610833333333339</v>
      </c>
      <c r="AG219">
        <v>45.57833333333334</v>
      </c>
      <c r="AH219">
        <v>58.613333333333337</v>
      </c>
      <c r="AI219">
        <v>18.958333333333336</v>
      </c>
    </row>
    <row r="220" spans="1:52" x14ac:dyDescent="0.25">
      <c r="A220" s="1"/>
      <c r="B220" s="2">
        <f>AVERAGE(B217:B219)</f>
        <v>67.669333333333327</v>
      </c>
      <c r="C220" s="2">
        <f t="shared" ref="C220:Q220" si="89">AVERAGE(C217:C219)</f>
        <v>68.401666666666657</v>
      </c>
      <c r="D220" s="2">
        <f t="shared" si="89"/>
        <v>36.418333333333329</v>
      </c>
      <c r="E220" s="2">
        <f t="shared" si="89"/>
        <v>44.692</v>
      </c>
      <c r="F220" s="2">
        <f t="shared" si="89"/>
        <v>68.62566666666666</v>
      </c>
      <c r="G220" s="2">
        <f t="shared" si="89"/>
        <v>35.82233333333334</v>
      </c>
      <c r="H220" s="2">
        <f t="shared" si="89"/>
        <v>46.147333333333329</v>
      </c>
      <c r="I220" s="2">
        <f t="shared" si="89"/>
        <v>49.569333333333333</v>
      </c>
      <c r="J220" s="2">
        <f t="shared" si="89"/>
        <v>56.917666666666662</v>
      </c>
      <c r="K220" s="2">
        <f t="shared" si="89"/>
        <v>61.143666666666661</v>
      </c>
      <c r="L220" s="2">
        <f t="shared" si="89"/>
        <v>36.418333333333329</v>
      </c>
      <c r="M220" s="2">
        <f t="shared" si="89"/>
        <v>77.417999999999992</v>
      </c>
      <c r="N220" s="2">
        <f t="shared" si="89"/>
        <v>56.918166666666657</v>
      </c>
      <c r="O220" s="2">
        <f t="shared" si="89"/>
        <v>41.187666666666672</v>
      </c>
      <c r="P220" s="2">
        <f t="shared" si="89"/>
        <v>56.917666666666662</v>
      </c>
      <c r="Q220" s="2">
        <f t="shared" si="89"/>
        <v>13.926333333333332</v>
      </c>
      <c r="S220" s="1"/>
      <c r="T220" s="2">
        <f>AVERAGE(T217:T219)</f>
        <v>68.903333333333322</v>
      </c>
      <c r="U220" s="2">
        <f t="shared" ref="U220:AI220" si="90">AVERAGE(U217:U219)</f>
        <v>66.738888888888894</v>
      </c>
      <c r="V220" s="2">
        <f t="shared" si="90"/>
        <v>56.93888888888889</v>
      </c>
      <c r="W220" s="2">
        <f t="shared" si="90"/>
        <v>58.876666666666665</v>
      </c>
      <c r="X220" s="2">
        <f t="shared" si="90"/>
        <v>66.453333333333333</v>
      </c>
      <c r="Y220" s="2">
        <f t="shared" si="90"/>
        <v>55.822777777777787</v>
      </c>
      <c r="Z220" s="2">
        <f t="shared" si="90"/>
        <v>58.62</v>
      </c>
      <c r="AA220" s="2">
        <f t="shared" si="90"/>
        <v>56.199999999999996</v>
      </c>
      <c r="AB220" s="2">
        <f t="shared" si="90"/>
        <v>59.966666666666669</v>
      </c>
      <c r="AC220" s="2">
        <f t="shared" si="90"/>
        <v>64.393333333333331</v>
      </c>
      <c r="AD220" s="2">
        <f t="shared" si="90"/>
        <v>56.93888888888889</v>
      </c>
      <c r="AE220" s="2">
        <f t="shared" si="90"/>
        <v>62.996111111111105</v>
      </c>
      <c r="AF220" s="2">
        <f t="shared" si="90"/>
        <v>59.967500000000008</v>
      </c>
      <c r="AG220" s="2">
        <f t="shared" si="90"/>
        <v>24.99666666666667</v>
      </c>
      <c r="AH220" s="2">
        <f t="shared" si="90"/>
        <v>59.966666666666669</v>
      </c>
      <c r="AI220" s="2">
        <f t="shared" si="90"/>
        <v>20.080000000000002</v>
      </c>
      <c r="AK220" s="2">
        <f>(B220+T220)/2</f>
        <v>68.286333333333317</v>
      </c>
      <c r="AL220" s="2">
        <f t="shared" ref="AL220:AZ221" si="91">(C220+U220)/2</f>
        <v>67.570277777777775</v>
      </c>
      <c r="AM220" s="2">
        <f t="shared" si="91"/>
        <v>46.67861111111111</v>
      </c>
      <c r="AN220" s="2">
        <f t="shared" si="91"/>
        <v>51.784333333333336</v>
      </c>
      <c r="AO220" s="2">
        <f t="shared" si="91"/>
        <v>67.539500000000004</v>
      </c>
      <c r="AP220" s="2">
        <f t="shared" si="91"/>
        <v>45.822555555555567</v>
      </c>
      <c r="AQ220" s="2">
        <f t="shared" si="91"/>
        <v>52.383666666666663</v>
      </c>
      <c r="AR220" s="2">
        <f t="shared" si="91"/>
        <v>52.884666666666661</v>
      </c>
      <c r="AS220" s="2">
        <f t="shared" si="91"/>
        <v>58.442166666666665</v>
      </c>
      <c r="AT220" s="2">
        <f t="shared" si="91"/>
        <v>62.768499999999996</v>
      </c>
      <c r="AU220" s="2">
        <f t="shared" si="91"/>
        <v>46.67861111111111</v>
      </c>
      <c r="AV220" s="2">
        <f t="shared" si="91"/>
        <v>70.207055555555542</v>
      </c>
      <c r="AW220" s="2">
        <f t="shared" si="91"/>
        <v>58.442833333333333</v>
      </c>
      <c r="AX220" s="2">
        <f t="shared" si="91"/>
        <v>33.092166666666671</v>
      </c>
      <c r="AY220" s="2">
        <f t="shared" si="91"/>
        <v>58.442166666666665</v>
      </c>
      <c r="AZ220" s="2">
        <f>(Q220+AI220)/2</f>
        <v>17.003166666666665</v>
      </c>
    </row>
    <row r="221" spans="1:52" x14ac:dyDescent="0.25">
      <c r="A221" s="1"/>
      <c r="B221" s="2">
        <f>_xlfn.STDEV.S(B217:B219)</f>
        <v>0.93115913426940289</v>
      </c>
      <c r="C221" s="2">
        <f t="shared" ref="C221:Q221" si="92">_xlfn.STDEV.S(C217:C219)</f>
        <v>0.58615384783633562</v>
      </c>
      <c r="D221" s="2">
        <f t="shared" si="92"/>
        <v>4.8805586087387329</v>
      </c>
      <c r="E221" s="2">
        <f t="shared" si="92"/>
        <v>4.0256044266668836</v>
      </c>
      <c r="F221" s="2">
        <f t="shared" si="92"/>
        <v>0.93869288552396413</v>
      </c>
      <c r="G221" s="2">
        <f t="shared" si="92"/>
        <v>5.5192228015666691</v>
      </c>
      <c r="H221" s="2">
        <f t="shared" si="92"/>
        <v>4.6751203549570093</v>
      </c>
      <c r="I221" s="2">
        <f t="shared" si="92"/>
        <v>1.6919888691517233</v>
      </c>
      <c r="J221" s="2">
        <f t="shared" si="92"/>
        <v>0.74832635483011933</v>
      </c>
      <c r="K221" s="2">
        <f t="shared" si="92"/>
        <v>1.13755014541484</v>
      </c>
      <c r="L221" s="2">
        <f t="shared" si="92"/>
        <v>4.8805586087387329</v>
      </c>
      <c r="M221" s="2">
        <f t="shared" si="92"/>
        <v>3.5150736834382208</v>
      </c>
      <c r="N221" s="2">
        <f t="shared" si="92"/>
        <v>0.74834222340673151</v>
      </c>
      <c r="O221" s="2">
        <f t="shared" si="92"/>
        <v>8.6747827830633799</v>
      </c>
      <c r="P221" s="2">
        <f t="shared" si="92"/>
        <v>0.74832635483011933</v>
      </c>
      <c r="Q221" s="2">
        <f t="shared" si="92"/>
        <v>0.80084101626560988</v>
      </c>
      <c r="S221" s="1"/>
      <c r="T221" s="2">
        <f>_xlfn.STDEV.S(T217:T219)</f>
        <v>1.007401773540898</v>
      </c>
      <c r="U221" s="2">
        <f t="shared" ref="U221:AI221" si="93">_xlfn.STDEV.S(U217:U219)</f>
        <v>3.741117381112125</v>
      </c>
      <c r="V221" s="2">
        <f t="shared" si="93"/>
        <v>18.899078338295677</v>
      </c>
      <c r="W221" s="2">
        <f t="shared" si="93"/>
        <v>9.055296945864189</v>
      </c>
      <c r="X221" s="2">
        <f t="shared" si="93"/>
        <v>4.023895638695306</v>
      </c>
      <c r="Y221" s="2">
        <f t="shared" si="93"/>
        <v>18.463658474399335</v>
      </c>
      <c r="Z221" s="2">
        <f t="shared" si="93"/>
        <v>10.936930683595794</v>
      </c>
      <c r="AA221" s="2">
        <f t="shared" si="93"/>
        <v>3.2266085566392713</v>
      </c>
      <c r="AB221" s="2">
        <f t="shared" si="93"/>
        <v>1.355840247882385</v>
      </c>
      <c r="AC221" s="2">
        <f t="shared" si="93"/>
        <v>0.23729962307410785</v>
      </c>
      <c r="AD221" s="2">
        <f t="shared" si="93"/>
        <v>18.899078338295677</v>
      </c>
      <c r="AE221" s="2">
        <f t="shared" si="93"/>
        <v>17.173890901706134</v>
      </c>
      <c r="AF221" s="2">
        <f t="shared" si="93"/>
        <v>1.3583364008145333</v>
      </c>
      <c r="AG221" s="2">
        <f t="shared" si="93"/>
        <v>21.086970107944229</v>
      </c>
      <c r="AH221" s="2">
        <f t="shared" si="93"/>
        <v>1.355840247882385</v>
      </c>
      <c r="AI221" s="2">
        <f t="shared" si="93"/>
        <v>1.4031244896064392</v>
      </c>
      <c r="AK221" s="2">
        <f>(B221+T221)/2</f>
        <v>0.9692804539051505</v>
      </c>
      <c r="AL221" s="2">
        <f t="shared" si="91"/>
        <v>2.1636356144742304</v>
      </c>
      <c r="AM221" s="2">
        <f t="shared" si="91"/>
        <v>11.889818473517206</v>
      </c>
      <c r="AN221" s="2">
        <f t="shared" si="91"/>
        <v>6.5404506862655367</v>
      </c>
      <c r="AO221" s="2">
        <f t="shared" si="91"/>
        <v>2.481294262109635</v>
      </c>
      <c r="AP221" s="2">
        <f t="shared" si="91"/>
        <v>11.991440637983002</v>
      </c>
      <c r="AQ221" s="2">
        <f t="shared" si="91"/>
        <v>7.8060255192764014</v>
      </c>
      <c r="AR221" s="2">
        <f t="shared" si="91"/>
        <v>2.4592987128954973</v>
      </c>
      <c r="AS221" s="2">
        <f t="shared" si="91"/>
        <v>1.0520833013562521</v>
      </c>
      <c r="AT221" s="2">
        <f t="shared" si="91"/>
        <v>0.6874248842444739</v>
      </c>
      <c r="AU221" s="2">
        <f t="shared" si="91"/>
        <v>11.889818473517206</v>
      </c>
      <c r="AV221" s="2">
        <f t="shared" si="91"/>
        <v>10.344482292572177</v>
      </c>
      <c r="AW221" s="2">
        <f t="shared" si="91"/>
        <v>1.0533393121106325</v>
      </c>
      <c r="AX221" s="2">
        <f t="shared" si="91"/>
        <v>14.880876445503805</v>
      </c>
      <c r="AY221" s="2">
        <f t="shared" si="91"/>
        <v>1.0520833013562521</v>
      </c>
      <c r="AZ221" s="2">
        <f t="shared" si="91"/>
        <v>1.1019827529360247</v>
      </c>
    </row>
    <row r="222" spans="1:52" x14ac:dyDescent="0.25">
      <c r="A222" s="1"/>
      <c r="S222" s="1"/>
    </row>
    <row r="223" spans="1:52" x14ac:dyDescent="0.25">
      <c r="A223" s="1" t="s">
        <v>25</v>
      </c>
      <c r="B223">
        <v>59.482000000000006</v>
      </c>
      <c r="C223">
        <v>68.72199999999998</v>
      </c>
      <c r="D223">
        <v>37.657000000000004</v>
      </c>
      <c r="E223">
        <v>36.730000000000004</v>
      </c>
      <c r="F223">
        <v>55.14200000000001</v>
      </c>
      <c r="G223">
        <v>35.280000000000008</v>
      </c>
      <c r="H223">
        <v>41.478000000000002</v>
      </c>
      <c r="I223">
        <v>38.9</v>
      </c>
      <c r="J223">
        <v>50.364000000000004</v>
      </c>
      <c r="K223">
        <v>49.793999999999997</v>
      </c>
      <c r="L223">
        <v>37.657000000000004</v>
      </c>
      <c r="M223">
        <v>63.066999999999993</v>
      </c>
      <c r="N223">
        <v>50.362000000000002</v>
      </c>
      <c r="O223">
        <v>27.608000000000004</v>
      </c>
      <c r="P223">
        <v>50.364000000000004</v>
      </c>
      <c r="Q223">
        <v>1.1420000000000001</v>
      </c>
      <c r="S223" s="1" t="s">
        <v>25</v>
      </c>
      <c r="T223">
        <v>58.491666666666674</v>
      </c>
      <c r="U223">
        <v>54.818333333333335</v>
      </c>
      <c r="V223">
        <v>61.013333333333328</v>
      </c>
      <c r="W223">
        <v>55.411666666666669</v>
      </c>
      <c r="X223">
        <v>55.786666666666669</v>
      </c>
      <c r="Y223">
        <v>60.936666666666667</v>
      </c>
      <c r="Z223">
        <v>56.786666666666662</v>
      </c>
      <c r="AA223">
        <v>44.016666666666659</v>
      </c>
      <c r="AB223">
        <v>49.633333333333326</v>
      </c>
      <c r="AC223">
        <v>50.156666666666666</v>
      </c>
      <c r="AD223">
        <v>61.013333333333328</v>
      </c>
      <c r="AE223">
        <v>38.255000000000003</v>
      </c>
      <c r="AF223">
        <v>49.634166666666658</v>
      </c>
      <c r="AG223">
        <v>31.429999999999996</v>
      </c>
      <c r="AH223">
        <v>49.633333333333326</v>
      </c>
      <c r="AI223">
        <v>-1.0966666666666667</v>
      </c>
    </row>
    <row r="224" spans="1:52" x14ac:dyDescent="0.25">
      <c r="A224" s="1"/>
      <c r="B224">
        <v>59.341999999999999</v>
      </c>
      <c r="C224">
        <v>59.811999999999991</v>
      </c>
      <c r="D224">
        <v>60.444000000000003</v>
      </c>
      <c r="E224">
        <v>54.669999999999995</v>
      </c>
      <c r="F224">
        <v>61.439</v>
      </c>
      <c r="G224">
        <v>63.125999999999998</v>
      </c>
      <c r="H224">
        <v>61.380999999999993</v>
      </c>
      <c r="I224">
        <v>44.135000000000005</v>
      </c>
      <c r="J224">
        <v>49.735999999999997</v>
      </c>
      <c r="K224">
        <v>49.350000000000009</v>
      </c>
      <c r="L224">
        <v>60.444000000000003</v>
      </c>
      <c r="M224">
        <v>39.031000000000006</v>
      </c>
      <c r="N224">
        <v>49.737499999999997</v>
      </c>
      <c r="O224">
        <v>26.183000000000003</v>
      </c>
      <c r="P224">
        <v>49.735999999999997</v>
      </c>
      <c r="Q224">
        <v>-0.76199999999999957</v>
      </c>
      <c r="S224" s="1"/>
      <c r="T224">
        <v>55.97</v>
      </c>
      <c r="U224">
        <v>54.981666666666662</v>
      </c>
      <c r="V224">
        <v>31.04666666666667</v>
      </c>
      <c r="W224">
        <v>39.268333333333338</v>
      </c>
      <c r="X224">
        <v>51.155000000000001</v>
      </c>
      <c r="Y224">
        <v>29.408333333333331</v>
      </c>
      <c r="Z224">
        <v>36.57833333333334</v>
      </c>
      <c r="AA224">
        <v>40.553333333333335</v>
      </c>
      <c r="AB224">
        <v>48.835000000000001</v>
      </c>
      <c r="AC224">
        <v>48.201666666666661</v>
      </c>
      <c r="AD224">
        <v>31.04666666666667</v>
      </c>
      <c r="AE224">
        <v>66.625</v>
      </c>
      <c r="AF224">
        <v>48.835833333333333</v>
      </c>
      <c r="AG224">
        <v>35.576666666666668</v>
      </c>
      <c r="AH224">
        <v>48.835000000000001</v>
      </c>
      <c r="AI224">
        <v>-3.0783333333333331</v>
      </c>
    </row>
    <row r="225" spans="1:52" x14ac:dyDescent="0.25">
      <c r="A225" s="1"/>
      <c r="B225">
        <v>60.883000000000003</v>
      </c>
      <c r="C225">
        <v>60.395000000000003</v>
      </c>
      <c r="D225">
        <v>43.323</v>
      </c>
      <c r="E225">
        <v>44.127000000000002</v>
      </c>
      <c r="F225">
        <v>56.708000000000006</v>
      </c>
      <c r="G225">
        <v>42.035000000000004</v>
      </c>
      <c r="H225">
        <v>47.081999999999994</v>
      </c>
      <c r="I225">
        <v>40.774999999999999</v>
      </c>
      <c r="J225">
        <v>50.119</v>
      </c>
      <c r="K225">
        <v>51.106999999999999</v>
      </c>
      <c r="L225">
        <v>43.323</v>
      </c>
      <c r="M225">
        <v>56.914999999999999</v>
      </c>
      <c r="N225">
        <v>50.119</v>
      </c>
      <c r="O225">
        <v>25.712</v>
      </c>
      <c r="P225">
        <v>50.119</v>
      </c>
      <c r="Q225">
        <v>0.51199999999999979</v>
      </c>
      <c r="S225" s="1"/>
      <c r="T225">
        <v>57.668333333333322</v>
      </c>
      <c r="U225">
        <v>57.246666666666663</v>
      </c>
      <c r="V225">
        <v>42.426666666666669</v>
      </c>
      <c r="W225">
        <v>43.819999999999993</v>
      </c>
      <c r="X225">
        <v>53.843333333333334</v>
      </c>
      <c r="Y225">
        <v>40.906666666666673</v>
      </c>
      <c r="Z225">
        <v>45.82</v>
      </c>
      <c r="AA225">
        <v>43.660000000000004</v>
      </c>
      <c r="AB225">
        <v>50.204999999999991</v>
      </c>
      <c r="AC225">
        <v>50.610000000000007</v>
      </c>
      <c r="AD225">
        <v>42.426666666666669</v>
      </c>
      <c r="AE225">
        <v>57.984999999999992</v>
      </c>
      <c r="AF225">
        <v>50.205833333333338</v>
      </c>
      <c r="AG225">
        <v>17.346666666666668</v>
      </c>
      <c r="AH225">
        <v>50.204999999999991</v>
      </c>
      <c r="AI225">
        <v>2.4999999999999949E-2</v>
      </c>
    </row>
    <row r="226" spans="1:52" x14ac:dyDescent="0.25">
      <c r="A226" s="1"/>
      <c r="B226" s="2">
        <f>AVERAGE(B223:B225)</f>
        <v>59.902333333333338</v>
      </c>
      <c r="C226" s="2">
        <f t="shared" ref="C226:Q226" si="94">AVERAGE(C223:C225)</f>
        <v>62.976333333333322</v>
      </c>
      <c r="D226" s="2">
        <f t="shared" si="94"/>
        <v>47.141333333333336</v>
      </c>
      <c r="E226" s="2">
        <f t="shared" si="94"/>
        <v>45.175666666666672</v>
      </c>
      <c r="F226" s="2">
        <f t="shared" si="94"/>
        <v>57.763000000000005</v>
      </c>
      <c r="G226" s="2">
        <f t="shared" si="94"/>
        <v>46.81366666666667</v>
      </c>
      <c r="H226" s="2">
        <f t="shared" si="94"/>
        <v>49.980333333333327</v>
      </c>
      <c r="I226" s="2">
        <f t="shared" si="94"/>
        <v>41.27</v>
      </c>
      <c r="J226" s="2">
        <f t="shared" si="94"/>
        <v>50.073</v>
      </c>
      <c r="K226" s="2">
        <f t="shared" si="94"/>
        <v>50.083666666666666</v>
      </c>
      <c r="L226" s="2">
        <f t="shared" si="94"/>
        <v>47.141333333333336</v>
      </c>
      <c r="M226" s="2">
        <f t="shared" si="94"/>
        <v>53.004333333333335</v>
      </c>
      <c r="N226" s="2">
        <f t="shared" si="94"/>
        <v>50.072833333333335</v>
      </c>
      <c r="O226" s="2">
        <f t="shared" si="94"/>
        <v>26.501000000000005</v>
      </c>
      <c r="P226" s="2">
        <f t="shared" si="94"/>
        <v>50.073</v>
      </c>
      <c r="Q226" s="2">
        <f t="shared" si="94"/>
        <v>0.29733333333333345</v>
      </c>
      <c r="S226" s="1"/>
      <c r="T226" s="2">
        <f>AVERAGE(T223:T225)</f>
        <v>57.376666666666665</v>
      </c>
      <c r="U226" s="2">
        <f t="shared" ref="U226:AI226" si="95">AVERAGE(U223:U225)</f>
        <v>55.682222222222215</v>
      </c>
      <c r="V226" s="2">
        <f t="shared" si="95"/>
        <v>44.828888888888891</v>
      </c>
      <c r="W226" s="2">
        <f t="shared" si="95"/>
        <v>46.166666666666664</v>
      </c>
      <c r="X226" s="2">
        <f t="shared" si="95"/>
        <v>53.594999999999999</v>
      </c>
      <c r="Y226" s="2">
        <f t="shared" si="95"/>
        <v>43.750555555555557</v>
      </c>
      <c r="Z226" s="2">
        <f t="shared" si="95"/>
        <v>46.395000000000003</v>
      </c>
      <c r="AA226" s="2">
        <f t="shared" si="95"/>
        <v>42.743333333333332</v>
      </c>
      <c r="AB226" s="2">
        <f t="shared" si="95"/>
        <v>49.557777777777773</v>
      </c>
      <c r="AC226" s="2">
        <f t="shared" si="95"/>
        <v>49.656111111111109</v>
      </c>
      <c r="AD226" s="2">
        <f t="shared" si="95"/>
        <v>44.828888888888891</v>
      </c>
      <c r="AE226" s="2">
        <f t="shared" si="95"/>
        <v>54.288333333333327</v>
      </c>
      <c r="AF226" s="2">
        <f t="shared" si="95"/>
        <v>49.558611111111112</v>
      </c>
      <c r="AG226" s="2">
        <f t="shared" si="95"/>
        <v>28.117777777777775</v>
      </c>
      <c r="AH226" s="2">
        <f t="shared" si="95"/>
        <v>49.557777777777773</v>
      </c>
      <c r="AI226" s="2">
        <f t="shared" si="95"/>
        <v>-1.3833333333333331</v>
      </c>
      <c r="AK226" s="2">
        <f>(B226+T226)/2</f>
        <v>58.639499999999998</v>
      </c>
      <c r="AL226" s="2">
        <f t="shared" ref="AL226:AZ227" si="96">(C226+U226)/2</f>
        <v>59.329277777777769</v>
      </c>
      <c r="AM226" s="2">
        <f t="shared" si="96"/>
        <v>45.985111111111109</v>
      </c>
      <c r="AN226" s="2">
        <f t="shared" si="96"/>
        <v>45.671166666666664</v>
      </c>
      <c r="AO226" s="2">
        <f t="shared" si="96"/>
        <v>55.679000000000002</v>
      </c>
      <c r="AP226" s="2">
        <f t="shared" si="96"/>
        <v>45.282111111111114</v>
      </c>
      <c r="AQ226" s="2">
        <f t="shared" si="96"/>
        <v>48.187666666666665</v>
      </c>
      <c r="AR226" s="2">
        <f t="shared" si="96"/>
        <v>42.006666666666668</v>
      </c>
      <c r="AS226" s="2">
        <f t="shared" si="96"/>
        <v>49.81538888888889</v>
      </c>
      <c r="AT226" s="2">
        <f t="shared" si="96"/>
        <v>49.869888888888887</v>
      </c>
      <c r="AU226" s="2">
        <f t="shared" si="96"/>
        <v>45.985111111111109</v>
      </c>
      <c r="AV226" s="2">
        <f t="shared" si="96"/>
        <v>53.646333333333331</v>
      </c>
      <c r="AW226" s="2">
        <f t="shared" si="96"/>
        <v>49.81572222222222</v>
      </c>
      <c r="AX226" s="2">
        <f t="shared" si="96"/>
        <v>27.30938888888889</v>
      </c>
      <c r="AY226" s="2">
        <f t="shared" si="96"/>
        <v>49.81538888888889</v>
      </c>
      <c r="AZ226" s="2">
        <f>(Q226+AI226)/2</f>
        <v>-0.54299999999999982</v>
      </c>
    </row>
    <row r="227" spans="1:52" x14ac:dyDescent="0.25">
      <c r="A227" s="1"/>
      <c r="B227" s="2">
        <f>_xlfn.STDEV.S(B223:B225)</f>
        <v>0.85216215201881262</v>
      </c>
      <c r="C227" s="2">
        <f t="shared" ref="C227:Q227" si="97">_xlfn.STDEV.S(C223:C225)</f>
        <v>4.9844243733186726</v>
      </c>
      <c r="D227" s="2">
        <f t="shared" si="97"/>
        <v>11.863666985099238</v>
      </c>
      <c r="E227" s="2">
        <f t="shared" si="97"/>
        <v>9.0158569383798479</v>
      </c>
      <c r="F227" s="2">
        <f t="shared" si="97"/>
        <v>3.2783869509257095</v>
      </c>
      <c r="G227" s="2">
        <f t="shared" si="97"/>
        <v>14.525035983891174</v>
      </c>
      <c r="H227" s="2">
        <f t="shared" si="97"/>
        <v>10.263167363603406</v>
      </c>
      <c r="I227" s="2">
        <f t="shared" si="97"/>
        <v>2.6523715803031855</v>
      </c>
      <c r="J227" s="2">
        <f t="shared" si="97"/>
        <v>0.31651698216683766</v>
      </c>
      <c r="K227" s="2">
        <f t="shared" si="97"/>
        <v>0.91361498090460802</v>
      </c>
      <c r="L227" s="2">
        <f t="shared" si="97"/>
        <v>11.863666985099238</v>
      </c>
      <c r="M227" s="2">
        <f t="shared" si="97"/>
        <v>12.486084627830035</v>
      </c>
      <c r="N227" s="2">
        <f t="shared" si="97"/>
        <v>0.31479927467091601</v>
      </c>
      <c r="O227" s="2">
        <f t="shared" si="97"/>
        <v>0.98719147078973668</v>
      </c>
      <c r="P227" s="2">
        <f t="shared" si="97"/>
        <v>0.31651698216683766</v>
      </c>
      <c r="Q227" s="2">
        <f t="shared" si="97"/>
        <v>0.96998213041959325</v>
      </c>
      <c r="S227" s="1"/>
      <c r="T227" s="2">
        <f>_xlfn.STDEV.S(T223:T225)</f>
        <v>1.285885989416552</v>
      </c>
      <c r="U227" s="2">
        <f t="shared" ref="U227:AI227" si="98">_xlfn.STDEV.S(U223:U225)</f>
        <v>1.3573077246001566</v>
      </c>
      <c r="V227" s="2">
        <f t="shared" si="98"/>
        <v>15.127071146837418</v>
      </c>
      <c r="W227" s="2">
        <f t="shared" si="98"/>
        <v>8.3235771223141199</v>
      </c>
      <c r="X227" s="2">
        <f t="shared" si="98"/>
        <v>2.3257979514805482</v>
      </c>
      <c r="Y227" s="2">
        <f t="shared" si="98"/>
        <v>15.955398105459601</v>
      </c>
      <c r="Z227" s="2">
        <f t="shared" si="98"/>
        <v>10.116429843466408</v>
      </c>
      <c r="AA227" s="2">
        <f t="shared" si="98"/>
        <v>1.9049613586048848</v>
      </c>
      <c r="AB227" s="2">
        <f t="shared" si="98"/>
        <v>0.68811807234040478</v>
      </c>
      <c r="AC227" s="2">
        <f t="shared" si="98"/>
        <v>1.279818057092208</v>
      </c>
      <c r="AD227" s="2">
        <f t="shared" si="98"/>
        <v>15.127071146837418</v>
      </c>
      <c r="AE227" s="2">
        <f t="shared" si="98"/>
        <v>14.541775453270272</v>
      </c>
      <c r="AF227" s="2">
        <f t="shared" si="98"/>
        <v>0.68811807234041145</v>
      </c>
      <c r="AG227" s="2">
        <f t="shared" si="98"/>
        <v>9.555696575186813</v>
      </c>
      <c r="AH227" s="2">
        <f t="shared" si="98"/>
        <v>0.68811807234040478</v>
      </c>
      <c r="AI227" s="2">
        <f t="shared" si="98"/>
        <v>1.571401532956417</v>
      </c>
      <c r="AK227" s="2">
        <f>(B227+T227)/2</f>
        <v>1.0690240707176824</v>
      </c>
      <c r="AL227" s="2">
        <f t="shared" si="96"/>
        <v>3.1708660489594145</v>
      </c>
      <c r="AM227" s="2">
        <f t="shared" si="96"/>
        <v>13.495369065968328</v>
      </c>
      <c r="AN227" s="2">
        <f t="shared" si="96"/>
        <v>8.6697170303469839</v>
      </c>
      <c r="AO227" s="2">
        <f t="shared" si="96"/>
        <v>2.8020924512031291</v>
      </c>
      <c r="AP227" s="2">
        <f t="shared" si="96"/>
        <v>15.240217044675386</v>
      </c>
      <c r="AQ227" s="2">
        <f t="shared" si="96"/>
        <v>10.189798603534907</v>
      </c>
      <c r="AR227" s="2">
        <f t="shared" si="96"/>
        <v>2.2786664694540351</v>
      </c>
      <c r="AS227" s="2">
        <f t="shared" si="96"/>
        <v>0.50231752725362122</v>
      </c>
      <c r="AT227" s="2">
        <f t="shared" si="96"/>
        <v>1.0967165189984081</v>
      </c>
      <c r="AU227" s="2">
        <f t="shared" si="96"/>
        <v>13.495369065968328</v>
      </c>
      <c r="AV227" s="2">
        <f t="shared" si="96"/>
        <v>13.513930040550154</v>
      </c>
      <c r="AW227" s="2">
        <f t="shared" si="96"/>
        <v>0.50145867350566375</v>
      </c>
      <c r="AX227" s="2">
        <f t="shared" si="96"/>
        <v>5.2714440229882751</v>
      </c>
      <c r="AY227" s="2">
        <f t="shared" si="96"/>
        <v>0.50231752725362122</v>
      </c>
      <c r="AZ227" s="2">
        <f t="shared" si="96"/>
        <v>1.2706918316880051</v>
      </c>
    </row>
    <row r="228" spans="1:52" x14ac:dyDescent="0.25">
      <c r="A228" s="1"/>
      <c r="S228" s="1"/>
    </row>
    <row r="229" spans="1:52" x14ac:dyDescent="0.25">
      <c r="A229" s="1" t="s">
        <v>26</v>
      </c>
      <c r="B229">
        <v>67.958999999999989</v>
      </c>
      <c r="C229">
        <v>70.018000000000001</v>
      </c>
      <c r="D229">
        <v>52.930999999999997</v>
      </c>
      <c r="E229">
        <v>51.426000000000009</v>
      </c>
      <c r="F229">
        <v>65.976000000000013</v>
      </c>
      <c r="G229">
        <v>54.927</v>
      </c>
      <c r="H229">
        <v>58.693999999999996</v>
      </c>
      <c r="I229">
        <v>46.664000000000009</v>
      </c>
      <c r="J229">
        <v>55.871999999999993</v>
      </c>
      <c r="K229">
        <v>63.857000000000006</v>
      </c>
      <c r="L229">
        <v>52.930999999999997</v>
      </c>
      <c r="M229">
        <v>58.814000000000007</v>
      </c>
      <c r="N229">
        <v>55.872499999999988</v>
      </c>
      <c r="O229">
        <v>12.679</v>
      </c>
      <c r="P229">
        <v>55.871999999999993</v>
      </c>
      <c r="Q229">
        <v>13.206999999999999</v>
      </c>
      <c r="S229" s="1" t="s">
        <v>26</v>
      </c>
      <c r="T229">
        <v>71.168333333333337</v>
      </c>
      <c r="U229">
        <v>67.568333333333328</v>
      </c>
      <c r="V229">
        <v>65.94</v>
      </c>
      <c r="W229">
        <v>57.678333333333335</v>
      </c>
      <c r="X229">
        <v>63.456666666666671</v>
      </c>
      <c r="Y229">
        <v>69.62833333333333</v>
      </c>
      <c r="Z229">
        <v>66.271666666666661</v>
      </c>
      <c r="AA229">
        <v>46.448333333333331</v>
      </c>
      <c r="AB229">
        <v>54.651666666666664</v>
      </c>
      <c r="AC229">
        <v>68.36</v>
      </c>
      <c r="AD229">
        <v>65.94</v>
      </c>
      <c r="AE229">
        <v>43.366666666666667</v>
      </c>
      <c r="AF229">
        <v>54.653333333333336</v>
      </c>
      <c r="AG229">
        <v>22.613333333333333</v>
      </c>
      <c r="AH229">
        <v>54.651666666666664</v>
      </c>
      <c r="AI229">
        <v>12.556666666666667</v>
      </c>
    </row>
    <row r="230" spans="1:52" x14ac:dyDescent="0.25">
      <c r="B230">
        <v>69.608999999999995</v>
      </c>
      <c r="C230">
        <v>71.018999999999991</v>
      </c>
      <c r="D230">
        <v>58.967999999999996</v>
      </c>
      <c r="E230">
        <v>54.906999999999996</v>
      </c>
      <c r="F230">
        <v>66.748000000000019</v>
      </c>
      <c r="G230">
        <v>59.442999999999998</v>
      </c>
      <c r="H230">
        <v>61.403999999999996</v>
      </c>
      <c r="I230">
        <v>49.06</v>
      </c>
      <c r="J230">
        <v>58.654000000000011</v>
      </c>
      <c r="K230">
        <v>66.218999999999994</v>
      </c>
      <c r="L230">
        <v>58.967999999999996</v>
      </c>
      <c r="M230">
        <v>58.338999999999999</v>
      </c>
      <c r="N230">
        <v>58.653500000000008</v>
      </c>
      <c r="O230">
        <v>16.698</v>
      </c>
      <c r="P230">
        <v>58.654000000000011</v>
      </c>
      <c r="Q230">
        <v>20.197999999999997</v>
      </c>
      <c r="T230">
        <v>70.75</v>
      </c>
      <c r="U230">
        <v>61.744999999999997</v>
      </c>
      <c r="V230">
        <v>70.056666666666658</v>
      </c>
      <c r="W230">
        <v>60.771666666666668</v>
      </c>
      <c r="X230">
        <v>60.879999999999995</v>
      </c>
      <c r="Y230">
        <v>71.206666666666663</v>
      </c>
      <c r="Z230">
        <v>65.424999999999997</v>
      </c>
      <c r="AA230">
        <v>48.414999999999999</v>
      </c>
      <c r="AB230">
        <v>56.12</v>
      </c>
      <c r="AC230">
        <v>66.911666666666676</v>
      </c>
      <c r="AD230">
        <v>70.056666666666658</v>
      </c>
      <c r="AE230">
        <v>42.178333333333335</v>
      </c>
      <c r="AF230">
        <v>56.1175</v>
      </c>
      <c r="AG230">
        <v>27.87833333333333</v>
      </c>
      <c r="AH230">
        <v>56.12</v>
      </c>
      <c r="AI230">
        <v>16.59333333333333</v>
      </c>
    </row>
    <row r="231" spans="1:52" x14ac:dyDescent="0.25">
      <c r="B231">
        <v>69.644000000000005</v>
      </c>
      <c r="C231">
        <v>66.700999999999993</v>
      </c>
      <c r="D231">
        <v>62.631999999999991</v>
      </c>
      <c r="E231">
        <v>56.701000000000001</v>
      </c>
      <c r="F231">
        <v>63.298999999999999</v>
      </c>
      <c r="G231">
        <v>63.61399999999999</v>
      </c>
      <c r="H231">
        <v>62.454999999999998</v>
      </c>
      <c r="I231">
        <v>45.198999999999998</v>
      </c>
      <c r="J231">
        <v>54.936</v>
      </c>
      <c r="K231">
        <v>64.790000000000006</v>
      </c>
      <c r="L231">
        <v>62.631999999999991</v>
      </c>
      <c r="M231">
        <v>47.238999999999997</v>
      </c>
      <c r="N231">
        <v>54.935500000000005</v>
      </c>
      <c r="O231">
        <v>22.594999999999999</v>
      </c>
      <c r="P231">
        <v>54.936</v>
      </c>
      <c r="Q231">
        <v>10.708</v>
      </c>
      <c r="T231">
        <v>71.040000000000006</v>
      </c>
      <c r="U231">
        <v>64.191666666666663</v>
      </c>
      <c r="V231">
        <v>74.441666666666663</v>
      </c>
      <c r="W231">
        <v>61.791666666666664</v>
      </c>
      <c r="X231">
        <v>61.338333333333338</v>
      </c>
      <c r="Y231">
        <v>76.766666666666666</v>
      </c>
      <c r="Z231">
        <v>67.353333333333339</v>
      </c>
      <c r="AA231">
        <v>47.384999999999998</v>
      </c>
      <c r="AB231">
        <v>55.268333333333338</v>
      </c>
      <c r="AC231">
        <v>65.541666666666657</v>
      </c>
      <c r="AD231">
        <v>74.441666666666663</v>
      </c>
      <c r="AE231">
        <v>36.089999999999996</v>
      </c>
      <c r="AF231">
        <v>55.265833333333326</v>
      </c>
      <c r="AG231">
        <v>42.333333333333336</v>
      </c>
      <c r="AH231">
        <v>55.268333333333338</v>
      </c>
      <c r="AI231">
        <v>14.694999999999999</v>
      </c>
    </row>
    <row r="232" spans="1:52" x14ac:dyDescent="0.25">
      <c r="B232" s="2">
        <f>AVERAGE(B229:B231)</f>
        <v>69.070666666666668</v>
      </c>
      <c r="C232" s="2">
        <f t="shared" ref="C232:Q232" si="99">AVERAGE(C229:C231)</f>
        <v>69.245999999999995</v>
      </c>
      <c r="D232" s="2">
        <f t="shared" si="99"/>
        <v>58.177</v>
      </c>
      <c r="E232" s="2">
        <f t="shared" si="99"/>
        <v>54.344666666666662</v>
      </c>
      <c r="F232" s="2">
        <f t="shared" si="99"/>
        <v>65.341000000000022</v>
      </c>
      <c r="G232" s="2">
        <f t="shared" si="99"/>
        <v>59.327999999999996</v>
      </c>
      <c r="H232" s="2">
        <f t="shared" si="99"/>
        <v>60.850999999999999</v>
      </c>
      <c r="I232" s="2">
        <f t="shared" si="99"/>
        <v>46.974333333333334</v>
      </c>
      <c r="J232" s="2">
        <f t="shared" si="99"/>
        <v>56.487333333333339</v>
      </c>
      <c r="K232" s="2">
        <f t="shared" si="99"/>
        <v>64.955333333333328</v>
      </c>
      <c r="L232" s="2">
        <f t="shared" si="99"/>
        <v>58.177</v>
      </c>
      <c r="M232" s="2">
        <f t="shared" si="99"/>
        <v>54.797333333333334</v>
      </c>
      <c r="N232" s="2">
        <f t="shared" si="99"/>
        <v>56.487166666666667</v>
      </c>
      <c r="O232" s="2">
        <f t="shared" si="99"/>
        <v>17.324000000000002</v>
      </c>
      <c r="P232" s="2">
        <f t="shared" si="99"/>
        <v>56.487333333333339</v>
      </c>
      <c r="Q232" s="2">
        <f t="shared" si="99"/>
        <v>14.704333333333331</v>
      </c>
      <c r="T232" s="2">
        <f>AVERAGE(T229:T231)</f>
        <v>70.986111111111128</v>
      </c>
      <c r="U232" s="2">
        <f t="shared" ref="U232:AI232" si="100">AVERAGE(U229:U231)</f>
        <v>64.501666666666665</v>
      </c>
      <c r="V232" s="2">
        <f t="shared" si="100"/>
        <v>70.146111111111111</v>
      </c>
      <c r="W232" s="2">
        <f t="shared" si="100"/>
        <v>60.080555555555556</v>
      </c>
      <c r="X232" s="2">
        <f t="shared" si="100"/>
        <v>61.891666666666673</v>
      </c>
      <c r="Y232" s="2">
        <f t="shared" si="100"/>
        <v>72.533888888888882</v>
      </c>
      <c r="Z232" s="2">
        <f t="shared" si="100"/>
        <v>66.350000000000009</v>
      </c>
      <c r="AA232" s="2">
        <f t="shared" si="100"/>
        <v>47.416111111111114</v>
      </c>
      <c r="AB232" s="2">
        <f t="shared" si="100"/>
        <v>55.346666666666664</v>
      </c>
      <c r="AC232" s="2">
        <f t="shared" si="100"/>
        <v>66.937777777777782</v>
      </c>
      <c r="AD232" s="2">
        <f t="shared" si="100"/>
        <v>70.146111111111111</v>
      </c>
      <c r="AE232" s="2">
        <f t="shared" si="100"/>
        <v>40.544999999999995</v>
      </c>
      <c r="AF232" s="2">
        <f t="shared" si="100"/>
        <v>55.345555555555556</v>
      </c>
      <c r="AG232" s="2">
        <f t="shared" si="100"/>
        <v>30.941666666666663</v>
      </c>
      <c r="AH232" s="2">
        <f t="shared" si="100"/>
        <v>55.346666666666664</v>
      </c>
      <c r="AI232" s="2">
        <f t="shared" si="100"/>
        <v>14.615</v>
      </c>
      <c r="AK232" s="2">
        <f>(B232+T232)/2</f>
        <v>70.028388888888898</v>
      </c>
      <c r="AL232" s="2">
        <f t="shared" ref="AL232:AZ233" si="101">(C232+U232)/2</f>
        <v>66.873833333333323</v>
      </c>
      <c r="AM232" s="2">
        <f t="shared" si="101"/>
        <v>64.161555555555552</v>
      </c>
      <c r="AN232" s="2">
        <f t="shared" si="101"/>
        <v>57.212611111111109</v>
      </c>
      <c r="AO232" s="2">
        <f t="shared" si="101"/>
        <v>63.616333333333344</v>
      </c>
      <c r="AP232" s="2">
        <f t="shared" si="101"/>
        <v>65.930944444444435</v>
      </c>
      <c r="AQ232" s="2">
        <f t="shared" si="101"/>
        <v>63.600500000000004</v>
      </c>
      <c r="AR232" s="2">
        <f t="shared" si="101"/>
        <v>47.195222222222228</v>
      </c>
      <c r="AS232" s="2">
        <f t="shared" si="101"/>
        <v>55.917000000000002</v>
      </c>
      <c r="AT232" s="2">
        <f t="shared" si="101"/>
        <v>65.946555555555562</v>
      </c>
      <c r="AU232" s="2">
        <f t="shared" si="101"/>
        <v>64.161555555555552</v>
      </c>
      <c r="AV232" s="2">
        <f t="shared" si="101"/>
        <v>47.671166666666664</v>
      </c>
      <c r="AW232" s="2">
        <f t="shared" si="101"/>
        <v>55.916361111111115</v>
      </c>
      <c r="AX232" s="2">
        <f t="shared" si="101"/>
        <v>24.13283333333333</v>
      </c>
      <c r="AY232" s="2">
        <f t="shared" si="101"/>
        <v>55.917000000000002</v>
      </c>
      <c r="AZ232" s="2">
        <f>(Q232+AI232)/2</f>
        <v>14.659666666666666</v>
      </c>
    </row>
    <row r="233" spans="1:52" x14ac:dyDescent="0.25">
      <c r="B233" s="2">
        <f>_xlfn.STDEV.S(B229:B231)</f>
        <v>0.96289061337897863</v>
      </c>
      <c r="C233" s="2">
        <f t="shared" ref="C233:Q233" si="102">_xlfn.STDEV.S(C229:C231)</f>
        <v>2.2601480040032782</v>
      </c>
      <c r="D233" s="2">
        <f t="shared" si="102"/>
        <v>4.8986335849908151</v>
      </c>
      <c r="E233" s="2">
        <f t="shared" si="102"/>
        <v>2.6820832077572287</v>
      </c>
      <c r="F233" s="2">
        <f t="shared" si="102"/>
        <v>1.8100604962265865</v>
      </c>
      <c r="G233" s="2">
        <f t="shared" si="102"/>
        <v>4.3446416422991616</v>
      </c>
      <c r="H233" s="2">
        <f t="shared" si="102"/>
        <v>1.9405249289818478</v>
      </c>
      <c r="I233" s="2">
        <f t="shared" si="102"/>
        <v>1.9491178346455453</v>
      </c>
      <c r="J233" s="2">
        <f t="shared" si="102"/>
        <v>1.9338710746410581</v>
      </c>
      <c r="K233" s="2">
        <f t="shared" si="102"/>
        <v>1.189647987151375</v>
      </c>
      <c r="L233" s="2">
        <f t="shared" si="102"/>
        <v>4.8986335849908151</v>
      </c>
      <c r="M233" s="2">
        <f t="shared" si="102"/>
        <v>6.5500159032885854</v>
      </c>
      <c r="N233" s="2">
        <f t="shared" si="102"/>
        <v>1.9337120606060643</v>
      </c>
      <c r="O233" s="2">
        <f t="shared" si="102"/>
        <v>4.9875516037430643</v>
      </c>
      <c r="P233" s="2">
        <f t="shared" si="102"/>
        <v>1.9338710746410581</v>
      </c>
      <c r="Q233" s="2">
        <f t="shared" si="102"/>
        <v>4.9189968828342767</v>
      </c>
      <c r="T233" s="2">
        <f>_xlfn.STDEV.S(T229:T231)</f>
        <v>0.21430983109438687</v>
      </c>
      <c r="U233" s="2">
        <f t="shared" ref="U233:AI233" si="103">_xlfn.STDEV.S(U229:U231)</f>
        <v>2.9240174038089735</v>
      </c>
      <c r="V233" s="2">
        <f t="shared" si="103"/>
        <v>4.2515390459525655</v>
      </c>
      <c r="W233" s="2">
        <f t="shared" si="103"/>
        <v>2.141985925188048</v>
      </c>
      <c r="X233" s="2">
        <f t="shared" si="103"/>
        <v>1.3745676087814376</v>
      </c>
      <c r="Y233" s="2">
        <f t="shared" si="103"/>
        <v>3.7496786282046655</v>
      </c>
      <c r="Z233" s="2">
        <f t="shared" si="103"/>
        <v>0.9665502803498911</v>
      </c>
      <c r="AA233" s="2">
        <f t="shared" si="103"/>
        <v>0.98370237895939461</v>
      </c>
      <c r="AB233" s="2">
        <f t="shared" si="103"/>
        <v>0.73729422741384432</v>
      </c>
      <c r="AC233" s="2">
        <f t="shared" si="103"/>
        <v>1.409348089379288</v>
      </c>
      <c r="AD233" s="2">
        <f t="shared" si="103"/>
        <v>4.2515390459525655</v>
      </c>
      <c r="AE233" s="2">
        <f t="shared" si="103"/>
        <v>3.9036268748149836</v>
      </c>
      <c r="AF233" s="2">
        <f t="shared" si="103"/>
        <v>0.73533171526970065</v>
      </c>
      <c r="AG233" s="2">
        <f t="shared" si="103"/>
        <v>10.210661503219738</v>
      </c>
      <c r="AH233" s="2">
        <f t="shared" si="103"/>
        <v>0.73729422741384432</v>
      </c>
      <c r="AI233" s="2">
        <f t="shared" si="103"/>
        <v>2.0195220831781837</v>
      </c>
      <c r="AK233" s="2">
        <f>(B233+T233)/2</f>
        <v>0.58860022223668274</v>
      </c>
      <c r="AL233" s="2">
        <f t="shared" si="101"/>
        <v>2.5920827039061258</v>
      </c>
      <c r="AM233" s="2">
        <f t="shared" si="101"/>
        <v>4.5750863154716903</v>
      </c>
      <c r="AN233" s="2">
        <f t="shared" si="101"/>
        <v>2.4120345664726384</v>
      </c>
      <c r="AO233" s="2">
        <f t="shared" si="101"/>
        <v>1.592314052504012</v>
      </c>
      <c r="AP233" s="2">
        <f t="shared" si="101"/>
        <v>4.0471601352519135</v>
      </c>
      <c r="AQ233" s="2">
        <f t="shared" si="101"/>
        <v>1.4535376046658695</v>
      </c>
      <c r="AR233" s="2">
        <f t="shared" si="101"/>
        <v>1.46641010680247</v>
      </c>
      <c r="AS233" s="2">
        <f t="shared" si="101"/>
        <v>1.3355826510274511</v>
      </c>
      <c r="AT233" s="2">
        <f t="shared" si="101"/>
        <v>1.2994980382653316</v>
      </c>
      <c r="AU233" s="2">
        <f t="shared" si="101"/>
        <v>4.5750863154716903</v>
      </c>
      <c r="AV233" s="2">
        <f t="shared" si="101"/>
        <v>5.2268213890517847</v>
      </c>
      <c r="AW233" s="2">
        <f t="shared" si="101"/>
        <v>1.3345218879378824</v>
      </c>
      <c r="AX233" s="2">
        <f t="shared" si="101"/>
        <v>7.5991065534814011</v>
      </c>
      <c r="AY233" s="2">
        <f t="shared" si="101"/>
        <v>1.3355826510274511</v>
      </c>
      <c r="AZ233" s="2">
        <f t="shared" si="101"/>
        <v>3.4692594830062302</v>
      </c>
    </row>
    <row r="235" spans="1:52" x14ac:dyDescent="0.25">
      <c r="A235" s="1" t="s">
        <v>70</v>
      </c>
      <c r="B235">
        <v>75.136999999999986</v>
      </c>
      <c r="C235">
        <v>75.14</v>
      </c>
      <c r="D235">
        <v>62.536000000000001</v>
      </c>
      <c r="E235">
        <v>68.241000000000014</v>
      </c>
      <c r="F235">
        <v>78.843000000000004</v>
      </c>
      <c r="G235">
        <v>65.13000000000001</v>
      </c>
      <c r="H235">
        <v>71.191000000000003</v>
      </c>
      <c r="I235">
        <v>64.974000000000004</v>
      </c>
      <c r="J235">
        <v>68.263999999999996</v>
      </c>
      <c r="K235">
        <v>74.179999999999993</v>
      </c>
      <c r="L235">
        <v>62.536000000000001</v>
      </c>
      <c r="M235">
        <v>73.991</v>
      </c>
      <c r="N235">
        <v>68.263499999999993</v>
      </c>
      <c r="O235">
        <v>15.007</v>
      </c>
      <c r="P235">
        <v>68.263999999999996</v>
      </c>
      <c r="Q235">
        <v>34.119000000000007</v>
      </c>
      <c r="S235" s="1" t="s">
        <v>70</v>
      </c>
      <c r="T235">
        <v>77.688333333333347</v>
      </c>
      <c r="U235">
        <v>71.720000000000013</v>
      </c>
      <c r="V235">
        <v>77.371666666666655</v>
      </c>
      <c r="W235">
        <v>73.736666666666665</v>
      </c>
      <c r="X235">
        <v>73.726666666666645</v>
      </c>
      <c r="Y235">
        <v>78.898333333333326</v>
      </c>
      <c r="Z235">
        <v>76.196666666666673</v>
      </c>
      <c r="AA235">
        <v>69.394999999999996</v>
      </c>
      <c r="AB235">
        <v>70.318333333333328</v>
      </c>
      <c r="AC235">
        <v>77.015000000000001</v>
      </c>
      <c r="AD235">
        <v>77.371666666666655</v>
      </c>
      <c r="AE235">
        <v>63.265000000000008</v>
      </c>
      <c r="AF235">
        <v>70.318333333333328</v>
      </c>
      <c r="AG235">
        <v>14.108333333333333</v>
      </c>
      <c r="AH235">
        <v>70.318333333333328</v>
      </c>
      <c r="AI235">
        <v>40.656666666666666</v>
      </c>
    </row>
    <row r="236" spans="1:52" x14ac:dyDescent="0.25">
      <c r="B236">
        <v>74.906000000000006</v>
      </c>
      <c r="C236">
        <v>73.978999999999999</v>
      </c>
      <c r="D236">
        <v>62.102999999999994</v>
      </c>
      <c r="E236">
        <v>68.625</v>
      </c>
      <c r="F236">
        <v>77.84</v>
      </c>
      <c r="G236">
        <v>65.286000000000001</v>
      </c>
      <c r="H236">
        <v>70.683999999999997</v>
      </c>
      <c r="I236">
        <v>64.119999999999976</v>
      </c>
      <c r="J236">
        <v>67.263999999999996</v>
      </c>
      <c r="K236">
        <v>74.337999999999994</v>
      </c>
      <c r="L236">
        <v>62.102999999999994</v>
      </c>
      <c r="M236">
        <v>72.426999999999992</v>
      </c>
      <c r="N236">
        <v>67.264999999999986</v>
      </c>
      <c r="O236">
        <v>13.446999999999997</v>
      </c>
      <c r="P236">
        <v>67.263999999999996</v>
      </c>
      <c r="Q236">
        <v>32.207000000000008</v>
      </c>
      <c r="T236">
        <v>80.063333333333333</v>
      </c>
      <c r="U236">
        <v>78.425000000000011</v>
      </c>
      <c r="V236">
        <v>66.703333333333333</v>
      </c>
      <c r="W236">
        <v>70.416666666666671</v>
      </c>
      <c r="X236">
        <v>79.376666666666665</v>
      </c>
      <c r="Y236">
        <v>67.818333333333342</v>
      </c>
      <c r="Z236">
        <v>72.99166666666666</v>
      </c>
      <c r="AA236">
        <v>69.433333333333323</v>
      </c>
      <c r="AB236">
        <v>71.33</v>
      </c>
      <c r="AC236">
        <v>80.295000000000002</v>
      </c>
      <c r="AD236">
        <v>66.703333333333333</v>
      </c>
      <c r="AE236">
        <v>75.958333333333329</v>
      </c>
      <c r="AF236">
        <v>71.330833333333331</v>
      </c>
      <c r="AG236">
        <v>12.386666666666665</v>
      </c>
      <c r="AH236">
        <v>71.33</v>
      </c>
      <c r="AI236">
        <v>42.555</v>
      </c>
    </row>
    <row r="237" spans="1:52" x14ac:dyDescent="0.25">
      <c r="B237">
        <v>76.707999999999998</v>
      </c>
      <c r="C237">
        <v>73.186999999999998</v>
      </c>
      <c r="D237">
        <v>66.304000000000002</v>
      </c>
      <c r="E237">
        <v>70.921999999999997</v>
      </c>
      <c r="F237">
        <v>75.876000000000005</v>
      </c>
      <c r="G237">
        <v>67.938000000000002</v>
      </c>
      <c r="H237">
        <v>71.549000000000007</v>
      </c>
      <c r="I237">
        <v>64.445999999999998</v>
      </c>
      <c r="J237">
        <v>68.215999999999994</v>
      </c>
      <c r="K237">
        <v>76.018999999999991</v>
      </c>
      <c r="L237">
        <v>66.304000000000002</v>
      </c>
      <c r="M237">
        <v>70.126999999999995</v>
      </c>
      <c r="N237">
        <v>68.215499999999992</v>
      </c>
      <c r="O237">
        <v>9.6980000000000004</v>
      </c>
      <c r="P237">
        <v>68.215999999999994</v>
      </c>
      <c r="Q237">
        <v>34.798000000000002</v>
      </c>
      <c r="T237">
        <v>80.341666666666654</v>
      </c>
      <c r="U237">
        <v>72.678333333333327</v>
      </c>
      <c r="V237">
        <v>76.105000000000004</v>
      </c>
      <c r="W237">
        <v>73.320000000000007</v>
      </c>
      <c r="X237">
        <v>74.33</v>
      </c>
      <c r="Y237">
        <v>77.016666666666666</v>
      </c>
      <c r="Z237">
        <v>75.569999999999993</v>
      </c>
      <c r="AA237">
        <v>69.648333333333326</v>
      </c>
      <c r="AB237">
        <v>71.153333333333322</v>
      </c>
      <c r="AC237">
        <v>78.74666666666667</v>
      </c>
      <c r="AD237">
        <v>76.105000000000004</v>
      </c>
      <c r="AE237">
        <v>66.203333333333333</v>
      </c>
      <c r="AF237">
        <v>71.154166666666654</v>
      </c>
      <c r="AG237">
        <v>9.8983333333333334</v>
      </c>
      <c r="AH237">
        <v>71.153333333333322</v>
      </c>
      <c r="AI237">
        <v>41.508333333333333</v>
      </c>
    </row>
    <row r="238" spans="1:52" x14ac:dyDescent="0.25">
      <c r="B238" s="2">
        <f>AVERAGE(B235:B237)</f>
        <v>75.583666666666673</v>
      </c>
      <c r="C238" s="2">
        <f t="shared" ref="C238:Q238" si="104">AVERAGE(C235:C237)</f>
        <v>74.10199999999999</v>
      </c>
      <c r="D238" s="2">
        <f t="shared" si="104"/>
        <v>63.647666666666659</v>
      </c>
      <c r="E238" s="2">
        <f t="shared" si="104"/>
        <v>69.262666666666675</v>
      </c>
      <c r="F238" s="2">
        <f t="shared" si="104"/>
        <v>77.519666666666666</v>
      </c>
      <c r="G238" s="2">
        <f t="shared" si="104"/>
        <v>66.117999999999995</v>
      </c>
      <c r="H238" s="2">
        <f t="shared" si="104"/>
        <v>71.141333333333336</v>
      </c>
      <c r="I238" s="2">
        <f t="shared" si="104"/>
        <v>64.513333333333335</v>
      </c>
      <c r="J238" s="2">
        <f t="shared" si="104"/>
        <v>67.914666666666662</v>
      </c>
      <c r="K238" s="2">
        <f t="shared" si="104"/>
        <v>74.845666666666659</v>
      </c>
      <c r="L238" s="2">
        <f t="shared" si="104"/>
        <v>63.647666666666659</v>
      </c>
      <c r="M238" s="2">
        <f t="shared" si="104"/>
        <v>72.181666666666672</v>
      </c>
      <c r="N238" s="2">
        <f t="shared" si="104"/>
        <v>67.914666666666662</v>
      </c>
      <c r="O238" s="2">
        <f t="shared" si="104"/>
        <v>12.717333333333334</v>
      </c>
      <c r="P238" s="2">
        <f t="shared" si="104"/>
        <v>67.914666666666662</v>
      </c>
      <c r="Q238" s="2">
        <f t="shared" si="104"/>
        <v>33.708000000000006</v>
      </c>
      <c r="T238" s="2">
        <f>AVERAGE(T235:T237)</f>
        <v>79.36444444444443</v>
      </c>
      <c r="U238" s="2">
        <f t="shared" ref="U238:AI238" si="105">AVERAGE(U235:U237)</f>
        <v>74.274444444444455</v>
      </c>
      <c r="V238" s="2">
        <f t="shared" si="105"/>
        <v>73.393333333333331</v>
      </c>
      <c r="W238" s="2">
        <f t="shared" si="105"/>
        <v>72.491111111111124</v>
      </c>
      <c r="X238" s="2">
        <f t="shared" si="105"/>
        <v>75.811111111111089</v>
      </c>
      <c r="Y238" s="2">
        <f t="shared" si="105"/>
        <v>74.577777777777783</v>
      </c>
      <c r="Z238" s="2">
        <f t="shared" si="105"/>
        <v>74.919444444444437</v>
      </c>
      <c r="AA238" s="2">
        <f t="shared" si="105"/>
        <v>69.49222222222221</v>
      </c>
      <c r="AB238" s="2">
        <f t="shared" si="105"/>
        <v>70.933888888888873</v>
      </c>
      <c r="AC238" s="2">
        <f t="shared" si="105"/>
        <v>78.685555555555553</v>
      </c>
      <c r="AD238" s="2">
        <f t="shared" si="105"/>
        <v>73.393333333333331</v>
      </c>
      <c r="AE238" s="2">
        <f t="shared" si="105"/>
        <v>68.475555555555559</v>
      </c>
      <c r="AF238" s="2">
        <f t="shared" si="105"/>
        <v>70.934444444444424</v>
      </c>
      <c r="AG238" s="2">
        <f t="shared" si="105"/>
        <v>12.13111111111111</v>
      </c>
      <c r="AH238" s="2">
        <f t="shared" si="105"/>
        <v>70.933888888888873</v>
      </c>
      <c r="AI238" s="2">
        <f t="shared" si="105"/>
        <v>41.573333333333331</v>
      </c>
      <c r="AK238" s="2">
        <f>(B238+T238)/2</f>
        <v>77.474055555555552</v>
      </c>
      <c r="AL238" s="2">
        <f t="shared" ref="AL238:AZ239" si="106">(C238+U238)/2</f>
        <v>74.188222222222223</v>
      </c>
      <c r="AM238" s="2">
        <f t="shared" si="106"/>
        <v>68.520499999999998</v>
      </c>
      <c r="AN238" s="2">
        <f t="shared" si="106"/>
        <v>70.876888888888899</v>
      </c>
      <c r="AO238" s="2">
        <f t="shared" si="106"/>
        <v>76.665388888888884</v>
      </c>
      <c r="AP238" s="2">
        <f t="shared" si="106"/>
        <v>70.347888888888889</v>
      </c>
      <c r="AQ238" s="2">
        <f t="shared" si="106"/>
        <v>73.030388888888893</v>
      </c>
      <c r="AR238" s="2">
        <f t="shared" si="106"/>
        <v>67.002777777777766</v>
      </c>
      <c r="AS238" s="2">
        <f t="shared" si="106"/>
        <v>69.424277777777775</v>
      </c>
      <c r="AT238" s="2">
        <f t="shared" si="106"/>
        <v>76.765611111111099</v>
      </c>
      <c r="AU238" s="2">
        <f t="shared" si="106"/>
        <v>68.520499999999998</v>
      </c>
      <c r="AV238" s="2">
        <f t="shared" si="106"/>
        <v>70.328611111111115</v>
      </c>
      <c r="AW238" s="2">
        <f t="shared" si="106"/>
        <v>69.424555555555543</v>
      </c>
      <c r="AX238" s="2">
        <f t="shared" si="106"/>
        <v>12.424222222222223</v>
      </c>
      <c r="AY238" s="2">
        <f t="shared" si="106"/>
        <v>69.424277777777775</v>
      </c>
      <c r="AZ238" s="2">
        <f>(Q238+AI238)/2</f>
        <v>37.640666666666668</v>
      </c>
    </row>
    <row r="239" spans="1:52" x14ac:dyDescent="0.25">
      <c r="B239" s="2">
        <f>_xlfn.STDEV.S(B235:B237)</f>
        <v>0.98052757907839272</v>
      </c>
      <c r="C239" s="2">
        <f t="shared" ref="C239:Q239" si="107">_xlfn.STDEV.S(C235:C237)</f>
        <v>0.9822927262277793</v>
      </c>
      <c r="D239" s="2">
        <f t="shared" si="107"/>
        <v>2.3106173056855055</v>
      </c>
      <c r="E239" s="2">
        <f t="shared" si="107"/>
        <v>1.4497945831507697</v>
      </c>
      <c r="F239" s="2">
        <f t="shared" si="107"/>
        <v>1.5092158007830858</v>
      </c>
      <c r="G239" s="2">
        <f t="shared" si="107"/>
        <v>1.5780950541713239</v>
      </c>
      <c r="H239" s="2">
        <f t="shared" si="107"/>
        <v>0.4346335621340548</v>
      </c>
      <c r="I239" s="2">
        <f t="shared" si="107"/>
        <v>0.43096326216203695</v>
      </c>
      <c r="J239" s="2">
        <f t="shared" si="107"/>
        <v>0.56400472811256896</v>
      </c>
      <c r="K239" s="2">
        <f t="shared" si="107"/>
        <v>1.0192027930364649</v>
      </c>
      <c r="L239" s="2">
        <f t="shared" si="107"/>
        <v>2.3106173056855055</v>
      </c>
      <c r="M239" s="2">
        <f t="shared" si="107"/>
        <v>1.9436474303055431</v>
      </c>
      <c r="N239" s="2">
        <f t="shared" si="107"/>
        <v>0.5631394883448837</v>
      </c>
      <c r="O239" s="2">
        <f t="shared" si="107"/>
        <v>2.7286773963466779</v>
      </c>
      <c r="P239" s="2">
        <f t="shared" si="107"/>
        <v>0.56400472811256896</v>
      </c>
      <c r="Q239" s="2">
        <f t="shared" si="107"/>
        <v>1.3435069780243023</v>
      </c>
      <c r="T239" s="2">
        <f>_xlfn.STDEV.S(T235:T237)</f>
        <v>1.458210788502015</v>
      </c>
      <c r="U239" s="2">
        <f t="shared" ref="U239:AI239" si="108">_xlfn.STDEV.S(U235:U237)</f>
        <v>3.6262838084269249</v>
      </c>
      <c r="V239" s="2">
        <f t="shared" si="108"/>
        <v>5.8282232379268963</v>
      </c>
      <c r="W239" s="2">
        <f t="shared" si="108"/>
        <v>1.8085609175785553</v>
      </c>
      <c r="X239" s="2">
        <f t="shared" si="108"/>
        <v>3.1025622624844509</v>
      </c>
      <c r="Y239" s="2">
        <f t="shared" si="108"/>
        <v>5.9289741321124989</v>
      </c>
      <c r="Z239" s="2">
        <f t="shared" si="108"/>
        <v>1.6986533337170842</v>
      </c>
      <c r="AA239" s="2">
        <f t="shared" si="108"/>
        <v>0.13654805150704377</v>
      </c>
      <c r="AB239" s="2">
        <f t="shared" si="108"/>
        <v>0.54035567847415034</v>
      </c>
      <c r="AC239" s="2">
        <f t="shared" si="108"/>
        <v>1.6408537186251333</v>
      </c>
      <c r="AD239" s="2">
        <f t="shared" si="108"/>
        <v>5.8282232379268963</v>
      </c>
      <c r="AE239" s="2">
        <f t="shared" si="108"/>
        <v>6.6447289747700076</v>
      </c>
      <c r="AF239" s="2">
        <f t="shared" si="108"/>
        <v>0.54083033726271612</v>
      </c>
      <c r="AG239" s="2">
        <f t="shared" si="108"/>
        <v>2.1166025799571981</v>
      </c>
      <c r="AH239" s="2">
        <f t="shared" si="108"/>
        <v>0.54035567847415034</v>
      </c>
      <c r="AI239" s="2">
        <f t="shared" si="108"/>
        <v>0.9508344288629389</v>
      </c>
      <c r="AK239" s="2">
        <f>(B239+T239)/2</f>
        <v>1.2193691837902039</v>
      </c>
      <c r="AL239" s="2">
        <f t="shared" si="106"/>
        <v>2.3042882673273519</v>
      </c>
      <c r="AM239" s="2">
        <f t="shared" si="106"/>
        <v>4.0694202718062007</v>
      </c>
      <c r="AN239" s="2">
        <f t="shared" si="106"/>
        <v>1.6291777503646625</v>
      </c>
      <c r="AO239" s="2">
        <f t="shared" si="106"/>
        <v>2.3058890316337681</v>
      </c>
      <c r="AP239" s="2">
        <f t="shared" si="106"/>
        <v>3.7535345931419113</v>
      </c>
      <c r="AQ239" s="2">
        <f t="shared" si="106"/>
        <v>1.0666434479255695</v>
      </c>
      <c r="AR239" s="2">
        <f t="shared" si="106"/>
        <v>0.28375565683454035</v>
      </c>
      <c r="AS239" s="2">
        <f t="shared" si="106"/>
        <v>0.55218020329335959</v>
      </c>
      <c r="AT239" s="2">
        <f t="shared" si="106"/>
        <v>1.3300282558307992</v>
      </c>
      <c r="AU239" s="2">
        <f t="shared" si="106"/>
        <v>4.0694202718062007</v>
      </c>
      <c r="AV239" s="2">
        <f t="shared" si="106"/>
        <v>4.2941882025377751</v>
      </c>
      <c r="AW239" s="2">
        <f t="shared" si="106"/>
        <v>0.55198491280379991</v>
      </c>
      <c r="AX239" s="2">
        <f t="shared" si="106"/>
        <v>2.4226399881519383</v>
      </c>
      <c r="AY239" s="2">
        <f t="shared" si="106"/>
        <v>0.55218020329335959</v>
      </c>
      <c r="AZ239" s="2">
        <f t="shared" si="106"/>
        <v>1.1471707034436207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539F1-DC56-4BE6-8375-B552FC3D0967}">
  <dimension ref="A1:BR196"/>
  <sheetViews>
    <sheetView zoomScale="55" zoomScaleNormal="55" workbookViewId="0">
      <selection activeCell="M6" sqref="M6"/>
    </sheetView>
  </sheetViews>
  <sheetFormatPr defaultRowHeight="14.4" x14ac:dyDescent="0.25"/>
  <cols>
    <col min="1" max="1" width="15.44140625" bestFit="1" customWidth="1"/>
    <col min="19" max="19" width="15.44140625" bestFit="1" customWidth="1"/>
    <col min="37" max="37" width="15.44140625" bestFit="1" customWidth="1"/>
  </cols>
  <sheetData>
    <row r="1" spans="1:53" x14ac:dyDescent="0.25">
      <c r="B1" t="s">
        <v>38</v>
      </c>
      <c r="C1" t="s">
        <v>10</v>
      </c>
      <c r="D1" t="s">
        <v>11</v>
      </c>
      <c r="E1" t="s">
        <v>9</v>
      </c>
      <c r="F1" t="s">
        <v>15</v>
      </c>
      <c r="G1" t="s">
        <v>7</v>
      </c>
      <c r="H1" t="s">
        <v>8</v>
      </c>
      <c r="I1" s="1" t="s">
        <v>12</v>
      </c>
    </row>
    <row r="2" spans="1:53" x14ac:dyDescent="0.25">
      <c r="A2" s="2" t="s">
        <v>64</v>
      </c>
      <c r="B2">
        <v>74.819999999999993</v>
      </c>
      <c r="C2">
        <v>76.959999999999994</v>
      </c>
      <c r="D2">
        <v>70.64</v>
      </c>
      <c r="E2">
        <v>85.09</v>
      </c>
      <c r="F2">
        <v>48.01</v>
      </c>
      <c r="G2">
        <v>71.45</v>
      </c>
      <c r="H2">
        <v>73.8</v>
      </c>
      <c r="I2">
        <f>(C2+D2)/2</f>
        <v>73.8</v>
      </c>
      <c r="J2">
        <f t="shared" ref="J2:J4" si="0">ABS(C2-D2)</f>
        <v>6.3199999999999932</v>
      </c>
    </row>
    <row r="3" spans="1:53" x14ac:dyDescent="0.25">
      <c r="B3">
        <v>77.09</v>
      </c>
      <c r="C3">
        <v>78.760000000000005</v>
      </c>
      <c r="D3">
        <v>67.430000000000007</v>
      </c>
      <c r="E3">
        <v>84.17</v>
      </c>
      <c r="F3">
        <v>47.83</v>
      </c>
      <c r="G3">
        <v>72.89</v>
      </c>
      <c r="H3">
        <v>73.09</v>
      </c>
      <c r="I3">
        <f t="shared" ref="I3:I4" si="1">(C3+D3)/2</f>
        <v>73.094999999999999</v>
      </c>
      <c r="J3">
        <f t="shared" si="0"/>
        <v>11.329999999999998</v>
      </c>
    </row>
    <row r="4" spans="1:53" x14ac:dyDescent="0.25">
      <c r="B4">
        <v>76.37</v>
      </c>
      <c r="C4">
        <v>68.5</v>
      </c>
      <c r="D4">
        <v>76.849999999999994</v>
      </c>
      <c r="E4">
        <v>84.03</v>
      </c>
      <c r="F4">
        <v>47.32</v>
      </c>
      <c r="G4">
        <v>71.95</v>
      </c>
      <c r="H4">
        <v>72.67</v>
      </c>
      <c r="I4">
        <f t="shared" si="1"/>
        <v>72.674999999999997</v>
      </c>
      <c r="J4">
        <f t="shared" si="0"/>
        <v>8.3499999999999943</v>
      </c>
    </row>
    <row r="5" spans="1:53" x14ac:dyDescent="0.25">
      <c r="B5">
        <f>AVERAGE(B2:B4)</f>
        <v>76.093333333333334</v>
      </c>
      <c r="C5">
        <f t="shared" ref="C5:I5" si="2">AVERAGE(C2:C4)</f>
        <v>74.739999999999995</v>
      </c>
      <c r="D5">
        <f t="shared" si="2"/>
        <v>71.64</v>
      </c>
      <c r="E5">
        <f t="shared" si="2"/>
        <v>84.429999999999993</v>
      </c>
      <c r="F5">
        <f t="shared" si="2"/>
        <v>47.72</v>
      </c>
      <c r="G5">
        <f t="shared" si="2"/>
        <v>72.096666666666678</v>
      </c>
      <c r="H5">
        <f t="shared" si="2"/>
        <v>73.186666666666667</v>
      </c>
      <c r="I5">
        <f t="shared" si="2"/>
        <v>73.19</v>
      </c>
      <c r="J5">
        <f>AVERAGE(J2:J4)</f>
        <v>8.6666666666666625</v>
      </c>
    </row>
    <row r="6" spans="1:53" x14ac:dyDescent="0.25">
      <c r="B6">
        <f>_xlfn.STDEV.S(B2:B4)</f>
        <v>1.1600143677271186</v>
      </c>
      <c r="C6">
        <f t="shared" ref="C6:I6" si="3">_xlfn.STDEV.S(C2:C4)</f>
        <v>5.4784304321584667</v>
      </c>
      <c r="D6">
        <f t="shared" si="3"/>
        <v>4.7889560449016377</v>
      </c>
      <c r="E6">
        <f t="shared" si="3"/>
        <v>0.57584720195551986</v>
      </c>
      <c r="F6">
        <f t="shared" si="3"/>
        <v>0.35791060336346442</v>
      </c>
      <c r="G6">
        <f t="shared" si="3"/>
        <v>0.73111786555474867</v>
      </c>
      <c r="H6">
        <f t="shared" si="3"/>
        <v>0.57116839314980516</v>
      </c>
      <c r="I6">
        <f t="shared" si="3"/>
        <v>0.56848482829359648</v>
      </c>
      <c r="J6">
        <f>_xlfn.STDEV.S(J2:J4)</f>
        <v>2.5199669309999555</v>
      </c>
    </row>
    <row r="8" spans="1:53" x14ac:dyDescent="0.25"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 t="s">
        <v>8</v>
      </c>
      <c r="K8" t="s">
        <v>9</v>
      </c>
      <c r="L8" t="s">
        <v>10</v>
      </c>
      <c r="M8" t="s">
        <v>11</v>
      </c>
      <c r="N8" s="1" t="s">
        <v>12</v>
      </c>
      <c r="O8" t="s">
        <v>13</v>
      </c>
      <c r="P8" t="s">
        <v>14</v>
      </c>
      <c r="Q8" t="s">
        <v>15</v>
      </c>
      <c r="T8" t="s">
        <v>0</v>
      </c>
      <c r="U8" t="s">
        <v>1</v>
      </c>
      <c r="V8" t="s">
        <v>2</v>
      </c>
      <c r="W8" t="s">
        <v>3</v>
      </c>
      <c r="X8" t="s">
        <v>4</v>
      </c>
      <c r="Y8" t="s">
        <v>5</v>
      </c>
      <c r="Z8" t="s">
        <v>6</v>
      </c>
      <c r="AA8" t="s">
        <v>7</v>
      </c>
      <c r="AB8" t="s">
        <v>8</v>
      </c>
      <c r="AC8" t="s">
        <v>9</v>
      </c>
      <c r="AD8" t="s">
        <v>10</v>
      </c>
      <c r="AE8" t="s">
        <v>11</v>
      </c>
      <c r="AF8" s="1" t="s">
        <v>12</v>
      </c>
      <c r="AG8" t="s">
        <v>13</v>
      </c>
      <c r="AH8" t="s">
        <v>14</v>
      </c>
      <c r="AI8" t="s">
        <v>15</v>
      </c>
      <c r="AL8" t="s">
        <v>0</v>
      </c>
      <c r="AM8" t="s">
        <v>1</v>
      </c>
      <c r="AN8" t="s">
        <v>2</v>
      </c>
      <c r="AO8" t="s">
        <v>3</v>
      </c>
      <c r="AP8" t="s">
        <v>4</v>
      </c>
      <c r="AQ8" t="s">
        <v>5</v>
      </c>
      <c r="AR8" t="s">
        <v>6</v>
      </c>
      <c r="AS8" t="s">
        <v>7</v>
      </c>
      <c r="AT8" t="s">
        <v>8</v>
      </c>
      <c r="AU8" t="s">
        <v>9</v>
      </c>
      <c r="AV8" t="s">
        <v>10</v>
      </c>
      <c r="AW8" t="s">
        <v>11</v>
      </c>
      <c r="AX8" s="1" t="s">
        <v>12</v>
      </c>
      <c r="AY8" t="s">
        <v>13</v>
      </c>
      <c r="AZ8" t="s">
        <v>14</v>
      </c>
      <c r="BA8" t="s">
        <v>15</v>
      </c>
    </row>
    <row r="9" spans="1:53" x14ac:dyDescent="0.25">
      <c r="A9" s="1" t="s">
        <v>66</v>
      </c>
      <c r="B9">
        <v>61.57</v>
      </c>
      <c r="C9">
        <v>68.48</v>
      </c>
      <c r="D9">
        <v>53.33</v>
      </c>
      <c r="E9">
        <v>46.89</v>
      </c>
      <c r="F9">
        <v>60.21</v>
      </c>
      <c r="G9">
        <v>52.04</v>
      </c>
      <c r="H9">
        <v>55.83</v>
      </c>
      <c r="I9">
        <v>40.39</v>
      </c>
      <c r="J9">
        <v>50.34</v>
      </c>
      <c r="K9">
        <v>49.26</v>
      </c>
      <c r="L9">
        <v>53.33</v>
      </c>
      <c r="M9">
        <v>47.34</v>
      </c>
      <c r="N9">
        <f>(L9+M9)/2</f>
        <v>50.335000000000001</v>
      </c>
      <c r="O9">
        <v>5.99</v>
      </c>
      <c r="P9">
        <v>50.34</v>
      </c>
      <c r="Q9">
        <v>0.99</v>
      </c>
      <c r="S9" s="1" t="s">
        <v>66</v>
      </c>
      <c r="T9">
        <v>63.34</v>
      </c>
      <c r="U9">
        <v>76.319999999999993</v>
      </c>
      <c r="V9">
        <v>51.42</v>
      </c>
      <c r="W9">
        <v>50.6</v>
      </c>
      <c r="X9">
        <v>70.39</v>
      </c>
      <c r="Y9">
        <v>57.01</v>
      </c>
      <c r="Z9">
        <v>63</v>
      </c>
      <c r="AA9">
        <v>46.1</v>
      </c>
      <c r="AB9">
        <v>51.75</v>
      </c>
      <c r="AC9">
        <v>50.61</v>
      </c>
      <c r="AD9">
        <v>51.42</v>
      </c>
      <c r="AE9">
        <v>52.09</v>
      </c>
      <c r="AF9">
        <f>(AD9+AE9)/2</f>
        <v>51.755000000000003</v>
      </c>
      <c r="AG9">
        <v>0.67</v>
      </c>
      <c r="AH9">
        <v>51.75</v>
      </c>
      <c r="AI9">
        <v>4.97</v>
      </c>
      <c r="AK9" s="1" t="s">
        <v>67</v>
      </c>
      <c r="AL9">
        <v>64.599999999999994</v>
      </c>
      <c r="AM9">
        <v>56.19</v>
      </c>
      <c r="AN9">
        <v>38.61</v>
      </c>
      <c r="AO9">
        <v>39.78</v>
      </c>
      <c r="AP9">
        <v>65.73</v>
      </c>
      <c r="AQ9">
        <v>42.53</v>
      </c>
      <c r="AR9">
        <v>51.65</v>
      </c>
      <c r="AS9">
        <v>39.85</v>
      </c>
      <c r="AT9">
        <v>49.01</v>
      </c>
      <c r="AU9">
        <v>53.26</v>
      </c>
      <c r="AV9">
        <v>38.61</v>
      </c>
      <c r="AW9">
        <v>59.42</v>
      </c>
      <c r="AX9">
        <f>(AV9+AW9)/2</f>
        <v>49.015000000000001</v>
      </c>
      <c r="AY9">
        <v>20.81</v>
      </c>
      <c r="AZ9">
        <v>49.01</v>
      </c>
      <c r="BA9">
        <v>-4.37</v>
      </c>
    </row>
    <row r="10" spans="1:53" x14ac:dyDescent="0.25">
      <c r="B10">
        <v>62.48</v>
      </c>
      <c r="C10">
        <v>66.28</v>
      </c>
      <c r="D10">
        <v>47.75</v>
      </c>
      <c r="E10">
        <v>47.59</v>
      </c>
      <c r="F10">
        <v>61.4</v>
      </c>
      <c r="G10">
        <v>47.51</v>
      </c>
      <c r="H10">
        <v>53.57</v>
      </c>
      <c r="I10">
        <v>43.93</v>
      </c>
      <c r="J10">
        <v>51.24</v>
      </c>
      <c r="K10">
        <v>48.21</v>
      </c>
      <c r="L10">
        <v>47.75</v>
      </c>
      <c r="M10">
        <v>54.74</v>
      </c>
      <c r="N10">
        <f t="shared" ref="N10:N68" si="4">(L10+M10)/2</f>
        <v>51.245000000000005</v>
      </c>
      <c r="O10">
        <v>6.98</v>
      </c>
      <c r="P10">
        <v>51.24</v>
      </c>
      <c r="Q10">
        <v>3.61</v>
      </c>
      <c r="T10">
        <v>62.23</v>
      </c>
      <c r="U10">
        <v>63.26</v>
      </c>
      <c r="V10">
        <v>49.62</v>
      </c>
      <c r="W10">
        <v>49.21</v>
      </c>
      <c r="X10">
        <v>65.59</v>
      </c>
      <c r="Y10">
        <v>55.2</v>
      </c>
      <c r="Z10">
        <v>59.95</v>
      </c>
      <c r="AA10">
        <v>43.9</v>
      </c>
      <c r="AB10">
        <v>48.2</v>
      </c>
      <c r="AC10">
        <v>49.02</v>
      </c>
      <c r="AD10">
        <v>49.62</v>
      </c>
      <c r="AE10">
        <v>46.77</v>
      </c>
      <c r="AF10">
        <f t="shared" ref="AF10:AF68" si="5">(AD10+AE10)/2</f>
        <v>48.195</v>
      </c>
      <c r="AG10">
        <v>2.86</v>
      </c>
      <c r="AH10">
        <v>48.2</v>
      </c>
      <c r="AI10">
        <v>-1.71</v>
      </c>
      <c r="AL10">
        <v>64.36</v>
      </c>
      <c r="AM10">
        <v>63.8</v>
      </c>
      <c r="AN10">
        <v>46.09</v>
      </c>
      <c r="AO10">
        <v>50.15</v>
      </c>
      <c r="AP10">
        <v>66.88</v>
      </c>
      <c r="AQ10">
        <v>48.42</v>
      </c>
      <c r="AR10">
        <v>56.17</v>
      </c>
      <c r="AS10">
        <v>45.29</v>
      </c>
      <c r="AT10">
        <v>50.57</v>
      </c>
      <c r="AU10">
        <v>51.32</v>
      </c>
      <c r="AV10">
        <v>46.09</v>
      </c>
      <c r="AW10">
        <v>55.05</v>
      </c>
      <c r="AX10">
        <f t="shared" ref="AX10:AX68" si="6">(AV10+AW10)/2</f>
        <v>50.57</v>
      </c>
      <c r="AY10">
        <v>8.9600000000000009</v>
      </c>
      <c r="AZ10">
        <v>50.57</v>
      </c>
      <c r="BA10">
        <v>0.08</v>
      </c>
    </row>
    <row r="11" spans="1:53" x14ac:dyDescent="0.25">
      <c r="B11">
        <v>51.71</v>
      </c>
      <c r="C11">
        <v>63.07</v>
      </c>
      <c r="D11">
        <v>42.91</v>
      </c>
      <c r="E11">
        <v>35.32</v>
      </c>
      <c r="F11">
        <v>50</v>
      </c>
      <c r="G11">
        <v>40.520000000000003</v>
      </c>
      <c r="H11">
        <v>44.77</v>
      </c>
      <c r="I11">
        <v>41.42</v>
      </c>
      <c r="J11">
        <v>51.87</v>
      </c>
      <c r="K11">
        <v>49.28</v>
      </c>
      <c r="L11">
        <v>42.91</v>
      </c>
      <c r="M11">
        <v>60.83</v>
      </c>
      <c r="N11">
        <f t="shared" si="4"/>
        <v>51.87</v>
      </c>
      <c r="O11">
        <v>17.920000000000002</v>
      </c>
      <c r="P11">
        <v>51.87</v>
      </c>
      <c r="Q11">
        <v>3.63</v>
      </c>
      <c r="T11">
        <v>54.65</v>
      </c>
      <c r="U11">
        <v>49.69</v>
      </c>
      <c r="V11">
        <v>50.41</v>
      </c>
      <c r="W11">
        <v>41.82</v>
      </c>
      <c r="X11">
        <v>43.67</v>
      </c>
      <c r="Y11">
        <v>45.1</v>
      </c>
      <c r="Z11">
        <v>44.37</v>
      </c>
      <c r="AA11">
        <v>41.57</v>
      </c>
      <c r="AB11">
        <v>51.03</v>
      </c>
      <c r="AC11">
        <v>52.78</v>
      </c>
      <c r="AD11">
        <v>50.41</v>
      </c>
      <c r="AE11">
        <v>51.65</v>
      </c>
      <c r="AF11">
        <f t="shared" si="5"/>
        <v>51.03</v>
      </c>
      <c r="AG11">
        <v>1.24</v>
      </c>
      <c r="AH11">
        <v>51.03</v>
      </c>
      <c r="AI11">
        <v>0.67</v>
      </c>
      <c r="AL11">
        <v>53.34</v>
      </c>
      <c r="AM11">
        <v>65.78</v>
      </c>
      <c r="AN11">
        <v>43.42</v>
      </c>
      <c r="AO11">
        <v>39.43</v>
      </c>
      <c r="AP11">
        <v>54.62</v>
      </c>
      <c r="AQ11">
        <v>46.41</v>
      </c>
      <c r="AR11">
        <v>50.18</v>
      </c>
      <c r="AS11">
        <v>43.19</v>
      </c>
      <c r="AT11">
        <v>50.29</v>
      </c>
      <c r="AU11">
        <v>52.5</v>
      </c>
      <c r="AV11">
        <v>43.42</v>
      </c>
      <c r="AW11">
        <v>57.16</v>
      </c>
      <c r="AX11">
        <f t="shared" si="6"/>
        <v>50.29</v>
      </c>
      <c r="AY11">
        <v>13.74</v>
      </c>
      <c r="AZ11">
        <v>50.29</v>
      </c>
      <c r="BA11">
        <v>2.09</v>
      </c>
    </row>
    <row r="12" spans="1:53" x14ac:dyDescent="0.25">
      <c r="B12">
        <v>64.349999999999994</v>
      </c>
      <c r="C12">
        <v>61.89</v>
      </c>
      <c r="D12">
        <v>52.34</v>
      </c>
      <c r="E12">
        <v>51.2</v>
      </c>
      <c r="F12">
        <v>61.05</v>
      </c>
      <c r="G12">
        <v>52.49</v>
      </c>
      <c r="H12">
        <v>56.45</v>
      </c>
      <c r="I12">
        <v>45.52</v>
      </c>
      <c r="J12">
        <v>50.73</v>
      </c>
      <c r="K12">
        <v>51</v>
      </c>
      <c r="L12">
        <v>52.34</v>
      </c>
      <c r="M12">
        <v>49.11</v>
      </c>
      <c r="N12">
        <f t="shared" si="4"/>
        <v>50.725000000000001</v>
      </c>
      <c r="O12">
        <v>3.23</v>
      </c>
      <c r="P12">
        <v>50.73</v>
      </c>
      <c r="Q12">
        <v>2.67</v>
      </c>
      <c r="T12">
        <v>69.39</v>
      </c>
      <c r="U12">
        <v>75.510000000000005</v>
      </c>
      <c r="V12">
        <v>53.72</v>
      </c>
      <c r="W12">
        <v>57.65</v>
      </c>
      <c r="X12">
        <v>74.14</v>
      </c>
      <c r="Y12">
        <v>58.37</v>
      </c>
      <c r="Z12">
        <v>65.319999999999993</v>
      </c>
      <c r="AA12">
        <v>54</v>
      </c>
      <c r="AB12">
        <v>57.2</v>
      </c>
      <c r="AC12">
        <v>59.17</v>
      </c>
      <c r="AD12">
        <v>53.72</v>
      </c>
      <c r="AE12">
        <v>60.67</v>
      </c>
      <c r="AF12">
        <f t="shared" si="5"/>
        <v>57.195</v>
      </c>
      <c r="AG12">
        <v>6.95</v>
      </c>
      <c r="AH12">
        <v>57.2</v>
      </c>
      <c r="AI12">
        <v>17.600000000000001</v>
      </c>
      <c r="AL12">
        <v>65.099999999999994</v>
      </c>
      <c r="AM12">
        <v>62.44</v>
      </c>
      <c r="AN12">
        <v>49.06</v>
      </c>
      <c r="AO12">
        <v>52.78</v>
      </c>
      <c r="AP12">
        <v>65.52</v>
      </c>
      <c r="AQ12">
        <v>51.58</v>
      </c>
      <c r="AR12">
        <v>57.72</v>
      </c>
      <c r="AS12">
        <v>47.64</v>
      </c>
      <c r="AT12">
        <v>50.59</v>
      </c>
      <c r="AU12">
        <v>52.63</v>
      </c>
      <c r="AV12">
        <v>49.06</v>
      </c>
      <c r="AW12">
        <v>52.12</v>
      </c>
      <c r="AX12">
        <f t="shared" si="6"/>
        <v>50.59</v>
      </c>
      <c r="AY12">
        <v>3.06</v>
      </c>
      <c r="AZ12">
        <v>50.59</v>
      </c>
      <c r="BA12">
        <v>2.1800000000000002</v>
      </c>
    </row>
    <row r="13" spans="1:53" x14ac:dyDescent="0.25">
      <c r="B13">
        <v>54.06</v>
      </c>
      <c r="C13">
        <v>64.05</v>
      </c>
      <c r="D13">
        <v>44.37</v>
      </c>
      <c r="E13">
        <v>35.51</v>
      </c>
      <c r="F13">
        <v>48.46</v>
      </c>
      <c r="G13">
        <v>41.18</v>
      </c>
      <c r="H13">
        <v>44.52</v>
      </c>
      <c r="I13">
        <v>40.83</v>
      </c>
      <c r="J13">
        <v>51.72</v>
      </c>
      <c r="K13">
        <v>54.6</v>
      </c>
      <c r="L13">
        <v>44.37</v>
      </c>
      <c r="M13">
        <v>59.06</v>
      </c>
      <c r="N13">
        <f t="shared" si="4"/>
        <v>51.715000000000003</v>
      </c>
      <c r="O13">
        <v>14.69</v>
      </c>
      <c r="P13">
        <v>51.72</v>
      </c>
      <c r="Q13">
        <v>4.8499999999999996</v>
      </c>
      <c r="T13">
        <v>58.91</v>
      </c>
      <c r="U13">
        <v>62.43</v>
      </c>
      <c r="V13">
        <v>50.43</v>
      </c>
      <c r="W13">
        <v>44.09</v>
      </c>
      <c r="X13">
        <v>49.29</v>
      </c>
      <c r="Y13">
        <v>45.1</v>
      </c>
      <c r="Z13">
        <v>47.1</v>
      </c>
      <c r="AA13">
        <v>45.51</v>
      </c>
      <c r="AB13">
        <v>56.4</v>
      </c>
      <c r="AC13">
        <v>63</v>
      </c>
      <c r="AD13">
        <v>50.43</v>
      </c>
      <c r="AE13">
        <v>62.36</v>
      </c>
      <c r="AF13">
        <f t="shared" si="5"/>
        <v>56.394999999999996</v>
      </c>
      <c r="AG13">
        <v>11.93</v>
      </c>
      <c r="AH13">
        <v>56.4</v>
      </c>
      <c r="AI13">
        <v>14.45</v>
      </c>
      <c r="AL13">
        <v>53.08</v>
      </c>
      <c r="AM13">
        <v>63.08</v>
      </c>
      <c r="AN13">
        <v>42.09</v>
      </c>
      <c r="AO13">
        <v>37.86</v>
      </c>
      <c r="AP13">
        <v>55.04</v>
      </c>
      <c r="AQ13">
        <v>46.41</v>
      </c>
      <c r="AR13">
        <v>50.35</v>
      </c>
      <c r="AS13">
        <v>43.04</v>
      </c>
      <c r="AT13">
        <v>49.92</v>
      </c>
      <c r="AU13">
        <v>50.55</v>
      </c>
      <c r="AV13">
        <v>42.09</v>
      </c>
      <c r="AW13">
        <v>57.76</v>
      </c>
      <c r="AX13">
        <f t="shared" si="6"/>
        <v>49.924999999999997</v>
      </c>
      <c r="AY13">
        <v>15.68</v>
      </c>
      <c r="AZ13">
        <v>49.92</v>
      </c>
      <c r="BA13">
        <v>2.31</v>
      </c>
    </row>
    <row r="14" spans="1:53" x14ac:dyDescent="0.25">
      <c r="B14">
        <v>54.97</v>
      </c>
      <c r="C14">
        <v>52.79</v>
      </c>
      <c r="D14">
        <v>45.71</v>
      </c>
      <c r="E14">
        <v>44.94</v>
      </c>
      <c r="F14">
        <v>47</v>
      </c>
      <c r="G14">
        <v>40.299999999999997</v>
      </c>
      <c r="H14">
        <v>43.39</v>
      </c>
      <c r="I14">
        <v>41.08</v>
      </c>
      <c r="J14">
        <v>52.86</v>
      </c>
      <c r="K14">
        <v>55.28</v>
      </c>
      <c r="L14">
        <v>45.71</v>
      </c>
      <c r="M14">
        <v>60.01</v>
      </c>
      <c r="N14">
        <f t="shared" si="4"/>
        <v>52.86</v>
      </c>
      <c r="O14">
        <v>14.3</v>
      </c>
      <c r="P14">
        <v>52.86</v>
      </c>
      <c r="Q14">
        <v>6.47</v>
      </c>
      <c r="T14">
        <v>55.61</v>
      </c>
      <c r="U14">
        <v>59.63</v>
      </c>
      <c r="V14">
        <v>44.33</v>
      </c>
      <c r="W14">
        <v>38.229999999999997</v>
      </c>
      <c r="X14">
        <v>51.06</v>
      </c>
      <c r="Y14">
        <v>43.94</v>
      </c>
      <c r="Z14">
        <v>47.23</v>
      </c>
      <c r="AA14">
        <v>41.75</v>
      </c>
      <c r="AB14">
        <v>50.94</v>
      </c>
      <c r="AC14">
        <v>55.01</v>
      </c>
      <c r="AD14">
        <v>44.33</v>
      </c>
      <c r="AE14">
        <v>57.55</v>
      </c>
      <c r="AF14">
        <f t="shared" si="5"/>
        <v>50.94</v>
      </c>
      <c r="AG14">
        <v>13.22</v>
      </c>
      <c r="AH14">
        <v>50.94</v>
      </c>
      <c r="AI14">
        <v>3.08</v>
      </c>
      <c r="AL14">
        <v>51.79</v>
      </c>
      <c r="AM14">
        <v>60.14</v>
      </c>
      <c r="AN14">
        <v>46</v>
      </c>
      <c r="AO14">
        <v>41.28</v>
      </c>
      <c r="AP14">
        <v>50.82</v>
      </c>
      <c r="AQ14">
        <v>46.97</v>
      </c>
      <c r="AR14">
        <v>48.82</v>
      </c>
      <c r="AS14">
        <v>42.79</v>
      </c>
      <c r="AT14">
        <v>49.84</v>
      </c>
      <c r="AU14">
        <v>50.97</v>
      </c>
      <c r="AV14">
        <v>46</v>
      </c>
      <c r="AW14">
        <v>53.68</v>
      </c>
      <c r="AX14">
        <f t="shared" si="6"/>
        <v>49.84</v>
      </c>
      <c r="AY14">
        <v>7.68</v>
      </c>
      <c r="AZ14">
        <v>49.84</v>
      </c>
      <c r="BA14">
        <v>0.43</v>
      </c>
    </row>
    <row r="15" spans="1:53" x14ac:dyDescent="0.25">
      <c r="B15" s="2">
        <f>AVERAGE(B9:B14)</f>
        <v>58.19</v>
      </c>
      <c r="C15" s="2">
        <f t="shared" ref="C15:BA15" si="7">AVERAGE(C9:C14)</f>
        <v>62.76</v>
      </c>
      <c r="D15" s="2">
        <f t="shared" si="7"/>
        <v>47.735000000000007</v>
      </c>
      <c r="E15" s="2">
        <f t="shared" si="7"/>
        <v>43.574999999999996</v>
      </c>
      <c r="F15" s="2">
        <f t="shared" si="7"/>
        <v>54.686666666666667</v>
      </c>
      <c r="G15" s="2">
        <f t="shared" si="7"/>
        <v>45.673333333333339</v>
      </c>
      <c r="H15" s="2">
        <f t="shared" si="7"/>
        <v>49.755000000000003</v>
      </c>
      <c r="I15" s="2">
        <f t="shared" si="7"/>
        <v>42.194999999999993</v>
      </c>
      <c r="J15" s="2">
        <f t="shared" si="7"/>
        <v>51.46</v>
      </c>
      <c r="K15" s="2">
        <f t="shared" si="7"/>
        <v>51.271666666666668</v>
      </c>
      <c r="L15" s="2">
        <f t="shared" si="7"/>
        <v>47.735000000000007</v>
      </c>
      <c r="M15" s="2">
        <f t="shared" si="7"/>
        <v>55.181666666666672</v>
      </c>
      <c r="N15" s="2">
        <f t="shared" si="7"/>
        <v>51.458333333333336</v>
      </c>
      <c r="O15" s="2">
        <f t="shared" si="7"/>
        <v>10.518333333333333</v>
      </c>
      <c r="P15" s="2">
        <f t="shared" si="7"/>
        <v>51.46</v>
      </c>
      <c r="Q15" s="2">
        <f t="shared" si="7"/>
        <v>3.7033333333333331</v>
      </c>
      <c r="R15" s="2"/>
      <c r="S15" s="2"/>
      <c r="T15" s="2">
        <f t="shared" si="7"/>
        <v>60.688333333333333</v>
      </c>
      <c r="U15" s="2">
        <f t="shared" si="7"/>
        <v>64.473333333333329</v>
      </c>
      <c r="V15" s="2">
        <f t="shared" si="7"/>
        <v>49.988333333333337</v>
      </c>
      <c r="W15" s="2">
        <f t="shared" si="7"/>
        <v>46.933333333333337</v>
      </c>
      <c r="X15" s="2">
        <f t="shared" si="7"/>
        <v>59.023333333333341</v>
      </c>
      <c r="Y15" s="2">
        <f t="shared" si="7"/>
        <v>50.786666666666669</v>
      </c>
      <c r="Z15" s="2">
        <f t="shared" si="7"/>
        <v>54.495000000000005</v>
      </c>
      <c r="AA15" s="2">
        <f t="shared" si="7"/>
        <v>45.471666666666664</v>
      </c>
      <c r="AB15" s="2">
        <f t="shared" si="7"/>
        <v>52.586666666666666</v>
      </c>
      <c r="AC15" s="2">
        <f t="shared" si="7"/>
        <v>54.931666666666665</v>
      </c>
      <c r="AD15" s="2">
        <f t="shared" si="7"/>
        <v>49.988333333333337</v>
      </c>
      <c r="AE15" s="2">
        <f t="shared" si="7"/>
        <v>55.181666666666672</v>
      </c>
      <c r="AF15" s="2">
        <f t="shared" si="7"/>
        <v>52.585000000000001</v>
      </c>
      <c r="AG15" s="2">
        <f t="shared" si="7"/>
        <v>6.1449999999999996</v>
      </c>
      <c r="AH15" s="2">
        <f t="shared" si="7"/>
        <v>52.586666666666666</v>
      </c>
      <c r="AI15" s="2">
        <f t="shared" si="7"/>
        <v>6.5100000000000007</v>
      </c>
      <c r="AJ15" s="2"/>
      <c r="AK15" s="2"/>
      <c r="AL15" s="2">
        <f t="shared" si="7"/>
        <v>58.711666666666666</v>
      </c>
      <c r="AM15" s="2">
        <f t="shared" si="7"/>
        <v>61.904999999999994</v>
      </c>
      <c r="AN15" s="2">
        <f t="shared" si="7"/>
        <v>44.211666666666666</v>
      </c>
      <c r="AO15" s="2">
        <f t="shared" si="7"/>
        <v>43.54666666666666</v>
      </c>
      <c r="AP15" s="2">
        <f t="shared" si="7"/>
        <v>59.768333333333338</v>
      </c>
      <c r="AQ15" s="2">
        <f t="shared" si="7"/>
        <v>47.053333333333335</v>
      </c>
      <c r="AR15" s="2">
        <f t="shared" si="7"/>
        <v>52.481666666666662</v>
      </c>
      <c r="AS15" s="2">
        <f t="shared" si="7"/>
        <v>43.633333333333326</v>
      </c>
      <c r="AT15" s="2">
        <f t="shared" si="7"/>
        <v>50.036666666666669</v>
      </c>
      <c r="AU15" s="2">
        <f t="shared" si="7"/>
        <v>51.87166666666667</v>
      </c>
      <c r="AV15" s="2">
        <f t="shared" si="7"/>
        <v>44.211666666666666</v>
      </c>
      <c r="AW15" s="2">
        <f t="shared" si="7"/>
        <v>55.865000000000002</v>
      </c>
      <c r="AX15" s="2">
        <f t="shared" si="7"/>
        <v>50.038333333333334</v>
      </c>
      <c r="AY15" s="2">
        <f t="shared" si="7"/>
        <v>11.655000000000001</v>
      </c>
      <c r="AZ15" s="2">
        <f t="shared" si="7"/>
        <v>50.036666666666669</v>
      </c>
      <c r="BA15" s="2">
        <f t="shared" si="7"/>
        <v>0.45333333333333337</v>
      </c>
    </row>
    <row r="18" spans="1:53" x14ac:dyDescent="0.25">
      <c r="A18" s="1" t="s">
        <v>68</v>
      </c>
      <c r="B18">
        <v>65.349999999999994</v>
      </c>
      <c r="C18">
        <v>63.75</v>
      </c>
      <c r="D18">
        <v>52.34</v>
      </c>
      <c r="E18">
        <v>54.21</v>
      </c>
      <c r="F18">
        <v>62.22</v>
      </c>
      <c r="G18">
        <v>50.68</v>
      </c>
      <c r="H18">
        <v>55.86</v>
      </c>
      <c r="I18">
        <v>48</v>
      </c>
      <c r="J18">
        <v>52.28</v>
      </c>
      <c r="K18">
        <v>53.98</v>
      </c>
      <c r="L18">
        <v>52.34</v>
      </c>
      <c r="M18">
        <v>52.22</v>
      </c>
      <c r="N18">
        <f t="shared" si="4"/>
        <v>52.28</v>
      </c>
      <c r="O18">
        <v>0.12</v>
      </c>
      <c r="P18">
        <v>52.28</v>
      </c>
      <c r="Q18">
        <v>6.01</v>
      </c>
      <c r="S18" s="1" t="s">
        <v>68</v>
      </c>
      <c r="T18">
        <v>68.010000000000005</v>
      </c>
      <c r="U18">
        <v>70.06</v>
      </c>
      <c r="V18">
        <v>51.19</v>
      </c>
      <c r="W18">
        <v>54.08</v>
      </c>
      <c r="X18">
        <v>72.02</v>
      </c>
      <c r="Y18">
        <v>54.75</v>
      </c>
      <c r="Z18">
        <v>62.21</v>
      </c>
      <c r="AA18">
        <v>51.9</v>
      </c>
      <c r="AB18">
        <v>56.24</v>
      </c>
      <c r="AC18">
        <v>57.36</v>
      </c>
      <c r="AD18">
        <v>51.19</v>
      </c>
      <c r="AE18">
        <v>61.29</v>
      </c>
      <c r="AF18">
        <f t="shared" si="5"/>
        <v>56.239999999999995</v>
      </c>
      <c r="AG18">
        <v>10.1</v>
      </c>
      <c r="AH18">
        <v>56.24</v>
      </c>
      <c r="AI18">
        <v>13.97</v>
      </c>
      <c r="AK18" s="1" t="s">
        <v>69</v>
      </c>
      <c r="AL18">
        <v>63.32</v>
      </c>
      <c r="AM18">
        <v>63.01</v>
      </c>
      <c r="AN18">
        <v>74.25</v>
      </c>
      <c r="AO18">
        <v>65.790000000000006</v>
      </c>
      <c r="AP18">
        <v>62.79</v>
      </c>
      <c r="AQ18">
        <v>73.3</v>
      </c>
      <c r="AR18">
        <v>67.64</v>
      </c>
      <c r="AS18">
        <v>47.06</v>
      </c>
      <c r="AT18">
        <v>51.83</v>
      </c>
      <c r="AU18">
        <v>52.61</v>
      </c>
      <c r="AV18">
        <v>74.25</v>
      </c>
      <c r="AW18">
        <v>29.4</v>
      </c>
      <c r="AX18">
        <f t="shared" si="6"/>
        <v>51.825000000000003</v>
      </c>
      <c r="AY18">
        <v>44.84</v>
      </c>
      <c r="AZ18">
        <v>51.83</v>
      </c>
      <c r="BA18">
        <v>5.85</v>
      </c>
    </row>
    <row r="19" spans="1:53" x14ac:dyDescent="0.25">
      <c r="B19">
        <v>67.099999999999994</v>
      </c>
      <c r="C19">
        <v>65.61</v>
      </c>
      <c r="D19">
        <v>51.12</v>
      </c>
      <c r="E19">
        <v>53.67</v>
      </c>
      <c r="F19">
        <v>64.37</v>
      </c>
      <c r="G19">
        <v>50.68</v>
      </c>
      <c r="H19">
        <v>56.71</v>
      </c>
      <c r="I19">
        <v>48.95</v>
      </c>
      <c r="J19">
        <v>52.97</v>
      </c>
      <c r="K19">
        <v>56.26</v>
      </c>
      <c r="L19">
        <v>51.12</v>
      </c>
      <c r="M19">
        <v>54.82</v>
      </c>
      <c r="N19">
        <f t="shared" si="4"/>
        <v>52.97</v>
      </c>
      <c r="O19">
        <v>3.7</v>
      </c>
      <c r="P19">
        <v>52.97</v>
      </c>
      <c r="Q19">
        <v>6.99</v>
      </c>
      <c r="T19">
        <v>66.7</v>
      </c>
      <c r="U19">
        <v>61.78</v>
      </c>
      <c r="V19">
        <v>66.14</v>
      </c>
      <c r="W19">
        <v>62.17</v>
      </c>
      <c r="X19">
        <v>62.45</v>
      </c>
      <c r="Y19">
        <v>66.97</v>
      </c>
      <c r="Z19">
        <v>64.63</v>
      </c>
      <c r="AA19">
        <v>48.4</v>
      </c>
      <c r="AB19">
        <v>50.71</v>
      </c>
      <c r="AC19">
        <v>56.12</v>
      </c>
      <c r="AD19">
        <v>66.14</v>
      </c>
      <c r="AE19">
        <v>35.29</v>
      </c>
      <c r="AF19">
        <f t="shared" si="5"/>
        <v>50.715000000000003</v>
      </c>
      <c r="AG19">
        <v>30.85</v>
      </c>
      <c r="AH19">
        <v>50.71</v>
      </c>
      <c r="AI19">
        <v>2.68</v>
      </c>
      <c r="AL19">
        <v>62.22</v>
      </c>
      <c r="AM19">
        <v>65.650000000000006</v>
      </c>
      <c r="AN19">
        <v>43.01</v>
      </c>
      <c r="AO19">
        <v>46.05</v>
      </c>
      <c r="AP19">
        <v>58.71</v>
      </c>
      <c r="AQ19">
        <v>41.18</v>
      </c>
      <c r="AR19">
        <v>48.4</v>
      </c>
      <c r="AS19">
        <v>44.79</v>
      </c>
      <c r="AT19">
        <v>51.53</v>
      </c>
      <c r="AU19">
        <v>48.89</v>
      </c>
      <c r="AV19">
        <v>43.01</v>
      </c>
      <c r="AW19">
        <v>60.06</v>
      </c>
      <c r="AX19">
        <f t="shared" si="6"/>
        <v>51.534999999999997</v>
      </c>
      <c r="AY19">
        <v>17.05</v>
      </c>
      <c r="AZ19">
        <v>51.53</v>
      </c>
      <c r="BA19">
        <v>3.37</v>
      </c>
    </row>
    <row r="20" spans="1:53" x14ac:dyDescent="0.25">
      <c r="B20">
        <v>53.62</v>
      </c>
      <c r="C20">
        <v>55.63</v>
      </c>
      <c r="D20">
        <v>54.88</v>
      </c>
      <c r="E20">
        <v>50.62</v>
      </c>
      <c r="F20">
        <v>55.06</v>
      </c>
      <c r="G20">
        <v>56.86</v>
      </c>
      <c r="H20">
        <v>55.95</v>
      </c>
      <c r="I20">
        <v>51.96</v>
      </c>
      <c r="J20">
        <v>56.06</v>
      </c>
      <c r="K20">
        <v>56.73</v>
      </c>
      <c r="L20">
        <v>54.88</v>
      </c>
      <c r="M20">
        <v>57.24</v>
      </c>
      <c r="N20">
        <f t="shared" si="4"/>
        <v>56.06</v>
      </c>
      <c r="O20">
        <v>2.36</v>
      </c>
      <c r="P20">
        <v>56.06</v>
      </c>
      <c r="Q20">
        <v>11.76</v>
      </c>
      <c r="T20">
        <v>55.65</v>
      </c>
      <c r="U20">
        <v>57.4</v>
      </c>
      <c r="V20">
        <v>66.34</v>
      </c>
      <c r="W20">
        <v>58.88</v>
      </c>
      <c r="X20">
        <v>57.54</v>
      </c>
      <c r="Y20">
        <v>67.319999999999993</v>
      </c>
      <c r="Z20">
        <v>62.05</v>
      </c>
      <c r="AA20">
        <v>55.1</v>
      </c>
      <c r="AB20">
        <v>58.51</v>
      </c>
      <c r="AC20">
        <v>58.95</v>
      </c>
      <c r="AD20">
        <v>66.34</v>
      </c>
      <c r="AE20">
        <v>50.68</v>
      </c>
      <c r="AF20">
        <f t="shared" si="5"/>
        <v>58.510000000000005</v>
      </c>
      <c r="AG20">
        <v>15.66</v>
      </c>
      <c r="AH20">
        <v>58.51</v>
      </c>
      <c r="AI20">
        <v>17.350000000000001</v>
      </c>
      <c r="AL20">
        <v>48.78</v>
      </c>
      <c r="AM20">
        <v>48.53</v>
      </c>
      <c r="AN20">
        <v>45</v>
      </c>
      <c r="AO20">
        <v>43.6</v>
      </c>
      <c r="AP20">
        <v>49.29</v>
      </c>
      <c r="AQ20">
        <v>45.1</v>
      </c>
      <c r="AR20">
        <v>47.1</v>
      </c>
      <c r="AS20">
        <v>46.96</v>
      </c>
      <c r="AT20">
        <v>50.69</v>
      </c>
      <c r="AU20">
        <v>48.5</v>
      </c>
      <c r="AV20">
        <v>45</v>
      </c>
      <c r="AW20">
        <v>56.37</v>
      </c>
      <c r="AX20">
        <f t="shared" si="6"/>
        <v>50.685000000000002</v>
      </c>
      <c r="AY20">
        <v>11.37</v>
      </c>
      <c r="AZ20">
        <v>50.69</v>
      </c>
      <c r="BA20">
        <v>0.84</v>
      </c>
    </row>
    <row r="21" spans="1:53" x14ac:dyDescent="0.25">
      <c r="B21">
        <v>66.77</v>
      </c>
      <c r="C21">
        <v>73.19</v>
      </c>
      <c r="D21">
        <v>51.4</v>
      </c>
      <c r="E21">
        <v>47.13</v>
      </c>
      <c r="F21">
        <v>61.17</v>
      </c>
      <c r="G21">
        <v>52.04</v>
      </c>
      <c r="H21">
        <v>56.23</v>
      </c>
      <c r="I21">
        <v>40.4</v>
      </c>
      <c r="J21">
        <v>49.04</v>
      </c>
      <c r="K21">
        <v>53.61</v>
      </c>
      <c r="L21">
        <v>51.4</v>
      </c>
      <c r="M21">
        <v>46.67</v>
      </c>
      <c r="N21">
        <f t="shared" si="4"/>
        <v>49.034999999999997</v>
      </c>
      <c r="O21">
        <v>4.7300000000000004</v>
      </c>
      <c r="P21">
        <v>49.04</v>
      </c>
      <c r="Q21">
        <v>-3.18</v>
      </c>
      <c r="T21">
        <v>70.67</v>
      </c>
      <c r="U21">
        <v>66.989999999999995</v>
      </c>
      <c r="V21">
        <v>71.67</v>
      </c>
      <c r="W21">
        <v>67.36</v>
      </c>
      <c r="X21">
        <v>65.7</v>
      </c>
      <c r="Y21">
        <v>71.95</v>
      </c>
      <c r="Z21">
        <v>68.680000000000007</v>
      </c>
      <c r="AA21">
        <v>52.34</v>
      </c>
      <c r="AB21">
        <v>55.79</v>
      </c>
      <c r="AC21">
        <v>61.72</v>
      </c>
      <c r="AD21">
        <v>71.67</v>
      </c>
      <c r="AE21">
        <v>39.909999999999997</v>
      </c>
      <c r="AF21">
        <f t="shared" si="5"/>
        <v>55.79</v>
      </c>
      <c r="AG21">
        <v>31.76</v>
      </c>
      <c r="AH21">
        <v>55.79</v>
      </c>
      <c r="AI21">
        <v>10.93</v>
      </c>
      <c r="AL21">
        <v>64.540000000000006</v>
      </c>
      <c r="AM21">
        <v>63.57</v>
      </c>
      <c r="AN21">
        <v>47.36</v>
      </c>
      <c r="AO21">
        <v>45.09</v>
      </c>
      <c r="AP21">
        <v>57.41</v>
      </c>
      <c r="AQ21">
        <v>42.08</v>
      </c>
      <c r="AR21">
        <v>48.56</v>
      </c>
      <c r="AS21">
        <v>43.18</v>
      </c>
      <c r="AT21">
        <v>53.08</v>
      </c>
      <c r="AU21">
        <v>53.66</v>
      </c>
      <c r="AV21">
        <v>47.36</v>
      </c>
      <c r="AW21">
        <v>58.8</v>
      </c>
      <c r="AX21">
        <f t="shared" si="6"/>
        <v>53.08</v>
      </c>
      <c r="AY21">
        <v>11.44</v>
      </c>
      <c r="AZ21">
        <v>53.08</v>
      </c>
      <c r="BA21">
        <v>6.31</v>
      </c>
    </row>
    <row r="22" spans="1:53" x14ac:dyDescent="0.25">
      <c r="B22">
        <v>51.63</v>
      </c>
      <c r="C22">
        <v>54.67</v>
      </c>
      <c r="D22">
        <v>49.56</v>
      </c>
      <c r="E22">
        <v>43.99</v>
      </c>
      <c r="F22">
        <v>51.85</v>
      </c>
      <c r="G22">
        <v>54.9</v>
      </c>
      <c r="H22">
        <v>53.33</v>
      </c>
      <c r="I22">
        <v>43.73</v>
      </c>
      <c r="J22">
        <v>49.06</v>
      </c>
      <c r="K22">
        <v>55.53</v>
      </c>
      <c r="L22">
        <v>49.56</v>
      </c>
      <c r="M22">
        <v>48.55</v>
      </c>
      <c r="N22">
        <f t="shared" si="4"/>
        <v>49.055</v>
      </c>
      <c r="O22">
        <v>1.01</v>
      </c>
      <c r="P22">
        <v>49.06</v>
      </c>
      <c r="Q22">
        <v>-2.4700000000000002</v>
      </c>
      <c r="T22">
        <v>52.98</v>
      </c>
      <c r="U22">
        <v>63.92</v>
      </c>
      <c r="V22">
        <v>61.6</v>
      </c>
      <c r="W22">
        <v>51.67</v>
      </c>
      <c r="X22">
        <v>54.8</v>
      </c>
      <c r="Y22">
        <v>63.4</v>
      </c>
      <c r="Z22">
        <v>58.79</v>
      </c>
      <c r="AA22">
        <v>48.93</v>
      </c>
      <c r="AB22">
        <v>55.75</v>
      </c>
      <c r="AC22">
        <v>53.59</v>
      </c>
      <c r="AD22">
        <v>61.6</v>
      </c>
      <c r="AE22">
        <v>49.89</v>
      </c>
      <c r="AF22">
        <f t="shared" si="5"/>
        <v>55.745000000000005</v>
      </c>
      <c r="AG22">
        <v>11.71</v>
      </c>
      <c r="AH22">
        <v>55.75</v>
      </c>
      <c r="AI22">
        <v>13.16</v>
      </c>
      <c r="AL22">
        <v>55.15</v>
      </c>
      <c r="AM22">
        <v>52.62</v>
      </c>
      <c r="AN22">
        <v>47.7</v>
      </c>
      <c r="AO22">
        <v>42.84</v>
      </c>
      <c r="AP22">
        <v>49.01</v>
      </c>
      <c r="AQ22">
        <v>48.37</v>
      </c>
      <c r="AR22">
        <v>48.68</v>
      </c>
      <c r="AS22">
        <v>44.19</v>
      </c>
      <c r="AT22">
        <v>49.77</v>
      </c>
      <c r="AU22">
        <v>53.9</v>
      </c>
      <c r="AV22">
        <v>47.7</v>
      </c>
      <c r="AW22">
        <v>51.84</v>
      </c>
      <c r="AX22">
        <f t="shared" si="6"/>
        <v>49.77</v>
      </c>
      <c r="AY22">
        <v>4.1399999999999997</v>
      </c>
      <c r="AZ22">
        <v>49.77</v>
      </c>
      <c r="BA22">
        <v>-0.67</v>
      </c>
    </row>
    <row r="23" spans="1:53" x14ac:dyDescent="0.25">
      <c r="B23">
        <v>53.61</v>
      </c>
      <c r="C23">
        <v>54.38</v>
      </c>
      <c r="D23">
        <v>45.32</v>
      </c>
      <c r="E23">
        <v>51.67</v>
      </c>
      <c r="F23">
        <v>58.16</v>
      </c>
      <c r="G23">
        <v>49.7</v>
      </c>
      <c r="H23">
        <v>53.59</v>
      </c>
      <c r="I23">
        <v>47.77</v>
      </c>
      <c r="J23">
        <v>52.71</v>
      </c>
      <c r="K23">
        <v>54.49</v>
      </c>
      <c r="L23">
        <v>45.32</v>
      </c>
      <c r="M23">
        <v>60.09</v>
      </c>
      <c r="N23">
        <f t="shared" si="4"/>
        <v>52.704999999999998</v>
      </c>
      <c r="O23">
        <v>14.77</v>
      </c>
      <c r="P23">
        <v>52.71</v>
      </c>
      <c r="Q23">
        <v>3.45</v>
      </c>
      <c r="T23">
        <v>54.82</v>
      </c>
      <c r="U23">
        <v>57.52</v>
      </c>
      <c r="V23">
        <v>62.4</v>
      </c>
      <c r="W23">
        <v>52.46</v>
      </c>
      <c r="X23">
        <v>55.44</v>
      </c>
      <c r="Y23">
        <v>64.849999999999994</v>
      </c>
      <c r="Z23">
        <v>59.78</v>
      </c>
      <c r="AA23">
        <v>49.25</v>
      </c>
      <c r="AB23">
        <v>54.01</v>
      </c>
      <c r="AC23">
        <v>56.61</v>
      </c>
      <c r="AD23">
        <v>62.4</v>
      </c>
      <c r="AE23">
        <v>45.61</v>
      </c>
      <c r="AF23">
        <f t="shared" si="5"/>
        <v>54.004999999999995</v>
      </c>
      <c r="AG23">
        <v>16.79</v>
      </c>
      <c r="AH23">
        <v>54.01</v>
      </c>
      <c r="AI23">
        <v>9.4700000000000006</v>
      </c>
      <c r="AL23">
        <v>52.7</v>
      </c>
      <c r="AM23">
        <v>45.03</v>
      </c>
      <c r="AN23">
        <v>48.17</v>
      </c>
      <c r="AO23">
        <v>53.16</v>
      </c>
      <c r="AP23">
        <v>51.11</v>
      </c>
      <c r="AQ23">
        <v>48.79</v>
      </c>
      <c r="AR23">
        <v>49.92</v>
      </c>
      <c r="AS23">
        <v>46.63</v>
      </c>
      <c r="AT23">
        <v>50.28</v>
      </c>
      <c r="AU23">
        <v>49.28</v>
      </c>
      <c r="AV23">
        <v>48.17</v>
      </c>
      <c r="AW23">
        <v>52.38</v>
      </c>
      <c r="AX23">
        <f t="shared" si="6"/>
        <v>50.275000000000006</v>
      </c>
      <c r="AY23">
        <v>4.22</v>
      </c>
      <c r="AZ23">
        <v>50.28</v>
      </c>
      <c r="BA23">
        <v>-0.26</v>
      </c>
    </row>
    <row r="24" spans="1:53" x14ac:dyDescent="0.25">
      <c r="B24" s="2">
        <f>AVERAGE(B18:B23)</f>
        <v>59.68</v>
      </c>
      <c r="C24" s="2">
        <f t="shared" ref="C24:AZ24" si="8">AVERAGE(C18:C23)</f>
        <v>61.205000000000005</v>
      </c>
      <c r="D24" s="2">
        <f t="shared" si="8"/>
        <v>50.77</v>
      </c>
      <c r="E24" s="2">
        <f t="shared" si="8"/>
        <v>50.215000000000003</v>
      </c>
      <c r="F24" s="2">
        <f t="shared" si="8"/>
        <v>58.805000000000007</v>
      </c>
      <c r="G24" s="2">
        <f t="shared" si="8"/>
        <v>52.476666666666659</v>
      </c>
      <c r="H24" s="2">
        <f t="shared" si="8"/>
        <v>55.278333333333329</v>
      </c>
      <c r="I24" s="2">
        <f t="shared" si="8"/>
        <v>46.801666666666669</v>
      </c>
      <c r="J24" s="2">
        <f t="shared" si="8"/>
        <v>52.019999999999989</v>
      </c>
      <c r="K24" s="2">
        <f t="shared" si="8"/>
        <v>55.1</v>
      </c>
      <c r="L24" s="2">
        <f t="shared" si="8"/>
        <v>50.77</v>
      </c>
      <c r="M24" s="2">
        <f t="shared" si="8"/>
        <v>53.265000000000008</v>
      </c>
      <c r="N24" s="2">
        <f t="shared" si="8"/>
        <v>52.017499999999991</v>
      </c>
      <c r="O24" s="2">
        <f t="shared" si="8"/>
        <v>4.4483333333333333</v>
      </c>
      <c r="P24" s="2">
        <f t="shared" si="8"/>
        <v>52.019999999999989</v>
      </c>
      <c r="Q24" s="2">
        <f t="shared" si="8"/>
        <v>3.76</v>
      </c>
      <c r="R24" s="2"/>
      <c r="S24" s="2"/>
      <c r="T24" s="2">
        <f t="shared" si="8"/>
        <v>61.471666666666671</v>
      </c>
      <c r="U24" s="2">
        <f t="shared" si="8"/>
        <v>62.945</v>
      </c>
      <c r="V24" s="2">
        <f t="shared" si="8"/>
        <v>63.223333333333336</v>
      </c>
      <c r="W24" s="2">
        <f t="shared" si="8"/>
        <v>57.77</v>
      </c>
      <c r="X24" s="2">
        <f t="shared" si="8"/>
        <v>61.324999999999996</v>
      </c>
      <c r="Y24" s="2">
        <f t="shared" si="8"/>
        <v>64.873333333333335</v>
      </c>
      <c r="Z24" s="2">
        <f t="shared" si="8"/>
        <v>62.69</v>
      </c>
      <c r="AA24" s="2">
        <f t="shared" si="8"/>
        <v>50.986666666666672</v>
      </c>
      <c r="AB24" s="2">
        <f t="shared" si="8"/>
        <v>55.168333333333329</v>
      </c>
      <c r="AC24" s="2">
        <f t="shared" si="8"/>
        <v>57.391666666666673</v>
      </c>
      <c r="AD24" s="2">
        <f t="shared" si="8"/>
        <v>63.223333333333336</v>
      </c>
      <c r="AE24" s="2">
        <f t="shared" si="8"/>
        <v>47.111666666666672</v>
      </c>
      <c r="AF24" s="2">
        <f t="shared" si="8"/>
        <v>55.167499999999997</v>
      </c>
      <c r="AG24" s="2">
        <f t="shared" si="8"/>
        <v>19.478333333333335</v>
      </c>
      <c r="AH24" s="2">
        <f t="shared" si="8"/>
        <v>55.168333333333329</v>
      </c>
      <c r="AI24" s="2">
        <f t="shared" si="8"/>
        <v>11.26</v>
      </c>
      <c r="AJ24" s="2"/>
      <c r="AK24" s="2"/>
      <c r="AL24" s="2">
        <f t="shared" si="8"/>
        <v>57.784999999999997</v>
      </c>
      <c r="AM24" s="2">
        <f t="shared" si="8"/>
        <v>56.401666666666664</v>
      </c>
      <c r="AN24" s="2">
        <f t="shared" si="8"/>
        <v>50.914999999999999</v>
      </c>
      <c r="AO24" s="2">
        <f t="shared" si="8"/>
        <v>49.42166666666666</v>
      </c>
      <c r="AP24" s="2">
        <f t="shared" si="8"/>
        <v>54.72</v>
      </c>
      <c r="AQ24" s="2">
        <f t="shared" si="8"/>
        <v>49.803333333333335</v>
      </c>
      <c r="AR24" s="2">
        <f t="shared" si="8"/>
        <v>51.716666666666669</v>
      </c>
      <c r="AS24" s="2">
        <f t="shared" si="8"/>
        <v>45.468333333333334</v>
      </c>
      <c r="AT24" s="2">
        <f t="shared" si="8"/>
        <v>51.196666666666658</v>
      </c>
      <c r="AU24" s="2">
        <f t="shared" si="8"/>
        <v>51.140000000000008</v>
      </c>
      <c r="AV24" s="2">
        <f t="shared" si="8"/>
        <v>50.914999999999999</v>
      </c>
      <c r="AW24" s="2">
        <f t="shared" si="8"/>
        <v>51.475000000000001</v>
      </c>
      <c r="AX24" s="2">
        <f t="shared" si="8"/>
        <v>51.194999999999993</v>
      </c>
      <c r="AY24" s="2">
        <f t="shared" si="8"/>
        <v>15.51</v>
      </c>
      <c r="AZ24" s="2">
        <f t="shared" si="8"/>
        <v>51.196666666666658</v>
      </c>
      <c r="BA24" s="2">
        <f>AVERAGE(BA18:BA23)</f>
        <v>2.5733333333333328</v>
      </c>
    </row>
    <row r="27" spans="1:53" x14ac:dyDescent="0.25">
      <c r="A27" s="1" t="s">
        <v>16</v>
      </c>
      <c r="B27">
        <v>68.39</v>
      </c>
      <c r="C27">
        <v>61.92</v>
      </c>
      <c r="D27">
        <v>69.540000000000006</v>
      </c>
      <c r="E27">
        <v>61.79</v>
      </c>
      <c r="F27">
        <v>61.63</v>
      </c>
      <c r="G27">
        <v>68.33</v>
      </c>
      <c r="H27">
        <v>64.81</v>
      </c>
      <c r="I27">
        <v>45.36</v>
      </c>
      <c r="J27">
        <v>51.08</v>
      </c>
      <c r="K27">
        <v>55.49</v>
      </c>
      <c r="L27">
        <v>69.540000000000006</v>
      </c>
      <c r="M27">
        <v>32.630000000000003</v>
      </c>
      <c r="N27">
        <f t="shared" si="4"/>
        <v>51.085000000000008</v>
      </c>
      <c r="O27">
        <v>36.909999999999997</v>
      </c>
      <c r="P27">
        <v>51.08</v>
      </c>
      <c r="Q27">
        <v>2.52</v>
      </c>
      <c r="S27" s="1" t="s">
        <v>16</v>
      </c>
      <c r="T27">
        <v>68.260000000000005</v>
      </c>
      <c r="U27">
        <v>78.319999999999993</v>
      </c>
      <c r="V27">
        <v>29.53</v>
      </c>
      <c r="W27">
        <v>32.090000000000003</v>
      </c>
      <c r="X27">
        <v>67.31</v>
      </c>
      <c r="Y27">
        <v>31.67</v>
      </c>
      <c r="Z27">
        <v>43.08</v>
      </c>
      <c r="AA27">
        <v>39.700000000000003</v>
      </c>
      <c r="AB27">
        <v>50.73</v>
      </c>
      <c r="AC27">
        <v>55.75</v>
      </c>
      <c r="AD27">
        <v>29.53</v>
      </c>
      <c r="AE27">
        <v>71.930000000000007</v>
      </c>
      <c r="AF27">
        <f t="shared" si="5"/>
        <v>50.730000000000004</v>
      </c>
      <c r="AG27">
        <v>42.41</v>
      </c>
      <c r="AH27">
        <v>50.73</v>
      </c>
      <c r="AI27">
        <v>4.45</v>
      </c>
      <c r="AK27" s="1" t="s">
        <v>65</v>
      </c>
      <c r="AL27">
        <v>67.52</v>
      </c>
      <c r="AM27">
        <v>63.48</v>
      </c>
      <c r="AN27">
        <v>74.790000000000006</v>
      </c>
      <c r="AO27">
        <v>68.5</v>
      </c>
      <c r="AP27">
        <v>64.62</v>
      </c>
      <c r="AQ27">
        <v>76.02</v>
      </c>
      <c r="AR27">
        <v>69.849999999999994</v>
      </c>
      <c r="AS27">
        <v>51.42</v>
      </c>
      <c r="AT27">
        <v>52.56</v>
      </c>
      <c r="AU27">
        <v>56.73</v>
      </c>
      <c r="AV27">
        <v>74.790000000000006</v>
      </c>
      <c r="AW27">
        <v>30.34</v>
      </c>
      <c r="AX27">
        <f t="shared" si="6"/>
        <v>52.565000000000005</v>
      </c>
      <c r="AY27">
        <v>44.45</v>
      </c>
      <c r="AZ27">
        <v>52.56</v>
      </c>
      <c r="BA27">
        <v>4.92</v>
      </c>
    </row>
    <row r="28" spans="1:53" x14ac:dyDescent="0.25">
      <c r="B28">
        <v>67.319999999999993</v>
      </c>
      <c r="C28">
        <v>59.46</v>
      </c>
      <c r="D28">
        <v>68.849999999999994</v>
      </c>
      <c r="E28">
        <v>60.28</v>
      </c>
      <c r="F28">
        <v>59.92</v>
      </c>
      <c r="G28">
        <v>66.97</v>
      </c>
      <c r="H28">
        <v>63.25</v>
      </c>
      <c r="I28">
        <v>43.69</v>
      </c>
      <c r="J28">
        <v>49.08</v>
      </c>
      <c r="K28">
        <v>56.32</v>
      </c>
      <c r="L28">
        <v>68.849999999999994</v>
      </c>
      <c r="M28">
        <v>29.32</v>
      </c>
      <c r="N28">
        <f t="shared" si="4"/>
        <v>49.084999999999994</v>
      </c>
      <c r="O28">
        <v>39.53</v>
      </c>
      <c r="P28">
        <v>49.08</v>
      </c>
      <c r="Q28">
        <v>-1.79</v>
      </c>
      <c r="T28">
        <v>68.67</v>
      </c>
      <c r="U28">
        <v>72.78</v>
      </c>
      <c r="V28">
        <v>30.39</v>
      </c>
      <c r="W28">
        <v>31.41</v>
      </c>
      <c r="X28">
        <v>69.52</v>
      </c>
      <c r="Y28">
        <v>33.03</v>
      </c>
      <c r="Z28">
        <v>44.79</v>
      </c>
      <c r="AA28">
        <v>38.86</v>
      </c>
      <c r="AB28">
        <v>51.22</v>
      </c>
      <c r="AC28">
        <v>56.05</v>
      </c>
      <c r="AD28">
        <v>30.39</v>
      </c>
      <c r="AE28">
        <v>72.06</v>
      </c>
      <c r="AF28">
        <f t="shared" si="5"/>
        <v>51.225000000000001</v>
      </c>
      <c r="AG28">
        <v>41.67</v>
      </c>
      <c r="AH28">
        <v>51.22</v>
      </c>
      <c r="AI28">
        <v>3.6</v>
      </c>
      <c r="AL28">
        <v>69.75</v>
      </c>
      <c r="AM28">
        <v>65.75</v>
      </c>
      <c r="AN28">
        <v>73.53</v>
      </c>
      <c r="AO28">
        <v>69.08</v>
      </c>
      <c r="AP28">
        <v>66.8</v>
      </c>
      <c r="AQ28">
        <v>74.66</v>
      </c>
      <c r="AR28">
        <v>70.510000000000005</v>
      </c>
      <c r="AS28">
        <v>52.73</v>
      </c>
      <c r="AT28">
        <v>54.52</v>
      </c>
      <c r="AU28">
        <v>59.05</v>
      </c>
      <c r="AV28">
        <v>73.53</v>
      </c>
      <c r="AW28">
        <v>35.51</v>
      </c>
      <c r="AX28">
        <f t="shared" si="6"/>
        <v>54.519999999999996</v>
      </c>
      <c r="AY28">
        <v>38.020000000000003</v>
      </c>
      <c r="AZ28">
        <v>54.52</v>
      </c>
      <c r="BA28">
        <v>7.31</v>
      </c>
    </row>
    <row r="29" spans="1:53" x14ac:dyDescent="0.25">
      <c r="B29">
        <v>52.16</v>
      </c>
      <c r="C29">
        <v>56.12</v>
      </c>
      <c r="D29">
        <v>73.06</v>
      </c>
      <c r="E29">
        <v>52.69</v>
      </c>
      <c r="F29">
        <v>50.96</v>
      </c>
      <c r="G29">
        <v>69.28</v>
      </c>
      <c r="H29">
        <v>58.73</v>
      </c>
      <c r="I29">
        <v>43.24</v>
      </c>
      <c r="J29">
        <v>54.74</v>
      </c>
      <c r="K29">
        <v>53.42</v>
      </c>
      <c r="L29">
        <v>73.06</v>
      </c>
      <c r="M29">
        <v>36.43</v>
      </c>
      <c r="N29">
        <f t="shared" si="4"/>
        <v>54.745000000000005</v>
      </c>
      <c r="O29">
        <v>36.630000000000003</v>
      </c>
      <c r="P29">
        <v>54.74</v>
      </c>
      <c r="Q29">
        <v>12.08</v>
      </c>
      <c r="T29">
        <v>57.05</v>
      </c>
      <c r="U29">
        <v>71.55</v>
      </c>
      <c r="V29">
        <v>51.18</v>
      </c>
      <c r="W29">
        <v>36.729999999999997</v>
      </c>
      <c r="X29">
        <v>50.65</v>
      </c>
      <c r="Y29">
        <v>50.98</v>
      </c>
      <c r="Z29">
        <v>50.81</v>
      </c>
      <c r="AA29">
        <v>37.53</v>
      </c>
      <c r="AB29">
        <v>51.51</v>
      </c>
      <c r="AC29">
        <v>56.4</v>
      </c>
      <c r="AD29">
        <v>51.18</v>
      </c>
      <c r="AE29">
        <v>51.84</v>
      </c>
      <c r="AF29">
        <f t="shared" si="5"/>
        <v>51.510000000000005</v>
      </c>
      <c r="AG29">
        <v>0.65</v>
      </c>
      <c r="AH29">
        <v>51.51</v>
      </c>
      <c r="AI29">
        <v>5.16</v>
      </c>
      <c r="AL29">
        <v>51.58</v>
      </c>
      <c r="AM29">
        <v>55.47</v>
      </c>
      <c r="AN29">
        <v>71.37</v>
      </c>
      <c r="AO29">
        <v>51.23</v>
      </c>
      <c r="AP29">
        <v>48.11</v>
      </c>
      <c r="AQ29">
        <v>66.67</v>
      </c>
      <c r="AR29">
        <v>55.89</v>
      </c>
      <c r="AS29">
        <v>39.54</v>
      </c>
      <c r="AT29">
        <v>51.3</v>
      </c>
      <c r="AU29">
        <v>52.23</v>
      </c>
      <c r="AV29">
        <v>71.37</v>
      </c>
      <c r="AW29">
        <v>31.24</v>
      </c>
      <c r="AX29">
        <f t="shared" si="6"/>
        <v>51.305</v>
      </c>
      <c r="AY29">
        <v>40.130000000000003</v>
      </c>
      <c r="AZ29">
        <v>51.3</v>
      </c>
      <c r="BA29">
        <v>1.97</v>
      </c>
    </row>
    <row r="30" spans="1:53" x14ac:dyDescent="0.25">
      <c r="B30">
        <v>64.58</v>
      </c>
      <c r="C30">
        <v>62.33</v>
      </c>
      <c r="D30">
        <v>68.069999999999993</v>
      </c>
      <c r="E30">
        <v>62.23</v>
      </c>
      <c r="F30">
        <v>62.61</v>
      </c>
      <c r="G30">
        <v>67.42</v>
      </c>
      <c r="H30">
        <v>64.92</v>
      </c>
      <c r="I30">
        <v>48.14</v>
      </c>
      <c r="J30">
        <v>51.89</v>
      </c>
      <c r="K30">
        <v>51.28</v>
      </c>
      <c r="L30">
        <v>68.069999999999993</v>
      </c>
      <c r="M30">
        <v>35.72</v>
      </c>
      <c r="N30">
        <f t="shared" si="4"/>
        <v>51.894999999999996</v>
      </c>
      <c r="O30">
        <v>32.35</v>
      </c>
      <c r="P30">
        <v>51.89</v>
      </c>
      <c r="Q30">
        <v>6.02</v>
      </c>
      <c r="T30">
        <v>67.13</v>
      </c>
      <c r="U30">
        <v>63.53</v>
      </c>
      <c r="V30">
        <v>28.75</v>
      </c>
      <c r="W30">
        <v>27.95</v>
      </c>
      <c r="X30">
        <v>68.930000000000007</v>
      </c>
      <c r="Y30">
        <v>32.130000000000003</v>
      </c>
      <c r="Z30">
        <v>43.83</v>
      </c>
      <c r="AA30">
        <v>37.61</v>
      </c>
      <c r="AB30">
        <v>50.63</v>
      </c>
      <c r="AC30">
        <v>55.34</v>
      </c>
      <c r="AD30">
        <v>28.75</v>
      </c>
      <c r="AE30">
        <v>72.52</v>
      </c>
      <c r="AF30">
        <f t="shared" si="5"/>
        <v>50.634999999999998</v>
      </c>
      <c r="AG30">
        <v>43.76</v>
      </c>
      <c r="AH30">
        <v>50.63</v>
      </c>
      <c r="AI30">
        <v>2.21</v>
      </c>
      <c r="AL30">
        <v>65.66</v>
      </c>
      <c r="AM30">
        <v>62.91</v>
      </c>
      <c r="AN30">
        <v>68.209999999999994</v>
      </c>
      <c r="AO30">
        <v>64.900000000000006</v>
      </c>
      <c r="AP30">
        <v>64.44</v>
      </c>
      <c r="AQ30">
        <v>69.680000000000007</v>
      </c>
      <c r="AR30">
        <v>66.959999999999994</v>
      </c>
      <c r="AS30">
        <v>50.53</v>
      </c>
      <c r="AT30">
        <v>51.76</v>
      </c>
      <c r="AU30">
        <v>54.13</v>
      </c>
      <c r="AV30">
        <v>68.209999999999994</v>
      </c>
      <c r="AW30">
        <v>35.31</v>
      </c>
      <c r="AX30">
        <f t="shared" si="6"/>
        <v>51.76</v>
      </c>
      <c r="AY30">
        <v>32.89</v>
      </c>
      <c r="AZ30">
        <v>51.76</v>
      </c>
      <c r="BA30">
        <v>4.47</v>
      </c>
    </row>
    <row r="31" spans="1:53" x14ac:dyDescent="0.25">
      <c r="B31">
        <v>55.89</v>
      </c>
      <c r="C31">
        <v>58.83</v>
      </c>
      <c r="D31">
        <v>71.52</v>
      </c>
      <c r="E31">
        <v>52.69</v>
      </c>
      <c r="F31">
        <v>50.24</v>
      </c>
      <c r="G31">
        <v>67.319999999999993</v>
      </c>
      <c r="H31">
        <v>57.54</v>
      </c>
      <c r="I31">
        <v>43.38</v>
      </c>
      <c r="J31">
        <v>54.98</v>
      </c>
      <c r="K31">
        <v>60.21</v>
      </c>
      <c r="L31">
        <v>71.52</v>
      </c>
      <c r="M31">
        <v>38.44</v>
      </c>
      <c r="N31">
        <f t="shared" si="4"/>
        <v>54.98</v>
      </c>
      <c r="O31">
        <v>33.08</v>
      </c>
      <c r="P31">
        <v>54.98</v>
      </c>
      <c r="Q31">
        <v>10.37</v>
      </c>
      <c r="T31">
        <v>54.32</v>
      </c>
      <c r="U31">
        <v>62.59</v>
      </c>
      <c r="V31">
        <v>51.65</v>
      </c>
      <c r="W31">
        <v>37.39</v>
      </c>
      <c r="X31">
        <v>51.97</v>
      </c>
      <c r="Y31">
        <v>51.63</v>
      </c>
      <c r="Z31">
        <v>51.8</v>
      </c>
      <c r="AA31">
        <v>37.909999999999997</v>
      </c>
      <c r="AB31">
        <v>51.17</v>
      </c>
      <c r="AC31">
        <v>55.81</v>
      </c>
      <c r="AD31">
        <v>51.65</v>
      </c>
      <c r="AE31">
        <v>50.7</v>
      </c>
      <c r="AF31">
        <f t="shared" si="5"/>
        <v>51.174999999999997</v>
      </c>
      <c r="AG31">
        <v>0.94</v>
      </c>
      <c r="AH31">
        <v>51.17</v>
      </c>
      <c r="AI31">
        <v>0.93</v>
      </c>
      <c r="AL31">
        <v>55.89</v>
      </c>
      <c r="AM31">
        <v>56.3</v>
      </c>
      <c r="AN31">
        <v>72.599999999999994</v>
      </c>
      <c r="AO31">
        <v>52.37</v>
      </c>
      <c r="AP31">
        <v>49.3</v>
      </c>
      <c r="AQ31">
        <v>68.63</v>
      </c>
      <c r="AR31">
        <v>57.38</v>
      </c>
      <c r="AS31">
        <v>42.26</v>
      </c>
      <c r="AT31">
        <v>53.19</v>
      </c>
      <c r="AU31">
        <v>57.19</v>
      </c>
      <c r="AV31">
        <v>72.599999999999994</v>
      </c>
      <c r="AW31">
        <v>33.770000000000003</v>
      </c>
      <c r="AX31">
        <f t="shared" si="6"/>
        <v>53.185000000000002</v>
      </c>
      <c r="AY31">
        <v>38.83</v>
      </c>
      <c r="AZ31">
        <v>53.19</v>
      </c>
      <c r="BA31">
        <v>7.54</v>
      </c>
    </row>
    <row r="32" spans="1:53" x14ac:dyDescent="0.25">
      <c r="B32">
        <v>51.1</v>
      </c>
      <c r="C32">
        <v>64.540000000000006</v>
      </c>
      <c r="D32">
        <v>50.67</v>
      </c>
      <c r="E32">
        <v>35.049999999999997</v>
      </c>
      <c r="F32">
        <v>45.29</v>
      </c>
      <c r="G32">
        <v>46.67</v>
      </c>
      <c r="H32">
        <v>45.97</v>
      </c>
      <c r="I32">
        <v>34.049999999999997</v>
      </c>
      <c r="J32">
        <v>48.57</v>
      </c>
      <c r="K32">
        <v>49</v>
      </c>
      <c r="L32">
        <v>50.67</v>
      </c>
      <c r="M32">
        <v>46.47</v>
      </c>
      <c r="N32">
        <f t="shared" si="4"/>
        <v>48.57</v>
      </c>
      <c r="O32">
        <v>4.1900000000000004</v>
      </c>
      <c r="P32">
        <v>48.57</v>
      </c>
      <c r="Q32">
        <v>-2.71</v>
      </c>
      <c r="T32">
        <v>49.44</v>
      </c>
      <c r="U32">
        <v>57</v>
      </c>
      <c r="V32">
        <v>67.09</v>
      </c>
      <c r="W32">
        <v>44.18</v>
      </c>
      <c r="X32">
        <v>46.85</v>
      </c>
      <c r="Y32">
        <v>63.03</v>
      </c>
      <c r="Z32">
        <v>53.75</v>
      </c>
      <c r="AA32">
        <v>33</v>
      </c>
      <c r="AB32">
        <v>50.06</v>
      </c>
      <c r="AC32">
        <v>47.3</v>
      </c>
      <c r="AD32">
        <v>67.09</v>
      </c>
      <c r="AE32">
        <v>33.03</v>
      </c>
      <c r="AF32">
        <f t="shared" si="5"/>
        <v>50.06</v>
      </c>
      <c r="AG32">
        <v>34.06</v>
      </c>
      <c r="AH32">
        <v>50.06</v>
      </c>
      <c r="AI32">
        <v>-0.01</v>
      </c>
      <c r="AL32">
        <v>54.36</v>
      </c>
      <c r="AM32">
        <v>66.06</v>
      </c>
      <c r="AN32">
        <v>51.54</v>
      </c>
      <c r="AO32">
        <v>37.06</v>
      </c>
      <c r="AP32">
        <v>47.35</v>
      </c>
      <c r="AQ32">
        <v>48.79</v>
      </c>
      <c r="AR32">
        <v>48.06</v>
      </c>
      <c r="AS32">
        <v>36.880000000000003</v>
      </c>
      <c r="AT32">
        <v>50.12</v>
      </c>
      <c r="AU32">
        <v>50.18</v>
      </c>
      <c r="AV32">
        <v>51.54</v>
      </c>
      <c r="AW32">
        <v>48.7</v>
      </c>
      <c r="AX32">
        <f t="shared" si="6"/>
        <v>50.120000000000005</v>
      </c>
      <c r="AY32">
        <v>2.84</v>
      </c>
      <c r="AZ32">
        <v>50.12</v>
      </c>
      <c r="BA32">
        <v>1.63</v>
      </c>
    </row>
    <row r="33" spans="1:53" x14ac:dyDescent="0.25">
      <c r="B33" s="2">
        <f>AVERAGE(B27:B32)</f>
        <v>59.906666666666666</v>
      </c>
      <c r="C33" s="2">
        <f t="shared" ref="C33:BA33" si="9">AVERAGE(C27:C32)</f>
        <v>60.533333333333331</v>
      </c>
      <c r="D33" s="2">
        <f t="shared" si="9"/>
        <v>66.951666666666668</v>
      </c>
      <c r="E33" s="2">
        <f t="shared" si="9"/>
        <v>54.121666666666663</v>
      </c>
      <c r="F33" s="2">
        <f t="shared" si="9"/>
        <v>55.108333333333341</v>
      </c>
      <c r="G33" s="2">
        <f t="shared" si="9"/>
        <v>64.331666666666663</v>
      </c>
      <c r="H33" s="2">
        <f t="shared" si="9"/>
        <v>59.20333333333334</v>
      </c>
      <c r="I33" s="2">
        <f t="shared" si="9"/>
        <v>42.976666666666667</v>
      </c>
      <c r="J33" s="2">
        <f t="shared" si="9"/>
        <v>51.723333333333336</v>
      </c>
      <c r="K33" s="2">
        <f t="shared" si="9"/>
        <v>54.286666666666669</v>
      </c>
      <c r="L33" s="2">
        <f t="shared" si="9"/>
        <v>66.951666666666668</v>
      </c>
      <c r="M33" s="2">
        <f t="shared" si="9"/>
        <v>36.501666666666665</v>
      </c>
      <c r="N33" s="2">
        <f t="shared" si="9"/>
        <v>51.726666666666667</v>
      </c>
      <c r="O33" s="2">
        <f t="shared" si="9"/>
        <v>30.448333333333334</v>
      </c>
      <c r="P33" s="2">
        <f t="shared" si="9"/>
        <v>51.723333333333336</v>
      </c>
      <c r="Q33" s="2">
        <f t="shared" si="9"/>
        <v>4.4149999999999991</v>
      </c>
      <c r="R33" s="2"/>
      <c r="S33" s="2"/>
      <c r="T33" s="2">
        <f t="shared" si="9"/>
        <v>60.811666666666667</v>
      </c>
      <c r="U33" s="2">
        <f t="shared" si="9"/>
        <v>67.62833333333333</v>
      </c>
      <c r="V33" s="2">
        <f t="shared" si="9"/>
        <v>43.098333333333336</v>
      </c>
      <c r="W33" s="2">
        <f t="shared" si="9"/>
        <v>34.958333333333336</v>
      </c>
      <c r="X33" s="2">
        <f t="shared" si="9"/>
        <v>59.205000000000005</v>
      </c>
      <c r="Y33" s="2">
        <f t="shared" si="9"/>
        <v>43.745000000000005</v>
      </c>
      <c r="Z33" s="2">
        <f t="shared" si="9"/>
        <v>48.01</v>
      </c>
      <c r="AA33" s="2">
        <f t="shared" si="9"/>
        <v>37.434999999999995</v>
      </c>
      <c r="AB33" s="2">
        <f t="shared" si="9"/>
        <v>50.886666666666663</v>
      </c>
      <c r="AC33" s="2">
        <f t="shared" si="9"/>
        <v>54.44166666666667</v>
      </c>
      <c r="AD33" s="2">
        <f t="shared" si="9"/>
        <v>43.098333333333336</v>
      </c>
      <c r="AE33" s="2">
        <f t="shared" si="9"/>
        <v>58.680000000000007</v>
      </c>
      <c r="AF33" s="2">
        <f t="shared" si="9"/>
        <v>50.889166666666675</v>
      </c>
      <c r="AG33" s="2">
        <f t="shared" si="9"/>
        <v>27.248333333333335</v>
      </c>
      <c r="AH33" s="2">
        <f t="shared" si="9"/>
        <v>50.886666666666663</v>
      </c>
      <c r="AI33" s="2">
        <f t="shared" si="9"/>
        <v>2.7233333333333332</v>
      </c>
      <c r="AJ33" s="2"/>
      <c r="AK33" s="2"/>
      <c r="AL33" s="2">
        <f t="shared" si="9"/>
        <v>60.793333333333329</v>
      </c>
      <c r="AM33" s="2">
        <f t="shared" si="9"/>
        <v>61.661666666666662</v>
      </c>
      <c r="AN33" s="2">
        <f t="shared" si="9"/>
        <v>68.673333333333332</v>
      </c>
      <c r="AO33" s="2">
        <f t="shared" si="9"/>
        <v>57.19</v>
      </c>
      <c r="AP33" s="2">
        <f t="shared" si="9"/>
        <v>56.77000000000001</v>
      </c>
      <c r="AQ33" s="2">
        <f t="shared" si="9"/>
        <v>67.408333333333346</v>
      </c>
      <c r="AR33" s="2">
        <f t="shared" si="9"/>
        <v>61.441666666666663</v>
      </c>
      <c r="AS33" s="2">
        <f t="shared" si="9"/>
        <v>45.56</v>
      </c>
      <c r="AT33" s="2">
        <f t="shared" si="9"/>
        <v>52.241666666666667</v>
      </c>
      <c r="AU33" s="2">
        <f t="shared" si="9"/>
        <v>54.918333333333329</v>
      </c>
      <c r="AV33" s="2">
        <f t="shared" si="9"/>
        <v>68.673333333333332</v>
      </c>
      <c r="AW33" s="2">
        <f t="shared" si="9"/>
        <v>35.811666666666667</v>
      </c>
      <c r="AX33" s="2">
        <f t="shared" si="9"/>
        <v>52.242500000000007</v>
      </c>
      <c r="AY33" s="2">
        <f t="shared" si="9"/>
        <v>32.86</v>
      </c>
      <c r="AZ33" s="2">
        <f t="shared" si="9"/>
        <v>52.241666666666667</v>
      </c>
      <c r="BA33" s="2">
        <f t="shared" si="9"/>
        <v>4.6399999999999997</v>
      </c>
    </row>
    <row r="36" spans="1:53" x14ac:dyDescent="0.25">
      <c r="A36" s="1" t="s">
        <v>17</v>
      </c>
      <c r="B36">
        <v>67.39</v>
      </c>
      <c r="C36">
        <v>65.010000000000005</v>
      </c>
      <c r="D36">
        <v>28.67</v>
      </c>
      <c r="E36">
        <v>38.450000000000003</v>
      </c>
      <c r="F36">
        <v>65.930000000000007</v>
      </c>
      <c r="G36">
        <v>27.15</v>
      </c>
      <c r="H36">
        <v>38.46</v>
      </c>
      <c r="I36">
        <v>45.39</v>
      </c>
      <c r="J36">
        <v>53.38</v>
      </c>
      <c r="K36">
        <v>55.48</v>
      </c>
      <c r="L36">
        <v>28.67</v>
      </c>
      <c r="M36">
        <v>78.08</v>
      </c>
      <c r="N36">
        <f t="shared" si="4"/>
        <v>53.375</v>
      </c>
      <c r="O36">
        <v>49.41</v>
      </c>
      <c r="P36">
        <v>53.38</v>
      </c>
      <c r="Q36">
        <v>6.54</v>
      </c>
      <c r="S36" s="1" t="s">
        <v>17</v>
      </c>
      <c r="T36">
        <v>66.790000000000006</v>
      </c>
      <c r="U36">
        <v>74.150000000000006</v>
      </c>
      <c r="V36">
        <v>53.7</v>
      </c>
      <c r="W36">
        <v>52.12</v>
      </c>
      <c r="X36">
        <v>68.06</v>
      </c>
      <c r="Y36">
        <v>58.82</v>
      </c>
      <c r="Z36">
        <v>63.11</v>
      </c>
      <c r="AA36">
        <v>49.02</v>
      </c>
      <c r="AB36">
        <v>52.86</v>
      </c>
      <c r="AC36">
        <v>55.98</v>
      </c>
      <c r="AD36">
        <v>53.7</v>
      </c>
      <c r="AE36">
        <v>52.03</v>
      </c>
      <c r="AF36">
        <f t="shared" si="5"/>
        <v>52.865000000000002</v>
      </c>
      <c r="AG36">
        <v>1.67</v>
      </c>
      <c r="AH36">
        <v>52.86</v>
      </c>
      <c r="AI36">
        <v>8.32</v>
      </c>
      <c r="AK36" s="1" t="s">
        <v>17</v>
      </c>
      <c r="AL36">
        <v>67.86</v>
      </c>
      <c r="AM36">
        <v>67.17</v>
      </c>
      <c r="AN36">
        <v>62.42</v>
      </c>
      <c r="AO36">
        <v>63.11</v>
      </c>
      <c r="AP36">
        <v>66.83</v>
      </c>
      <c r="AQ36">
        <v>61.99</v>
      </c>
      <c r="AR36">
        <v>64.319999999999993</v>
      </c>
      <c r="AS36">
        <v>54.91</v>
      </c>
      <c r="AT36">
        <v>56.87</v>
      </c>
      <c r="AU36">
        <v>60.36</v>
      </c>
      <c r="AV36">
        <v>62.42</v>
      </c>
      <c r="AW36">
        <v>51.33</v>
      </c>
      <c r="AX36">
        <f t="shared" si="6"/>
        <v>56.875</v>
      </c>
      <c r="AY36">
        <v>11.09</v>
      </c>
      <c r="AZ36">
        <v>56.87</v>
      </c>
      <c r="BA36">
        <v>13.72</v>
      </c>
    </row>
    <row r="37" spans="1:53" x14ac:dyDescent="0.25">
      <c r="B37">
        <v>68.63</v>
      </c>
      <c r="C37">
        <v>65.67</v>
      </c>
      <c r="D37">
        <v>29.47</v>
      </c>
      <c r="E37">
        <v>38.85</v>
      </c>
      <c r="F37">
        <v>65.59</v>
      </c>
      <c r="G37">
        <v>27.6</v>
      </c>
      <c r="H37">
        <v>38.85</v>
      </c>
      <c r="I37">
        <v>45.5</v>
      </c>
      <c r="J37">
        <v>53.48</v>
      </c>
      <c r="K37">
        <v>58.55</v>
      </c>
      <c r="L37">
        <v>29.47</v>
      </c>
      <c r="M37">
        <v>77.5</v>
      </c>
      <c r="N37">
        <f t="shared" si="4"/>
        <v>53.484999999999999</v>
      </c>
      <c r="O37">
        <v>48.03</v>
      </c>
      <c r="P37">
        <v>53.48</v>
      </c>
      <c r="Q37">
        <v>7.04</v>
      </c>
      <c r="T37">
        <v>66.11</v>
      </c>
      <c r="U37">
        <v>74.400000000000006</v>
      </c>
      <c r="V37">
        <v>56.9</v>
      </c>
      <c r="W37">
        <v>52.59</v>
      </c>
      <c r="X37">
        <v>66.17</v>
      </c>
      <c r="Y37">
        <v>60.18</v>
      </c>
      <c r="Z37">
        <v>63.03</v>
      </c>
      <c r="AA37">
        <v>46.23</v>
      </c>
      <c r="AB37">
        <v>51.21</v>
      </c>
      <c r="AC37">
        <v>54.56</v>
      </c>
      <c r="AD37">
        <v>56.9</v>
      </c>
      <c r="AE37">
        <v>45.53</v>
      </c>
      <c r="AF37">
        <f t="shared" si="5"/>
        <v>51.215000000000003</v>
      </c>
      <c r="AG37">
        <v>11.38</v>
      </c>
      <c r="AH37">
        <v>51.21</v>
      </c>
      <c r="AI37">
        <v>2.52</v>
      </c>
      <c r="AL37">
        <v>69.5</v>
      </c>
      <c r="AM37">
        <v>67.72</v>
      </c>
      <c r="AN37">
        <v>53.8</v>
      </c>
      <c r="AO37">
        <v>58.45</v>
      </c>
      <c r="AP37">
        <v>67.05</v>
      </c>
      <c r="AQ37">
        <v>52.49</v>
      </c>
      <c r="AR37">
        <v>58.88</v>
      </c>
      <c r="AS37">
        <v>53.95</v>
      </c>
      <c r="AT37">
        <v>56.73</v>
      </c>
      <c r="AU37">
        <v>59.52</v>
      </c>
      <c r="AV37">
        <v>53.8</v>
      </c>
      <c r="AW37">
        <v>59.65</v>
      </c>
      <c r="AX37">
        <f t="shared" si="6"/>
        <v>56.724999999999994</v>
      </c>
      <c r="AY37">
        <v>5.85</v>
      </c>
      <c r="AZ37">
        <v>56.73</v>
      </c>
      <c r="BA37">
        <v>13.18</v>
      </c>
    </row>
    <row r="38" spans="1:53" x14ac:dyDescent="0.25">
      <c r="B38">
        <v>53.48</v>
      </c>
      <c r="C38">
        <v>61.61</v>
      </c>
      <c r="D38">
        <v>38.49</v>
      </c>
      <c r="E38">
        <v>33.25</v>
      </c>
      <c r="F38">
        <v>45.76</v>
      </c>
      <c r="G38">
        <v>35.29</v>
      </c>
      <c r="H38">
        <v>39.85</v>
      </c>
      <c r="I38">
        <v>38.22</v>
      </c>
      <c r="J38">
        <v>49.71</v>
      </c>
      <c r="K38">
        <v>53.88</v>
      </c>
      <c r="L38">
        <v>38.49</v>
      </c>
      <c r="M38">
        <v>60.93</v>
      </c>
      <c r="N38">
        <f t="shared" si="4"/>
        <v>49.71</v>
      </c>
      <c r="O38">
        <v>22.44</v>
      </c>
      <c r="P38">
        <v>49.71</v>
      </c>
      <c r="Q38">
        <v>-0.22</v>
      </c>
      <c r="T38">
        <v>59.34</v>
      </c>
      <c r="U38">
        <v>74.150000000000006</v>
      </c>
      <c r="V38">
        <v>52.32</v>
      </c>
      <c r="W38">
        <v>41.46</v>
      </c>
      <c r="X38">
        <v>56.67</v>
      </c>
      <c r="Y38">
        <v>55.56</v>
      </c>
      <c r="Z38">
        <v>56.11</v>
      </c>
      <c r="AA38">
        <v>44.84</v>
      </c>
      <c r="AB38">
        <v>54.24</v>
      </c>
      <c r="AC38">
        <v>61.37</v>
      </c>
      <c r="AD38">
        <v>52.32</v>
      </c>
      <c r="AE38">
        <v>56.16</v>
      </c>
      <c r="AF38">
        <f t="shared" si="5"/>
        <v>54.239999999999995</v>
      </c>
      <c r="AG38">
        <v>3.84</v>
      </c>
      <c r="AH38">
        <v>54.24</v>
      </c>
      <c r="AI38">
        <v>8.8800000000000008</v>
      </c>
      <c r="AL38">
        <v>52.77</v>
      </c>
      <c r="AM38">
        <v>60.2</v>
      </c>
      <c r="AN38">
        <v>47.27</v>
      </c>
      <c r="AO38">
        <v>35.72</v>
      </c>
      <c r="AP38">
        <v>41.38</v>
      </c>
      <c r="AQ38">
        <v>39.22</v>
      </c>
      <c r="AR38">
        <v>40.270000000000003</v>
      </c>
      <c r="AS38">
        <v>37.25</v>
      </c>
      <c r="AT38">
        <v>50.94</v>
      </c>
      <c r="AU38">
        <v>53.8</v>
      </c>
      <c r="AV38">
        <v>47.27</v>
      </c>
      <c r="AW38">
        <v>54.6</v>
      </c>
      <c r="AX38">
        <f t="shared" si="6"/>
        <v>50.935000000000002</v>
      </c>
      <c r="AY38">
        <v>7.33</v>
      </c>
      <c r="AZ38">
        <v>50.94</v>
      </c>
      <c r="BA38">
        <v>3.09</v>
      </c>
    </row>
    <row r="39" spans="1:53" x14ac:dyDescent="0.25">
      <c r="B39">
        <v>70.77</v>
      </c>
      <c r="C39">
        <v>72.739999999999995</v>
      </c>
      <c r="D39">
        <v>36.090000000000003</v>
      </c>
      <c r="E39">
        <v>43.32</v>
      </c>
      <c r="F39">
        <v>67.59</v>
      </c>
      <c r="G39">
        <v>33.03</v>
      </c>
      <c r="H39">
        <v>44.38</v>
      </c>
      <c r="I39">
        <v>48.36</v>
      </c>
      <c r="J39">
        <v>57.16</v>
      </c>
      <c r="K39">
        <v>57.71</v>
      </c>
      <c r="L39">
        <v>36.090000000000003</v>
      </c>
      <c r="M39">
        <v>78.23</v>
      </c>
      <c r="N39">
        <f t="shared" si="4"/>
        <v>57.160000000000004</v>
      </c>
      <c r="O39">
        <v>42.15</v>
      </c>
      <c r="P39">
        <v>57.16</v>
      </c>
      <c r="Q39">
        <v>15.31</v>
      </c>
      <c r="T39">
        <v>67.66</v>
      </c>
      <c r="U39">
        <v>73.459999999999994</v>
      </c>
      <c r="V39">
        <v>49.17</v>
      </c>
      <c r="W39">
        <v>48.65</v>
      </c>
      <c r="X39">
        <v>66.48</v>
      </c>
      <c r="Y39">
        <v>53.85</v>
      </c>
      <c r="Z39">
        <v>59.5</v>
      </c>
      <c r="AA39">
        <v>45.5</v>
      </c>
      <c r="AB39">
        <v>50.52</v>
      </c>
      <c r="AC39">
        <v>54.94</v>
      </c>
      <c r="AD39">
        <v>49.17</v>
      </c>
      <c r="AE39">
        <v>51.87</v>
      </c>
      <c r="AF39">
        <f t="shared" si="5"/>
        <v>50.519999999999996</v>
      </c>
      <c r="AG39">
        <v>2.7</v>
      </c>
      <c r="AH39">
        <v>50.52</v>
      </c>
      <c r="AI39">
        <v>0.21</v>
      </c>
      <c r="AL39">
        <v>71.739999999999995</v>
      </c>
      <c r="AM39">
        <v>67.67</v>
      </c>
      <c r="AN39">
        <v>60.43</v>
      </c>
      <c r="AO39">
        <v>62.1</v>
      </c>
      <c r="AP39">
        <v>67.34</v>
      </c>
      <c r="AQ39">
        <v>60.63</v>
      </c>
      <c r="AR39">
        <v>63.81</v>
      </c>
      <c r="AS39">
        <v>54.6</v>
      </c>
      <c r="AT39">
        <v>56.75</v>
      </c>
      <c r="AU39">
        <v>61.86</v>
      </c>
      <c r="AV39">
        <v>60.43</v>
      </c>
      <c r="AW39">
        <v>53.07</v>
      </c>
      <c r="AX39">
        <f t="shared" si="6"/>
        <v>56.75</v>
      </c>
      <c r="AY39">
        <v>7.36</v>
      </c>
      <c r="AZ39">
        <v>56.75</v>
      </c>
      <c r="BA39">
        <v>13.66</v>
      </c>
    </row>
    <row r="40" spans="1:53" x14ac:dyDescent="0.25">
      <c r="B40">
        <v>55.99</v>
      </c>
      <c r="C40">
        <v>67.02</v>
      </c>
      <c r="D40">
        <v>45.16</v>
      </c>
      <c r="E40">
        <v>37.340000000000003</v>
      </c>
      <c r="F40">
        <v>50.39</v>
      </c>
      <c r="G40">
        <v>42.48</v>
      </c>
      <c r="H40">
        <v>46.1</v>
      </c>
      <c r="I40">
        <v>41.67</v>
      </c>
      <c r="J40">
        <v>53.46</v>
      </c>
      <c r="K40">
        <v>57.92</v>
      </c>
      <c r="L40">
        <v>45.16</v>
      </c>
      <c r="M40">
        <v>61.76</v>
      </c>
      <c r="N40">
        <f t="shared" si="4"/>
        <v>53.459999999999994</v>
      </c>
      <c r="O40">
        <v>16.600000000000001</v>
      </c>
      <c r="P40">
        <v>53.46</v>
      </c>
      <c r="Q40">
        <v>6.91</v>
      </c>
      <c r="T40">
        <v>56.49</v>
      </c>
      <c r="U40">
        <v>73.28</v>
      </c>
      <c r="V40">
        <v>49.91</v>
      </c>
      <c r="W40">
        <v>42.04</v>
      </c>
      <c r="X40">
        <v>56.25</v>
      </c>
      <c r="Y40">
        <v>52.94</v>
      </c>
      <c r="Z40">
        <v>54.55</v>
      </c>
      <c r="AA40">
        <v>43.87</v>
      </c>
      <c r="AB40">
        <v>52.2</v>
      </c>
      <c r="AC40">
        <v>55.02</v>
      </c>
      <c r="AD40">
        <v>49.91</v>
      </c>
      <c r="AE40">
        <v>54.49</v>
      </c>
      <c r="AF40">
        <f t="shared" si="5"/>
        <v>52.2</v>
      </c>
      <c r="AG40">
        <v>4.58</v>
      </c>
      <c r="AH40">
        <v>52.2</v>
      </c>
      <c r="AI40">
        <v>5.83</v>
      </c>
      <c r="AL40">
        <v>55.6</v>
      </c>
      <c r="AM40">
        <v>62.38</v>
      </c>
      <c r="AN40">
        <v>55.6</v>
      </c>
      <c r="AO40">
        <v>42.64</v>
      </c>
      <c r="AP40">
        <v>45.68</v>
      </c>
      <c r="AQ40">
        <v>48.37</v>
      </c>
      <c r="AR40">
        <v>46.98</v>
      </c>
      <c r="AS40">
        <v>41.38</v>
      </c>
      <c r="AT40">
        <v>53.89</v>
      </c>
      <c r="AU40">
        <v>57.4</v>
      </c>
      <c r="AV40">
        <v>55.6</v>
      </c>
      <c r="AW40">
        <v>52.18</v>
      </c>
      <c r="AX40">
        <f t="shared" si="6"/>
        <v>53.89</v>
      </c>
      <c r="AY40">
        <v>3.42</v>
      </c>
      <c r="AZ40">
        <v>53.89</v>
      </c>
      <c r="BA40">
        <v>8.5399999999999991</v>
      </c>
    </row>
    <row r="41" spans="1:53" x14ac:dyDescent="0.25">
      <c r="B41">
        <v>54.19</v>
      </c>
      <c r="C41">
        <v>67.83</v>
      </c>
      <c r="D41">
        <v>48.75</v>
      </c>
      <c r="E41">
        <v>35.24</v>
      </c>
      <c r="F41">
        <v>46.01</v>
      </c>
      <c r="G41">
        <v>43.64</v>
      </c>
      <c r="H41">
        <v>44.79</v>
      </c>
      <c r="I41">
        <v>35.75</v>
      </c>
      <c r="J41">
        <v>51.22</v>
      </c>
      <c r="K41">
        <v>52.01</v>
      </c>
      <c r="L41">
        <v>48.75</v>
      </c>
      <c r="M41">
        <v>53.69</v>
      </c>
      <c r="N41">
        <f t="shared" si="4"/>
        <v>51.22</v>
      </c>
      <c r="O41">
        <v>4.9400000000000004</v>
      </c>
      <c r="P41">
        <v>51.22</v>
      </c>
      <c r="Q41">
        <v>4.08</v>
      </c>
      <c r="T41">
        <v>52.26</v>
      </c>
      <c r="U41">
        <v>57.93</v>
      </c>
      <c r="V41">
        <v>51.3</v>
      </c>
      <c r="W41">
        <v>48.4</v>
      </c>
      <c r="X41">
        <v>53.64</v>
      </c>
      <c r="Y41">
        <v>55.76</v>
      </c>
      <c r="Z41">
        <v>54.68</v>
      </c>
      <c r="AA41">
        <v>39.200000000000003</v>
      </c>
      <c r="AB41">
        <v>49.43</v>
      </c>
      <c r="AC41">
        <v>52.15</v>
      </c>
      <c r="AD41">
        <v>51.3</v>
      </c>
      <c r="AE41">
        <v>47.55</v>
      </c>
      <c r="AF41">
        <f t="shared" si="5"/>
        <v>49.424999999999997</v>
      </c>
      <c r="AG41">
        <v>3.75</v>
      </c>
      <c r="AH41">
        <v>49.43</v>
      </c>
      <c r="AI41">
        <v>-1.19</v>
      </c>
      <c r="AL41">
        <v>53.52</v>
      </c>
      <c r="AM41">
        <v>68.739999999999995</v>
      </c>
      <c r="AN41">
        <v>52.99</v>
      </c>
      <c r="AO41">
        <v>39.979999999999997</v>
      </c>
      <c r="AP41">
        <v>50.15</v>
      </c>
      <c r="AQ41">
        <v>51.21</v>
      </c>
      <c r="AR41">
        <v>50.67</v>
      </c>
      <c r="AS41">
        <v>39.72</v>
      </c>
      <c r="AT41">
        <v>51.52</v>
      </c>
      <c r="AU41">
        <v>51.93</v>
      </c>
      <c r="AV41">
        <v>52.99</v>
      </c>
      <c r="AW41">
        <v>50.05</v>
      </c>
      <c r="AX41">
        <f t="shared" si="6"/>
        <v>51.519999999999996</v>
      </c>
      <c r="AY41">
        <v>2.93</v>
      </c>
      <c r="AZ41">
        <v>51.52</v>
      </c>
      <c r="BA41">
        <v>4.5599999999999996</v>
      </c>
    </row>
    <row r="42" spans="1:53" x14ac:dyDescent="0.25">
      <c r="B42" s="2">
        <f>AVERAGE(B36:B41)</f>
        <v>61.741666666666667</v>
      </c>
      <c r="C42" s="2">
        <f t="shared" ref="C42:BA42" si="10">AVERAGE(C36:C41)</f>
        <v>66.646666666666661</v>
      </c>
      <c r="D42" s="2">
        <f t="shared" si="10"/>
        <v>37.771666666666668</v>
      </c>
      <c r="E42" s="2">
        <f t="shared" si="10"/>
        <v>37.741666666666667</v>
      </c>
      <c r="F42" s="2">
        <f t="shared" si="10"/>
        <v>56.87833333333333</v>
      </c>
      <c r="G42" s="2">
        <f t="shared" si="10"/>
        <v>34.865000000000002</v>
      </c>
      <c r="H42" s="2">
        <f t="shared" si="10"/>
        <v>42.071666666666665</v>
      </c>
      <c r="I42" s="2">
        <f t="shared" si="10"/>
        <v>42.481666666666676</v>
      </c>
      <c r="J42" s="2">
        <f t="shared" si="10"/>
        <v>53.068333333333328</v>
      </c>
      <c r="K42" s="2">
        <f t="shared" si="10"/>
        <v>55.925000000000004</v>
      </c>
      <c r="L42" s="2">
        <f t="shared" si="10"/>
        <v>37.771666666666668</v>
      </c>
      <c r="M42" s="2">
        <f t="shared" si="10"/>
        <v>68.364999999999995</v>
      </c>
      <c r="N42" s="2">
        <f t="shared" si="10"/>
        <v>53.068333333333328</v>
      </c>
      <c r="O42" s="2">
        <f t="shared" si="10"/>
        <v>30.594999999999999</v>
      </c>
      <c r="P42" s="2">
        <f t="shared" si="10"/>
        <v>53.068333333333328</v>
      </c>
      <c r="Q42" s="2">
        <f t="shared" si="10"/>
        <v>6.6099999999999994</v>
      </c>
      <c r="R42" s="2"/>
      <c r="S42" s="2"/>
      <c r="T42" s="2">
        <f t="shared" si="10"/>
        <v>61.441666666666663</v>
      </c>
      <c r="U42" s="2">
        <f t="shared" si="10"/>
        <v>71.228333333333339</v>
      </c>
      <c r="V42" s="2">
        <f t="shared" si="10"/>
        <v>52.216666666666669</v>
      </c>
      <c r="W42" s="2">
        <f t="shared" si="10"/>
        <v>47.543333333333329</v>
      </c>
      <c r="X42" s="2">
        <f t="shared" si="10"/>
        <v>61.211666666666673</v>
      </c>
      <c r="Y42" s="2">
        <f t="shared" si="10"/>
        <v>56.185000000000002</v>
      </c>
      <c r="Z42" s="2">
        <f t="shared" si="10"/>
        <v>58.49666666666667</v>
      </c>
      <c r="AA42" s="2">
        <f t="shared" si="10"/>
        <v>44.776666666666671</v>
      </c>
      <c r="AB42" s="2">
        <f t="shared" si="10"/>
        <v>51.743333333333339</v>
      </c>
      <c r="AC42" s="2">
        <f t="shared" si="10"/>
        <v>55.669999999999995</v>
      </c>
      <c r="AD42" s="2">
        <f t="shared" si="10"/>
        <v>52.216666666666669</v>
      </c>
      <c r="AE42" s="2">
        <f t="shared" si="10"/>
        <v>51.271666666666668</v>
      </c>
      <c r="AF42" s="2">
        <f t="shared" si="10"/>
        <v>51.744166666666665</v>
      </c>
      <c r="AG42" s="2">
        <f t="shared" si="10"/>
        <v>4.6533333333333333</v>
      </c>
      <c r="AH42" s="2">
        <f t="shared" si="10"/>
        <v>51.743333333333339</v>
      </c>
      <c r="AI42" s="2">
        <f t="shared" si="10"/>
        <v>4.0949999999999998</v>
      </c>
      <c r="AJ42" s="2"/>
      <c r="AK42" s="2"/>
      <c r="AL42" s="2">
        <f t="shared" si="10"/>
        <v>61.831666666666671</v>
      </c>
      <c r="AM42" s="2">
        <f t="shared" si="10"/>
        <v>65.646666666666661</v>
      </c>
      <c r="AN42" s="2">
        <f t="shared" si="10"/>
        <v>55.418333333333344</v>
      </c>
      <c r="AO42" s="2">
        <f t="shared" si="10"/>
        <v>50.333333333333336</v>
      </c>
      <c r="AP42" s="2">
        <f t="shared" si="10"/>
        <v>56.404999999999994</v>
      </c>
      <c r="AQ42" s="2">
        <f t="shared" si="10"/>
        <v>52.318333333333328</v>
      </c>
      <c r="AR42" s="2">
        <f t="shared" si="10"/>
        <v>54.155000000000001</v>
      </c>
      <c r="AS42" s="2">
        <f t="shared" si="10"/>
        <v>46.968333333333334</v>
      </c>
      <c r="AT42" s="2">
        <f t="shared" si="10"/>
        <v>54.449999999999996</v>
      </c>
      <c r="AU42" s="2">
        <f t="shared" si="10"/>
        <v>57.478333333333332</v>
      </c>
      <c r="AV42" s="2">
        <f t="shared" si="10"/>
        <v>55.418333333333344</v>
      </c>
      <c r="AW42" s="2">
        <f t="shared" si="10"/>
        <v>53.48</v>
      </c>
      <c r="AX42" s="2">
        <f t="shared" si="10"/>
        <v>54.449166666666663</v>
      </c>
      <c r="AY42" s="2">
        <f t="shared" si="10"/>
        <v>6.3299999999999992</v>
      </c>
      <c r="AZ42" s="2">
        <f t="shared" si="10"/>
        <v>54.449999999999996</v>
      </c>
      <c r="BA42" s="2">
        <f t="shared" si="10"/>
        <v>9.4583333333333339</v>
      </c>
    </row>
    <row r="45" spans="1:53" x14ac:dyDescent="0.25">
      <c r="A45" s="1" t="s">
        <v>18</v>
      </c>
      <c r="B45">
        <v>63.03</v>
      </c>
      <c r="C45">
        <v>64.430000000000007</v>
      </c>
      <c r="D45">
        <v>45.35</v>
      </c>
      <c r="E45">
        <v>44.59</v>
      </c>
      <c r="F45">
        <v>56.88</v>
      </c>
      <c r="G45">
        <v>41.18</v>
      </c>
      <c r="H45">
        <v>47.77</v>
      </c>
      <c r="I45">
        <v>40.14</v>
      </c>
      <c r="J45">
        <v>51.72</v>
      </c>
      <c r="K45">
        <v>49.1</v>
      </c>
      <c r="L45">
        <v>45.35</v>
      </c>
      <c r="M45">
        <v>58.09</v>
      </c>
      <c r="N45">
        <f t="shared" si="4"/>
        <v>51.72</v>
      </c>
      <c r="O45">
        <v>12.74</v>
      </c>
      <c r="P45">
        <v>51.72</v>
      </c>
      <c r="Q45">
        <v>1.53</v>
      </c>
      <c r="S45" s="1" t="s">
        <v>18</v>
      </c>
      <c r="T45">
        <v>68.739999999999995</v>
      </c>
      <c r="U45">
        <v>65.11</v>
      </c>
      <c r="V45">
        <v>78.569999999999993</v>
      </c>
      <c r="W45">
        <v>68.34</v>
      </c>
      <c r="X45">
        <v>62.55</v>
      </c>
      <c r="Y45">
        <v>75.569999999999993</v>
      </c>
      <c r="Z45">
        <v>68.44</v>
      </c>
      <c r="AA45">
        <v>50.12</v>
      </c>
      <c r="AB45">
        <v>55.82</v>
      </c>
      <c r="AC45">
        <v>59.73</v>
      </c>
      <c r="AD45">
        <v>78.569999999999993</v>
      </c>
      <c r="AE45">
        <v>33.06</v>
      </c>
      <c r="AF45">
        <f t="shared" si="5"/>
        <v>55.814999999999998</v>
      </c>
      <c r="AG45">
        <v>45.51</v>
      </c>
      <c r="AH45">
        <v>55.82</v>
      </c>
      <c r="AI45">
        <v>10.33</v>
      </c>
      <c r="AK45" s="1" t="s">
        <v>18</v>
      </c>
      <c r="AL45">
        <v>71.64</v>
      </c>
      <c r="AM45">
        <v>68.48</v>
      </c>
      <c r="AN45">
        <v>46.26</v>
      </c>
      <c r="AO45">
        <v>52.2</v>
      </c>
      <c r="AP45">
        <v>69.06</v>
      </c>
      <c r="AQ45">
        <v>43.44</v>
      </c>
      <c r="AR45">
        <v>53.33</v>
      </c>
      <c r="AS45">
        <v>52.62</v>
      </c>
      <c r="AT45">
        <v>58.26</v>
      </c>
      <c r="AU45">
        <v>60.56</v>
      </c>
      <c r="AV45">
        <v>46.26</v>
      </c>
      <c r="AW45">
        <v>70.25</v>
      </c>
      <c r="AX45">
        <f t="shared" si="6"/>
        <v>58.254999999999995</v>
      </c>
      <c r="AY45">
        <v>23.98</v>
      </c>
      <c r="AZ45">
        <v>58.26</v>
      </c>
      <c r="BA45">
        <v>15.83</v>
      </c>
    </row>
    <row r="46" spans="1:53" x14ac:dyDescent="0.25">
      <c r="B46">
        <v>65.89</v>
      </c>
      <c r="C46">
        <v>65.739999999999995</v>
      </c>
      <c r="D46">
        <v>59.94</v>
      </c>
      <c r="E46">
        <v>58.68</v>
      </c>
      <c r="F46">
        <v>61.95</v>
      </c>
      <c r="G46">
        <v>57.47</v>
      </c>
      <c r="H46">
        <v>59.62</v>
      </c>
      <c r="I46">
        <v>48.88</v>
      </c>
      <c r="J46">
        <v>54.11</v>
      </c>
      <c r="K46">
        <v>52.81</v>
      </c>
      <c r="L46">
        <v>59.94</v>
      </c>
      <c r="M46">
        <v>48.29</v>
      </c>
      <c r="N46">
        <f t="shared" si="4"/>
        <v>54.114999999999995</v>
      </c>
      <c r="O46">
        <v>11.66</v>
      </c>
      <c r="P46">
        <v>54.11</v>
      </c>
      <c r="Q46">
        <v>9.2100000000000009</v>
      </c>
      <c r="T46">
        <v>63.47</v>
      </c>
      <c r="U46">
        <v>65.150000000000006</v>
      </c>
      <c r="V46">
        <v>77.83</v>
      </c>
      <c r="W46">
        <v>68.64</v>
      </c>
      <c r="X46">
        <v>62.45</v>
      </c>
      <c r="Y46">
        <v>76.02</v>
      </c>
      <c r="Z46">
        <v>68.569999999999993</v>
      </c>
      <c r="AA46">
        <v>50.63</v>
      </c>
      <c r="AB46">
        <v>55.84</v>
      </c>
      <c r="AC46">
        <v>56.52</v>
      </c>
      <c r="AD46">
        <v>77.83</v>
      </c>
      <c r="AE46">
        <v>33.840000000000003</v>
      </c>
      <c r="AF46">
        <f t="shared" si="5"/>
        <v>55.835000000000001</v>
      </c>
      <c r="AG46">
        <v>43.99</v>
      </c>
      <c r="AH46">
        <v>55.84</v>
      </c>
      <c r="AI46">
        <v>10.220000000000001</v>
      </c>
      <c r="AL46">
        <v>73.319999999999993</v>
      </c>
      <c r="AM46">
        <v>67.430000000000007</v>
      </c>
      <c r="AN46">
        <v>43.67</v>
      </c>
      <c r="AO46">
        <v>49.44</v>
      </c>
      <c r="AP46">
        <v>63.27</v>
      </c>
      <c r="AQ46">
        <v>42.08</v>
      </c>
      <c r="AR46">
        <v>50.54</v>
      </c>
      <c r="AS46">
        <v>47.77</v>
      </c>
      <c r="AT46">
        <v>52.92</v>
      </c>
      <c r="AU46">
        <v>61.53</v>
      </c>
      <c r="AV46">
        <v>43.67</v>
      </c>
      <c r="AW46">
        <v>62.18</v>
      </c>
      <c r="AX46">
        <f t="shared" si="6"/>
        <v>52.924999999999997</v>
      </c>
      <c r="AY46">
        <v>18.510000000000002</v>
      </c>
      <c r="AZ46">
        <v>52.92</v>
      </c>
      <c r="BA46">
        <v>7.02</v>
      </c>
    </row>
    <row r="47" spans="1:53" x14ac:dyDescent="0.25">
      <c r="B47">
        <v>52.15</v>
      </c>
      <c r="C47">
        <v>58.51</v>
      </c>
      <c r="D47">
        <v>51.18</v>
      </c>
      <c r="E47">
        <v>46.42</v>
      </c>
      <c r="F47">
        <v>53.85</v>
      </c>
      <c r="G47">
        <v>50.33</v>
      </c>
      <c r="H47">
        <v>52.03</v>
      </c>
      <c r="I47">
        <v>46.41</v>
      </c>
      <c r="J47">
        <v>52.23</v>
      </c>
      <c r="K47">
        <v>52.57</v>
      </c>
      <c r="L47">
        <v>51.18</v>
      </c>
      <c r="M47">
        <v>53.27</v>
      </c>
      <c r="N47">
        <f t="shared" si="4"/>
        <v>52.225000000000001</v>
      </c>
      <c r="O47">
        <v>2.09</v>
      </c>
      <c r="P47">
        <v>52.23</v>
      </c>
      <c r="Q47">
        <v>5.0199999999999996</v>
      </c>
      <c r="T47">
        <v>55.13</v>
      </c>
      <c r="U47">
        <v>57.32</v>
      </c>
      <c r="V47">
        <v>72.67</v>
      </c>
      <c r="W47">
        <v>52.64</v>
      </c>
      <c r="X47">
        <v>49.52</v>
      </c>
      <c r="Y47">
        <v>67.97</v>
      </c>
      <c r="Z47">
        <v>57.3</v>
      </c>
      <c r="AA47">
        <v>42.32</v>
      </c>
      <c r="AB47">
        <v>54.45</v>
      </c>
      <c r="AC47">
        <v>57.54</v>
      </c>
      <c r="AD47">
        <v>72.67</v>
      </c>
      <c r="AE47">
        <v>36.24</v>
      </c>
      <c r="AF47">
        <f t="shared" si="5"/>
        <v>54.454999999999998</v>
      </c>
      <c r="AG47">
        <v>36.44</v>
      </c>
      <c r="AH47">
        <v>54.45</v>
      </c>
      <c r="AI47">
        <v>10.85</v>
      </c>
      <c r="AL47">
        <v>54</v>
      </c>
      <c r="AM47">
        <v>72.540000000000006</v>
      </c>
      <c r="AN47">
        <v>30.84</v>
      </c>
      <c r="AO47">
        <v>26.64</v>
      </c>
      <c r="AP47">
        <v>47.73</v>
      </c>
      <c r="AQ47">
        <v>27.45</v>
      </c>
      <c r="AR47">
        <v>34.85</v>
      </c>
      <c r="AS47">
        <v>40.06</v>
      </c>
      <c r="AT47">
        <v>51.94</v>
      </c>
      <c r="AU47">
        <v>52.98</v>
      </c>
      <c r="AV47">
        <v>30.84</v>
      </c>
      <c r="AW47">
        <v>73.040000000000006</v>
      </c>
      <c r="AX47">
        <f t="shared" si="6"/>
        <v>51.940000000000005</v>
      </c>
      <c r="AY47">
        <v>42.2</v>
      </c>
      <c r="AZ47">
        <v>51.94</v>
      </c>
      <c r="BA47">
        <v>5.37</v>
      </c>
    </row>
    <row r="48" spans="1:53" x14ac:dyDescent="0.25">
      <c r="B48">
        <v>65.819999999999993</v>
      </c>
      <c r="C48">
        <v>65.97</v>
      </c>
      <c r="D48">
        <v>62.44</v>
      </c>
      <c r="E48">
        <v>60.42</v>
      </c>
      <c r="F48">
        <v>62.38</v>
      </c>
      <c r="G48">
        <v>59.28</v>
      </c>
      <c r="H48">
        <v>60.79</v>
      </c>
      <c r="I48">
        <v>50.08</v>
      </c>
      <c r="J48">
        <v>55.05</v>
      </c>
      <c r="K48">
        <v>54.14</v>
      </c>
      <c r="L48">
        <v>62.44</v>
      </c>
      <c r="M48">
        <v>47.66</v>
      </c>
      <c r="N48">
        <f t="shared" si="4"/>
        <v>55.05</v>
      </c>
      <c r="O48">
        <v>14.78</v>
      </c>
      <c r="P48">
        <v>55.05</v>
      </c>
      <c r="Q48">
        <v>10.23</v>
      </c>
      <c r="T48">
        <v>66.02</v>
      </c>
      <c r="U48">
        <v>65.23</v>
      </c>
      <c r="V48">
        <v>85.41</v>
      </c>
      <c r="W48">
        <v>71.989999999999995</v>
      </c>
      <c r="X48">
        <v>63.45</v>
      </c>
      <c r="Y48">
        <v>83.26</v>
      </c>
      <c r="Z48">
        <v>72.02</v>
      </c>
      <c r="AA48">
        <v>51.52</v>
      </c>
      <c r="AB48">
        <v>56.62</v>
      </c>
      <c r="AC48">
        <v>56.23</v>
      </c>
      <c r="AD48">
        <v>85.41</v>
      </c>
      <c r="AE48">
        <v>27.83</v>
      </c>
      <c r="AF48">
        <f t="shared" si="5"/>
        <v>56.62</v>
      </c>
      <c r="AG48">
        <v>57.58</v>
      </c>
      <c r="AH48">
        <v>56.62</v>
      </c>
      <c r="AI48">
        <v>17.579999999999998</v>
      </c>
      <c r="AL48">
        <v>73.52</v>
      </c>
      <c r="AM48">
        <v>71.2</v>
      </c>
      <c r="AN48">
        <v>49.37</v>
      </c>
      <c r="AO48">
        <v>53.39</v>
      </c>
      <c r="AP48">
        <v>66.67</v>
      </c>
      <c r="AQ48">
        <v>47.96</v>
      </c>
      <c r="AR48">
        <v>55.79</v>
      </c>
      <c r="AS48">
        <v>50.69</v>
      </c>
      <c r="AT48">
        <v>56.57</v>
      </c>
      <c r="AU48">
        <v>63.43</v>
      </c>
      <c r="AV48">
        <v>49.37</v>
      </c>
      <c r="AW48">
        <v>63.77</v>
      </c>
      <c r="AX48">
        <f t="shared" si="6"/>
        <v>56.57</v>
      </c>
      <c r="AY48">
        <v>14.39</v>
      </c>
      <c r="AZ48">
        <v>56.57</v>
      </c>
      <c r="BA48">
        <v>14.46</v>
      </c>
    </row>
    <row r="49" spans="1:70" x14ac:dyDescent="0.25">
      <c r="B49">
        <v>50.24</v>
      </c>
      <c r="C49">
        <v>53.19</v>
      </c>
      <c r="D49">
        <v>50.59</v>
      </c>
      <c r="E49">
        <v>43.18</v>
      </c>
      <c r="F49">
        <v>47.8</v>
      </c>
      <c r="G49">
        <v>49.67</v>
      </c>
      <c r="H49">
        <v>48.72</v>
      </c>
      <c r="I49">
        <v>41.6</v>
      </c>
      <c r="J49">
        <v>49.01</v>
      </c>
      <c r="K49">
        <v>47.71</v>
      </c>
      <c r="L49">
        <v>50.59</v>
      </c>
      <c r="M49">
        <v>47.42</v>
      </c>
      <c r="N49">
        <f t="shared" si="4"/>
        <v>49.005000000000003</v>
      </c>
      <c r="O49">
        <v>3.18</v>
      </c>
      <c r="P49">
        <v>49.01</v>
      </c>
      <c r="Q49">
        <v>-2.65</v>
      </c>
      <c r="T49">
        <v>52.25</v>
      </c>
      <c r="U49">
        <v>58.02</v>
      </c>
      <c r="V49">
        <v>72.81</v>
      </c>
      <c r="W49">
        <v>53.94</v>
      </c>
      <c r="X49">
        <v>50.96</v>
      </c>
      <c r="Y49">
        <v>69.28</v>
      </c>
      <c r="Z49">
        <v>58.73</v>
      </c>
      <c r="AA49">
        <v>42.84</v>
      </c>
      <c r="AB49">
        <v>53.98</v>
      </c>
      <c r="AC49">
        <v>51.97</v>
      </c>
      <c r="AD49">
        <v>72.81</v>
      </c>
      <c r="AE49">
        <v>35.159999999999997</v>
      </c>
      <c r="AF49">
        <f t="shared" si="5"/>
        <v>53.984999999999999</v>
      </c>
      <c r="AG49">
        <v>37.65</v>
      </c>
      <c r="AH49">
        <v>53.98</v>
      </c>
      <c r="AI49">
        <v>7.86</v>
      </c>
      <c r="AL49">
        <v>53.94</v>
      </c>
      <c r="AM49">
        <v>74.58</v>
      </c>
      <c r="AN49">
        <v>31.3</v>
      </c>
      <c r="AO49">
        <v>28.88</v>
      </c>
      <c r="AP49">
        <v>48.35</v>
      </c>
      <c r="AQ49">
        <v>28.76</v>
      </c>
      <c r="AR49">
        <v>36.07</v>
      </c>
      <c r="AS49">
        <v>40.01</v>
      </c>
      <c r="AT49">
        <v>49.88</v>
      </c>
      <c r="AU49">
        <v>49.92</v>
      </c>
      <c r="AV49">
        <v>31.3</v>
      </c>
      <c r="AW49">
        <v>68.45</v>
      </c>
      <c r="AX49">
        <f t="shared" si="6"/>
        <v>49.875</v>
      </c>
      <c r="AY49">
        <v>37.15</v>
      </c>
      <c r="AZ49">
        <v>49.88</v>
      </c>
      <c r="BA49">
        <v>1.53</v>
      </c>
    </row>
    <row r="50" spans="1:70" x14ac:dyDescent="0.25">
      <c r="B50">
        <v>51.43</v>
      </c>
      <c r="C50">
        <v>53.61</v>
      </c>
      <c r="D50">
        <v>54.73</v>
      </c>
      <c r="E50">
        <v>47.29</v>
      </c>
      <c r="F50">
        <v>50.7</v>
      </c>
      <c r="G50">
        <v>54.85</v>
      </c>
      <c r="H50">
        <v>52.69</v>
      </c>
      <c r="I50">
        <v>44.22</v>
      </c>
      <c r="J50">
        <v>51.55</v>
      </c>
      <c r="K50">
        <v>50.77</v>
      </c>
      <c r="L50">
        <v>54.73</v>
      </c>
      <c r="M50">
        <v>48.37</v>
      </c>
      <c r="N50">
        <f t="shared" si="4"/>
        <v>51.55</v>
      </c>
      <c r="O50">
        <v>6.36</v>
      </c>
      <c r="P50">
        <v>51.55</v>
      </c>
      <c r="Q50">
        <v>2.5099999999999998</v>
      </c>
      <c r="T50">
        <v>52.02</v>
      </c>
      <c r="U50">
        <v>59.91</v>
      </c>
      <c r="V50">
        <v>61.79</v>
      </c>
      <c r="W50">
        <v>41.49</v>
      </c>
      <c r="X50">
        <v>45.15</v>
      </c>
      <c r="Y50">
        <v>56.36</v>
      </c>
      <c r="Z50">
        <v>50.13</v>
      </c>
      <c r="AA50">
        <v>33.479999999999997</v>
      </c>
      <c r="AB50">
        <v>48.26</v>
      </c>
      <c r="AC50">
        <v>49.9</v>
      </c>
      <c r="AD50">
        <v>61.79</v>
      </c>
      <c r="AE50">
        <v>34.729999999999997</v>
      </c>
      <c r="AF50">
        <f t="shared" si="5"/>
        <v>48.26</v>
      </c>
      <c r="AG50">
        <v>27.07</v>
      </c>
      <c r="AH50">
        <v>48.26</v>
      </c>
      <c r="AI50">
        <v>-3.63</v>
      </c>
      <c r="AL50">
        <v>49.8</v>
      </c>
      <c r="AM50">
        <v>68.78</v>
      </c>
      <c r="AN50">
        <v>47.86</v>
      </c>
      <c r="AO50">
        <v>36.17</v>
      </c>
      <c r="AP50">
        <v>49.21</v>
      </c>
      <c r="AQ50">
        <v>46.97</v>
      </c>
      <c r="AR50">
        <v>48.06</v>
      </c>
      <c r="AS50">
        <v>37.03</v>
      </c>
      <c r="AT50">
        <v>50.04</v>
      </c>
      <c r="AU50">
        <v>47.07</v>
      </c>
      <c r="AV50">
        <v>47.86</v>
      </c>
      <c r="AW50">
        <v>52.23</v>
      </c>
      <c r="AX50">
        <f t="shared" si="6"/>
        <v>50.045000000000002</v>
      </c>
      <c r="AY50">
        <v>4.3600000000000003</v>
      </c>
      <c r="AZ50">
        <v>50.04</v>
      </c>
      <c r="BA50">
        <v>0.5</v>
      </c>
    </row>
    <row r="51" spans="1:70" x14ac:dyDescent="0.25">
      <c r="B51" s="2">
        <f>AVERAGE(B45:B50)</f>
        <v>58.093333333333334</v>
      </c>
      <c r="C51" s="2">
        <f t="shared" ref="C51:BA51" si="11">AVERAGE(C45:C50)</f>
        <v>60.241666666666674</v>
      </c>
      <c r="D51" s="2">
        <f t="shared" si="11"/>
        <v>54.038333333333334</v>
      </c>
      <c r="E51" s="2">
        <f t="shared" si="11"/>
        <v>50.096666666666671</v>
      </c>
      <c r="F51" s="2">
        <f t="shared" si="11"/>
        <v>55.593333333333334</v>
      </c>
      <c r="G51" s="2">
        <f t="shared" si="11"/>
        <v>52.13</v>
      </c>
      <c r="H51" s="2">
        <f t="shared" si="11"/>
        <v>53.603333333333332</v>
      </c>
      <c r="I51" s="2">
        <f t="shared" si="11"/>
        <v>45.221666666666664</v>
      </c>
      <c r="J51" s="2">
        <f t="shared" si="11"/>
        <v>52.278333333333336</v>
      </c>
      <c r="K51" s="2">
        <f t="shared" si="11"/>
        <v>51.18333333333333</v>
      </c>
      <c r="L51" s="2">
        <f t="shared" si="11"/>
        <v>54.038333333333334</v>
      </c>
      <c r="M51" s="2">
        <f t="shared" si="11"/>
        <v>50.516666666666673</v>
      </c>
      <c r="N51" s="2">
        <f t="shared" si="11"/>
        <v>52.277500000000003</v>
      </c>
      <c r="O51" s="2">
        <f t="shared" si="11"/>
        <v>8.4683333333333319</v>
      </c>
      <c r="P51" s="2">
        <f t="shared" si="11"/>
        <v>52.278333333333336</v>
      </c>
      <c r="Q51" s="2">
        <f t="shared" si="11"/>
        <v>4.3083333333333336</v>
      </c>
      <c r="R51" s="2"/>
      <c r="S51" s="2"/>
      <c r="T51" s="2">
        <f t="shared" si="11"/>
        <v>59.60499999999999</v>
      </c>
      <c r="U51" s="2">
        <f t="shared" si="11"/>
        <v>61.79</v>
      </c>
      <c r="V51" s="2">
        <f t="shared" si="11"/>
        <v>74.846666666666678</v>
      </c>
      <c r="W51" s="2">
        <f t="shared" si="11"/>
        <v>59.506666666666668</v>
      </c>
      <c r="X51" s="2">
        <f t="shared" si="11"/>
        <v>55.68</v>
      </c>
      <c r="Y51" s="2">
        <f t="shared" si="11"/>
        <v>71.410000000000011</v>
      </c>
      <c r="Z51" s="2">
        <f t="shared" si="11"/>
        <v>62.531666666666666</v>
      </c>
      <c r="AA51" s="2">
        <f t="shared" si="11"/>
        <v>45.151666666666671</v>
      </c>
      <c r="AB51" s="2">
        <f t="shared" si="11"/>
        <v>54.161666666666669</v>
      </c>
      <c r="AC51" s="2">
        <f t="shared" si="11"/>
        <v>55.314999999999998</v>
      </c>
      <c r="AD51" s="2">
        <f t="shared" si="11"/>
        <v>74.846666666666678</v>
      </c>
      <c r="AE51" s="2">
        <f t="shared" si="11"/>
        <v>33.476666666666667</v>
      </c>
      <c r="AF51" s="2">
        <f t="shared" si="11"/>
        <v>54.161666666666669</v>
      </c>
      <c r="AG51" s="2">
        <f t="shared" si="11"/>
        <v>41.373333333333328</v>
      </c>
      <c r="AH51" s="2">
        <f t="shared" si="11"/>
        <v>54.161666666666669</v>
      </c>
      <c r="AI51" s="2">
        <f t="shared" si="11"/>
        <v>8.8683333333333323</v>
      </c>
      <c r="AJ51" s="2"/>
      <c r="AK51" s="2"/>
      <c r="AL51" s="2">
        <f t="shared" si="11"/>
        <v>62.703333333333326</v>
      </c>
      <c r="AM51" s="2">
        <f t="shared" si="11"/>
        <v>70.501666666666665</v>
      </c>
      <c r="AN51" s="2">
        <f t="shared" si="11"/>
        <v>41.550000000000004</v>
      </c>
      <c r="AO51" s="2">
        <f t="shared" si="11"/>
        <v>41.120000000000005</v>
      </c>
      <c r="AP51" s="2">
        <f t="shared" si="11"/>
        <v>57.381666666666668</v>
      </c>
      <c r="AQ51" s="2">
        <f t="shared" si="11"/>
        <v>39.443333333333335</v>
      </c>
      <c r="AR51" s="2">
        <f t="shared" si="11"/>
        <v>46.44</v>
      </c>
      <c r="AS51" s="2">
        <f t="shared" si="11"/>
        <v>44.696666666666658</v>
      </c>
      <c r="AT51" s="2">
        <f t="shared" si="11"/>
        <v>53.268333333333338</v>
      </c>
      <c r="AU51" s="2">
        <f t="shared" si="11"/>
        <v>55.914999999999999</v>
      </c>
      <c r="AV51" s="2">
        <f t="shared" si="11"/>
        <v>41.550000000000004</v>
      </c>
      <c r="AW51" s="2">
        <f t="shared" si="11"/>
        <v>64.986666666666665</v>
      </c>
      <c r="AX51" s="2">
        <f t="shared" si="11"/>
        <v>53.268333333333338</v>
      </c>
      <c r="AY51" s="2">
        <f t="shared" si="11"/>
        <v>23.431666666666668</v>
      </c>
      <c r="AZ51" s="2">
        <f t="shared" si="11"/>
        <v>53.268333333333338</v>
      </c>
      <c r="BA51" s="2">
        <f t="shared" si="11"/>
        <v>7.451666666666668</v>
      </c>
    </row>
    <row r="54" spans="1:70" x14ac:dyDescent="0.25">
      <c r="A54" s="1" t="s">
        <v>21</v>
      </c>
      <c r="B54">
        <v>63.37</v>
      </c>
      <c r="C54">
        <v>61.39</v>
      </c>
      <c r="D54">
        <v>100</v>
      </c>
      <c r="E54">
        <v>75.45</v>
      </c>
      <c r="F54">
        <v>61.39</v>
      </c>
      <c r="G54">
        <v>100</v>
      </c>
      <c r="H54">
        <v>76.08</v>
      </c>
      <c r="I54">
        <v>37.729999999999997</v>
      </c>
      <c r="J54">
        <v>50</v>
      </c>
      <c r="K54">
        <v>50</v>
      </c>
      <c r="L54">
        <v>100</v>
      </c>
      <c r="M54">
        <v>0</v>
      </c>
      <c r="N54">
        <f t="shared" si="4"/>
        <v>50</v>
      </c>
      <c r="O54">
        <v>100</v>
      </c>
      <c r="P54">
        <v>50</v>
      </c>
      <c r="Q54">
        <v>0</v>
      </c>
      <c r="S54" s="1" t="s">
        <v>21</v>
      </c>
      <c r="T54">
        <v>63.37</v>
      </c>
      <c r="U54">
        <v>61.39</v>
      </c>
      <c r="V54">
        <v>100</v>
      </c>
      <c r="W54">
        <v>75.45</v>
      </c>
      <c r="X54">
        <v>61.39</v>
      </c>
      <c r="Y54">
        <v>100</v>
      </c>
      <c r="Z54">
        <v>76.08</v>
      </c>
      <c r="AA54">
        <v>37.729999999999997</v>
      </c>
      <c r="AB54">
        <v>50</v>
      </c>
      <c r="AC54">
        <v>50</v>
      </c>
      <c r="AD54">
        <v>100</v>
      </c>
      <c r="AE54">
        <v>0</v>
      </c>
      <c r="AF54">
        <f t="shared" si="5"/>
        <v>50</v>
      </c>
      <c r="AG54">
        <v>100</v>
      </c>
      <c r="AH54">
        <v>50</v>
      </c>
      <c r="AI54">
        <v>0</v>
      </c>
      <c r="AK54" s="1" t="s">
        <v>21</v>
      </c>
      <c r="AL54">
        <v>63.37</v>
      </c>
      <c r="AM54">
        <v>61.39</v>
      </c>
      <c r="AN54">
        <v>100</v>
      </c>
      <c r="AO54">
        <v>75.45</v>
      </c>
      <c r="AP54">
        <v>61.39</v>
      </c>
      <c r="AQ54">
        <v>100</v>
      </c>
      <c r="AR54">
        <v>76.08</v>
      </c>
      <c r="AS54">
        <v>37.729999999999997</v>
      </c>
      <c r="AT54">
        <v>50</v>
      </c>
      <c r="AU54">
        <v>50</v>
      </c>
      <c r="AV54">
        <v>100</v>
      </c>
      <c r="AW54">
        <v>0</v>
      </c>
      <c r="AX54">
        <f t="shared" si="6"/>
        <v>50</v>
      </c>
      <c r="AY54">
        <v>100</v>
      </c>
      <c r="AZ54">
        <v>50</v>
      </c>
      <c r="BA54">
        <v>0</v>
      </c>
      <c r="BP54" s="1"/>
      <c r="BQ54" s="1"/>
      <c r="BR54" s="1"/>
    </row>
    <row r="55" spans="1:70" x14ac:dyDescent="0.25">
      <c r="A55" s="1"/>
      <c r="B55">
        <v>64.349999999999994</v>
      </c>
      <c r="C55">
        <v>61.39</v>
      </c>
      <c r="D55">
        <v>100</v>
      </c>
      <c r="E55">
        <v>75.45</v>
      </c>
      <c r="F55">
        <v>61.39</v>
      </c>
      <c r="G55">
        <v>100</v>
      </c>
      <c r="H55">
        <v>76.08</v>
      </c>
      <c r="I55">
        <v>37.729999999999997</v>
      </c>
      <c r="J55">
        <v>50</v>
      </c>
      <c r="K55">
        <v>54.82</v>
      </c>
      <c r="L55">
        <v>100</v>
      </c>
      <c r="M55">
        <v>0</v>
      </c>
      <c r="N55">
        <f t="shared" si="4"/>
        <v>50</v>
      </c>
      <c r="O55">
        <v>100</v>
      </c>
      <c r="P55">
        <v>50</v>
      </c>
      <c r="Q55">
        <v>0</v>
      </c>
      <c r="S55" s="1"/>
      <c r="T55">
        <v>61.61</v>
      </c>
      <c r="U55">
        <v>61.39</v>
      </c>
      <c r="V55">
        <v>100</v>
      </c>
      <c r="W55">
        <v>75.45</v>
      </c>
      <c r="X55">
        <v>61.39</v>
      </c>
      <c r="Y55">
        <v>100</v>
      </c>
      <c r="Z55">
        <v>76.08</v>
      </c>
      <c r="AA55">
        <v>37.729999999999997</v>
      </c>
      <c r="AB55">
        <v>50</v>
      </c>
      <c r="AC55">
        <v>52.4</v>
      </c>
      <c r="AD55">
        <v>100</v>
      </c>
      <c r="AE55">
        <v>0</v>
      </c>
      <c r="AF55">
        <f t="shared" si="5"/>
        <v>50</v>
      </c>
      <c r="AG55">
        <v>100</v>
      </c>
      <c r="AH55">
        <v>50</v>
      </c>
      <c r="AI55">
        <v>0</v>
      </c>
      <c r="AK55" s="1"/>
      <c r="AL55">
        <v>63.37</v>
      </c>
      <c r="AM55">
        <v>61.39</v>
      </c>
      <c r="AN55">
        <v>100</v>
      </c>
      <c r="AO55">
        <v>75.45</v>
      </c>
      <c r="AP55">
        <v>61.39</v>
      </c>
      <c r="AQ55">
        <v>100</v>
      </c>
      <c r="AR55">
        <v>76.08</v>
      </c>
      <c r="AS55">
        <v>37.729999999999997</v>
      </c>
      <c r="AT55">
        <v>50</v>
      </c>
      <c r="AU55">
        <v>50</v>
      </c>
      <c r="AV55">
        <v>100</v>
      </c>
      <c r="AW55">
        <v>0</v>
      </c>
      <c r="AX55">
        <f t="shared" si="6"/>
        <v>50</v>
      </c>
      <c r="AY55">
        <v>100</v>
      </c>
      <c r="AZ55">
        <v>50</v>
      </c>
      <c r="BA55">
        <v>0</v>
      </c>
      <c r="BP55" s="1"/>
      <c r="BQ55" s="1"/>
      <c r="BR55" s="1"/>
    </row>
    <row r="56" spans="1:70" x14ac:dyDescent="0.25">
      <c r="A56" s="1"/>
      <c r="B56">
        <v>55.83</v>
      </c>
      <c r="C56">
        <v>50.02</v>
      </c>
      <c r="D56">
        <v>79.680000000000007</v>
      </c>
      <c r="E56">
        <v>59.32</v>
      </c>
      <c r="F56">
        <v>52.67</v>
      </c>
      <c r="G56">
        <v>83.66</v>
      </c>
      <c r="H56">
        <v>64.650000000000006</v>
      </c>
      <c r="I56">
        <v>42.2</v>
      </c>
      <c r="J56">
        <v>51.43</v>
      </c>
      <c r="K56">
        <v>55.7</v>
      </c>
      <c r="L56">
        <v>79.680000000000007</v>
      </c>
      <c r="M56">
        <v>23.17</v>
      </c>
      <c r="N56">
        <f t="shared" si="4"/>
        <v>51.425000000000004</v>
      </c>
      <c r="O56">
        <v>56.51</v>
      </c>
      <c r="P56">
        <v>51.43</v>
      </c>
      <c r="Q56">
        <v>2.86</v>
      </c>
      <c r="S56" s="1"/>
      <c r="T56">
        <v>56.09</v>
      </c>
      <c r="U56">
        <v>52.95</v>
      </c>
      <c r="V56">
        <v>84.11</v>
      </c>
      <c r="W56">
        <v>61.78</v>
      </c>
      <c r="X56">
        <v>51.61</v>
      </c>
      <c r="Y56">
        <v>83.66</v>
      </c>
      <c r="Z56">
        <v>63.84</v>
      </c>
      <c r="AA56">
        <v>41.51</v>
      </c>
      <c r="AB56">
        <v>52.55</v>
      </c>
      <c r="AC56">
        <v>56.3</v>
      </c>
      <c r="AD56">
        <v>84.11</v>
      </c>
      <c r="AE56">
        <v>20.98</v>
      </c>
      <c r="AF56">
        <f t="shared" si="5"/>
        <v>52.545000000000002</v>
      </c>
      <c r="AG56">
        <v>63.13</v>
      </c>
      <c r="AH56">
        <v>52.55</v>
      </c>
      <c r="AI56">
        <v>6.1</v>
      </c>
      <c r="AK56" s="1"/>
      <c r="AL56">
        <v>51.01</v>
      </c>
      <c r="AM56">
        <v>50.26</v>
      </c>
      <c r="AN56">
        <v>100</v>
      </c>
      <c r="AO56">
        <v>64.97</v>
      </c>
      <c r="AP56">
        <v>49.68</v>
      </c>
      <c r="AQ56">
        <v>100</v>
      </c>
      <c r="AR56">
        <v>66.38</v>
      </c>
      <c r="AS56">
        <v>32.479999999999997</v>
      </c>
      <c r="AT56">
        <v>50</v>
      </c>
      <c r="AU56">
        <v>50</v>
      </c>
      <c r="AV56">
        <v>100</v>
      </c>
      <c r="AW56">
        <v>0</v>
      </c>
      <c r="AX56">
        <f t="shared" si="6"/>
        <v>50</v>
      </c>
      <c r="AY56">
        <v>100</v>
      </c>
      <c r="AZ56">
        <v>50</v>
      </c>
      <c r="BA56">
        <v>0</v>
      </c>
      <c r="BP56" s="1"/>
      <c r="BQ56" s="1"/>
      <c r="BR56" s="1"/>
    </row>
    <row r="57" spans="1:70" x14ac:dyDescent="0.25">
      <c r="A57" s="1"/>
      <c r="B57">
        <v>62.62</v>
      </c>
      <c r="C57">
        <v>61.65</v>
      </c>
      <c r="D57">
        <v>99.62</v>
      </c>
      <c r="E57">
        <v>75.52</v>
      </c>
      <c r="F57">
        <v>61.62</v>
      </c>
      <c r="G57">
        <v>99.55</v>
      </c>
      <c r="H57">
        <v>76.12</v>
      </c>
      <c r="I57">
        <v>39.22</v>
      </c>
      <c r="J57">
        <v>50.58</v>
      </c>
      <c r="K57">
        <v>51.09</v>
      </c>
      <c r="L57">
        <v>99.62</v>
      </c>
      <c r="M57">
        <v>1.54</v>
      </c>
      <c r="N57">
        <f t="shared" si="4"/>
        <v>50.580000000000005</v>
      </c>
      <c r="O57">
        <v>98.07</v>
      </c>
      <c r="P57">
        <v>50.58</v>
      </c>
      <c r="Q57">
        <v>4.46</v>
      </c>
      <c r="S57" s="1"/>
      <c r="T57">
        <v>62.09</v>
      </c>
      <c r="U57">
        <v>61.49</v>
      </c>
      <c r="V57">
        <v>95.83</v>
      </c>
      <c r="W57">
        <v>74.34</v>
      </c>
      <c r="X57">
        <v>61.63</v>
      </c>
      <c r="Y57">
        <v>95.93</v>
      </c>
      <c r="Z57">
        <v>75.040000000000006</v>
      </c>
      <c r="AA57">
        <v>40.68</v>
      </c>
      <c r="AB57">
        <v>50.07</v>
      </c>
      <c r="AC57">
        <v>50.5</v>
      </c>
      <c r="AD57">
        <v>95.83</v>
      </c>
      <c r="AE57">
        <v>4.3</v>
      </c>
      <c r="AF57">
        <f t="shared" si="5"/>
        <v>50.064999999999998</v>
      </c>
      <c r="AG57">
        <v>91.53</v>
      </c>
      <c r="AH57">
        <v>50.07</v>
      </c>
      <c r="AI57">
        <v>0.06</v>
      </c>
      <c r="AK57" s="1"/>
      <c r="AL57">
        <v>63.37</v>
      </c>
      <c r="AM57">
        <v>61.39</v>
      </c>
      <c r="AN57">
        <v>100</v>
      </c>
      <c r="AO57">
        <v>75.45</v>
      </c>
      <c r="AP57">
        <v>61.39</v>
      </c>
      <c r="AQ57">
        <v>100</v>
      </c>
      <c r="AR57">
        <v>76.08</v>
      </c>
      <c r="AS57">
        <v>37.729999999999997</v>
      </c>
      <c r="AT57">
        <v>50</v>
      </c>
      <c r="AU57">
        <v>50</v>
      </c>
      <c r="AV57">
        <v>100</v>
      </c>
      <c r="AW57">
        <v>0</v>
      </c>
      <c r="AX57">
        <f t="shared" si="6"/>
        <v>50</v>
      </c>
      <c r="AY57">
        <v>100</v>
      </c>
      <c r="AZ57">
        <v>50</v>
      </c>
      <c r="BA57">
        <v>0</v>
      </c>
      <c r="BP57" s="1"/>
      <c r="BQ57" s="1"/>
      <c r="BR57" s="1"/>
    </row>
    <row r="58" spans="1:70" x14ac:dyDescent="0.25">
      <c r="A58" s="1"/>
      <c r="B58">
        <v>51.66</v>
      </c>
      <c r="C58">
        <v>42.88</v>
      </c>
      <c r="D58">
        <v>54.34</v>
      </c>
      <c r="E58">
        <v>68.069999999999993</v>
      </c>
      <c r="F58">
        <v>54.82</v>
      </c>
      <c r="G58">
        <v>59.48</v>
      </c>
      <c r="H58">
        <v>57.05</v>
      </c>
      <c r="I58">
        <v>40.049999999999997</v>
      </c>
      <c r="J58">
        <v>49.53</v>
      </c>
      <c r="K58">
        <v>47.86</v>
      </c>
      <c r="L58">
        <v>54.34</v>
      </c>
      <c r="M58">
        <v>44.72</v>
      </c>
      <c r="N58">
        <f t="shared" si="4"/>
        <v>49.53</v>
      </c>
      <c r="O58">
        <v>9.6199999999999992</v>
      </c>
      <c r="P58">
        <v>49.53</v>
      </c>
      <c r="Q58">
        <v>-1.69</v>
      </c>
      <c r="S58" s="1"/>
      <c r="T58">
        <v>53.9</v>
      </c>
      <c r="U58">
        <v>54.92</v>
      </c>
      <c r="V58">
        <v>72.95</v>
      </c>
      <c r="W58">
        <v>51.01</v>
      </c>
      <c r="X58">
        <v>51.35</v>
      </c>
      <c r="Y58">
        <v>74.510000000000005</v>
      </c>
      <c r="Z58">
        <v>60.8</v>
      </c>
      <c r="AA58">
        <v>37.82</v>
      </c>
      <c r="AB58">
        <v>50.37</v>
      </c>
      <c r="AC58">
        <v>58.68</v>
      </c>
      <c r="AD58">
        <v>72.95</v>
      </c>
      <c r="AE58">
        <v>27.78</v>
      </c>
      <c r="AF58">
        <f t="shared" si="5"/>
        <v>50.365000000000002</v>
      </c>
      <c r="AG58">
        <v>45.16</v>
      </c>
      <c r="AH58">
        <v>50.37</v>
      </c>
      <c r="AI58">
        <v>2.08</v>
      </c>
      <c r="AK58" s="1"/>
      <c r="AL58">
        <v>51.01</v>
      </c>
      <c r="AM58">
        <v>50.26</v>
      </c>
      <c r="AN58">
        <v>100</v>
      </c>
      <c r="AO58">
        <v>64.97</v>
      </c>
      <c r="AP58">
        <v>49.68</v>
      </c>
      <c r="AQ58">
        <v>100</v>
      </c>
      <c r="AR58">
        <v>66.38</v>
      </c>
      <c r="AS58">
        <v>32.479999999999997</v>
      </c>
      <c r="AT58">
        <v>50</v>
      </c>
      <c r="AU58">
        <v>50</v>
      </c>
      <c r="AV58">
        <v>100</v>
      </c>
      <c r="AW58">
        <v>0</v>
      </c>
      <c r="AX58">
        <f t="shared" si="6"/>
        <v>50</v>
      </c>
      <c r="AY58">
        <v>100</v>
      </c>
      <c r="AZ58">
        <v>50</v>
      </c>
      <c r="BA58">
        <v>0</v>
      </c>
      <c r="BP58" s="1"/>
      <c r="BQ58" s="1"/>
      <c r="BR58" s="1"/>
    </row>
    <row r="59" spans="1:70" x14ac:dyDescent="0.25">
      <c r="A59" s="1"/>
      <c r="B59">
        <v>49.37</v>
      </c>
      <c r="C59">
        <v>46.55</v>
      </c>
      <c r="D59">
        <v>47.79</v>
      </c>
      <c r="E59">
        <v>50.83</v>
      </c>
      <c r="F59">
        <v>55.76</v>
      </c>
      <c r="G59">
        <v>54.24</v>
      </c>
      <c r="H59">
        <v>54.99</v>
      </c>
      <c r="I59">
        <v>41.5</v>
      </c>
      <c r="J59">
        <v>48.17</v>
      </c>
      <c r="K59">
        <v>46.99</v>
      </c>
      <c r="L59">
        <v>47.79</v>
      </c>
      <c r="M59">
        <v>48.55</v>
      </c>
      <c r="N59">
        <f t="shared" si="4"/>
        <v>48.17</v>
      </c>
      <c r="O59">
        <v>0.75</v>
      </c>
      <c r="P59">
        <v>48.17</v>
      </c>
      <c r="Q59">
        <v>-5.13</v>
      </c>
      <c r="S59" s="1"/>
      <c r="T59">
        <v>50.1</v>
      </c>
      <c r="U59">
        <v>54.75</v>
      </c>
      <c r="V59">
        <v>72.83</v>
      </c>
      <c r="W59">
        <v>53.64</v>
      </c>
      <c r="X59">
        <v>52.05</v>
      </c>
      <c r="Y59">
        <v>73.03</v>
      </c>
      <c r="Z59">
        <v>60.78</v>
      </c>
      <c r="AA59">
        <v>42.19</v>
      </c>
      <c r="AB59">
        <v>51.27</v>
      </c>
      <c r="AC59">
        <v>49.38</v>
      </c>
      <c r="AD59">
        <v>72.83</v>
      </c>
      <c r="AE59">
        <v>29.71</v>
      </c>
      <c r="AF59">
        <f t="shared" si="5"/>
        <v>51.269999999999996</v>
      </c>
      <c r="AG59">
        <v>43.12</v>
      </c>
      <c r="AH59">
        <v>51.27</v>
      </c>
      <c r="AI59">
        <v>2.42</v>
      </c>
      <c r="AK59" s="1"/>
      <c r="AL59">
        <v>49.67</v>
      </c>
      <c r="AM59">
        <v>50.3</v>
      </c>
      <c r="AN59">
        <v>100</v>
      </c>
      <c r="AO59">
        <v>64.81</v>
      </c>
      <c r="AP59">
        <v>50.3</v>
      </c>
      <c r="AQ59">
        <v>100</v>
      </c>
      <c r="AR59">
        <v>66.94</v>
      </c>
      <c r="AS59">
        <v>32.409999999999997</v>
      </c>
      <c r="AT59">
        <v>50</v>
      </c>
      <c r="AU59">
        <v>50</v>
      </c>
      <c r="AV59">
        <v>100</v>
      </c>
      <c r="AW59">
        <v>0</v>
      </c>
      <c r="AX59">
        <f t="shared" si="6"/>
        <v>50</v>
      </c>
      <c r="AY59">
        <v>100</v>
      </c>
      <c r="AZ59">
        <v>50</v>
      </c>
      <c r="BA59">
        <v>0</v>
      </c>
      <c r="BP59" s="1"/>
      <c r="BQ59" s="1"/>
      <c r="BR59" s="1"/>
    </row>
    <row r="60" spans="1:70" x14ac:dyDescent="0.25">
      <c r="A60" s="1"/>
      <c r="B60" s="2">
        <f t="shared" ref="B60:Q60" si="12">AVERAGE(B54:B59)</f>
        <v>57.866666666666674</v>
      </c>
      <c r="C60" s="2">
        <f t="shared" si="12"/>
        <v>53.980000000000011</v>
      </c>
      <c r="D60" s="2">
        <f t="shared" si="12"/>
        <v>80.23833333333333</v>
      </c>
      <c r="E60" s="2">
        <f t="shared" si="12"/>
        <v>67.44</v>
      </c>
      <c r="F60" s="2">
        <f t="shared" si="12"/>
        <v>57.941666666666663</v>
      </c>
      <c r="G60" s="2">
        <f t="shared" si="12"/>
        <v>82.821666666666673</v>
      </c>
      <c r="H60" s="2">
        <f t="shared" si="12"/>
        <v>67.495000000000005</v>
      </c>
      <c r="I60" s="2">
        <f t="shared" si="12"/>
        <v>39.738333333333337</v>
      </c>
      <c r="J60" s="2">
        <f t="shared" si="12"/>
        <v>49.951666666666661</v>
      </c>
      <c r="K60" s="2">
        <f t="shared" si="12"/>
        <v>51.076666666666661</v>
      </c>
      <c r="L60" s="2">
        <f t="shared" si="12"/>
        <v>80.23833333333333</v>
      </c>
      <c r="M60" s="2">
        <f t="shared" si="12"/>
        <v>19.663333333333334</v>
      </c>
      <c r="N60" s="2">
        <f t="shared" si="12"/>
        <v>49.950833333333343</v>
      </c>
      <c r="O60" s="2">
        <f t="shared" si="12"/>
        <v>60.824999999999996</v>
      </c>
      <c r="P60" s="2">
        <f t="shared" si="12"/>
        <v>49.951666666666661</v>
      </c>
      <c r="Q60" s="2">
        <f t="shared" si="12"/>
        <v>8.3333333333333481E-2</v>
      </c>
      <c r="R60" s="2"/>
      <c r="S60" s="2"/>
      <c r="T60" s="2">
        <f t="shared" ref="T60:AI60" si="13">AVERAGE(T54:T59)</f>
        <v>57.860000000000007</v>
      </c>
      <c r="U60" s="2">
        <f t="shared" si="13"/>
        <v>57.815000000000005</v>
      </c>
      <c r="V60" s="2">
        <f t="shared" si="13"/>
        <v>87.62</v>
      </c>
      <c r="W60" s="2">
        <f t="shared" si="13"/>
        <v>65.278333333333322</v>
      </c>
      <c r="X60" s="2">
        <f t="shared" si="13"/>
        <v>56.57</v>
      </c>
      <c r="Y60" s="2">
        <f t="shared" si="13"/>
        <v>87.855000000000004</v>
      </c>
      <c r="Z60" s="2">
        <f t="shared" si="13"/>
        <v>68.77</v>
      </c>
      <c r="AA60" s="2">
        <f t="shared" si="13"/>
        <v>39.61</v>
      </c>
      <c r="AB60" s="2">
        <f t="shared" si="13"/>
        <v>50.71</v>
      </c>
      <c r="AC60" s="2">
        <f t="shared" si="13"/>
        <v>52.876666666666665</v>
      </c>
      <c r="AD60" s="2">
        <f t="shared" si="13"/>
        <v>87.62</v>
      </c>
      <c r="AE60" s="2">
        <f t="shared" si="13"/>
        <v>13.795000000000002</v>
      </c>
      <c r="AF60" s="2">
        <f t="shared" si="13"/>
        <v>50.707500000000003</v>
      </c>
      <c r="AG60" s="2">
        <f t="shared" si="13"/>
        <v>73.823333333333323</v>
      </c>
      <c r="AH60" s="2">
        <f t="shared" si="13"/>
        <v>50.71</v>
      </c>
      <c r="AI60" s="2">
        <f t="shared" si="13"/>
        <v>1.7766666666666664</v>
      </c>
      <c r="AJ60" s="2"/>
      <c r="AK60" s="2"/>
      <c r="AL60" s="2">
        <f t="shared" ref="AL60:BA60" si="14">AVERAGE(AL54:AL59)</f>
        <v>56.966666666666669</v>
      </c>
      <c r="AM60" s="2">
        <f t="shared" si="14"/>
        <v>55.831666666666671</v>
      </c>
      <c r="AN60" s="2">
        <f t="shared" si="14"/>
        <v>100</v>
      </c>
      <c r="AO60" s="2">
        <f t="shared" si="14"/>
        <v>70.183333333333323</v>
      </c>
      <c r="AP60" s="2">
        <f t="shared" si="14"/>
        <v>55.638333333333343</v>
      </c>
      <c r="AQ60" s="2">
        <f t="shared" si="14"/>
        <v>100</v>
      </c>
      <c r="AR60" s="2">
        <f t="shared" si="14"/>
        <v>71.323333333333338</v>
      </c>
      <c r="AS60" s="2">
        <f t="shared" si="14"/>
        <v>35.093333333333327</v>
      </c>
      <c r="AT60" s="2">
        <f t="shared" si="14"/>
        <v>50</v>
      </c>
      <c r="AU60" s="2">
        <f t="shared" si="14"/>
        <v>50</v>
      </c>
      <c r="AV60" s="2">
        <f t="shared" si="14"/>
        <v>100</v>
      </c>
      <c r="AW60" s="2">
        <f t="shared" si="14"/>
        <v>0</v>
      </c>
      <c r="AX60" s="2">
        <f t="shared" si="14"/>
        <v>50</v>
      </c>
      <c r="AY60" s="2">
        <f t="shared" si="14"/>
        <v>100</v>
      </c>
      <c r="AZ60" s="2">
        <f t="shared" si="14"/>
        <v>50</v>
      </c>
      <c r="BA60" s="2">
        <f t="shared" si="14"/>
        <v>0</v>
      </c>
      <c r="BP60" s="2"/>
      <c r="BQ60" s="2"/>
      <c r="BR60" s="2"/>
    </row>
    <row r="63" spans="1:70" x14ac:dyDescent="0.25">
      <c r="A63" s="1" t="s">
        <v>22</v>
      </c>
      <c r="B63">
        <v>81.23</v>
      </c>
      <c r="C63">
        <v>71.8</v>
      </c>
      <c r="D63">
        <v>80.02</v>
      </c>
      <c r="E63">
        <v>74.95</v>
      </c>
      <c r="F63">
        <v>71.599999999999994</v>
      </c>
      <c r="G63">
        <v>80.56</v>
      </c>
      <c r="H63">
        <v>75.819999999999993</v>
      </c>
      <c r="I63">
        <v>63.29</v>
      </c>
      <c r="J63">
        <v>64.45</v>
      </c>
      <c r="K63">
        <v>74.430000000000007</v>
      </c>
      <c r="L63">
        <v>80.02</v>
      </c>
      <c r="M63">
        <v>48.87</v>
      </c>
      <c r="N63">
        <f t="shared" si="4"/>
        <v>64.444999999999993</v>
      </c>
      <c r="O63">
        <v>31.14</v>
      </c>
      <c r="P63">
        <v>64.45</v>
      </c>
      <c r="Q63">
        <v>30.29</v>
      </c>
      <c r="S63" s="1" t="s">
        <v>22</v>
      </c>
      <c r="T63">
        <v>80.260000000000005</v>
      </c>
      <c r="U63">
        <v>70.290000000000006</v>
      </c>
      <c r="V63">
        <v>82.26</v>
      </c>
      <c r="W63">
        <v>74.17</v>
      </c>
      <c r="X63">
        <v>72.27</v>
      </c>
      <c r="Y63">
        <v>85.65</v>
      </c>
      <c r="Z63">
        <v>78.39</v>
      </c>
      <c r="AA63">
        <v>62.32</v>
      </c>
      <c r="AB63">
        <v>63.59</v>
      </c>
      <c r="AC63">
        <v>75.59</v>
      </c>
      <c r="AD63">
        <v>82.26</v>
      </c>
      <c r="AE63">
        <v>44.91</v>
      </c>
      <c r="AF63">
        <f t="shared" si="5"/>
        <v>63.585000000000001</v>
      </c>
      <c r="AG63">
        <v>37.35</v>
      </c>
      <c r="AH63">
        <v>63.59</v>
      </c>
      <c r="AI63">
        <v>35.74</v>
      </c>
      <c r="AK63" s="1" t="s">
        <v>22</v>
      </c>
      <c r="AL63">
        <v>86.52</v>
      </c>
      <c r="AM63">
        <v>77.989999999999995</v>
      </c>
      <c r="AN63">
        <v>70.12</v>
      </c>
      <c r="AO63">
        <v>60.95</v>
      </c>
      <c r="AP63">
        <v>70.650000000000006</v>
      </c>
      <c r="AQ63">
        <v>65.739999999999995</v>
      </c>
      <c r="AR63">
        <v>68.11</v>
      </c>
      <c r="AS63">
        <v>58.79</v>
      </c>
      <c r="AT63">
        <v>66.69</v>
      </c>
      <c r="AU63">
        <v>82.13</v>
      </c>
      <c r="AV63">
        <v>70.12</v>
      </c>
      <c r="AW63">
        <v>63.26</v>
      </c>
      <c r="AX63">
        <f t="shared" si="6"/>
        <v>66.69</v>
      </c>
      <c r="AY63">
        <v>6.87</v>
      </c>
      <c r="AZ63">
        <v>66.69</v>
      </c>
      <c r="BA63">
        <v>38.18</v>
      </c>
      <c r="BP63" s="1">
        <f>(O63+AG63+AY63)/3</f>
        <v>25.120000000000005</v>
      </c>
      <c r="BQ63" s="1">
        <f t="shared" ref="BQ63:BQ68" si="15">(P63+AH63+AZ63)/3</f>
        <v>64.910000000000011</v>
      </c>
      <c r="BR63" s="1">
        <f t="shared" ref="BR63:BR68" si="16">(Q63+AI63+BA63)/3</f>
        <v>34.736666666666672</v>
      </c>
    </row>
    <row r="64" spans="1:70" x14ac:dyDescent="0.25">
      <c r="A64" s="1"/>
      <c r="B64">
        <v>77.56</v>
      </c>
      <c r="C64">
        <v>79.06</v>
      </c>
      <c r="D64">
        <v>52.75</v>
      </c>
      <c r="E64">
        <v>56.14</v>
      </c>
      <c r="F64">
        <v>75.95</v>
      </c>
      <c r="G64">
        <v>55.56</v>
      </c>
      <c r="H64">
        <v>64.17</v>
      </c>
      <c r="I64">
        <v>51.68</v>
      </c>
      <c r="J64">
        <v>59.05</v>
      </c>
      <c r="K64">
        <v>71.16</v>
      </c>
      <c r="L64">
        <v>52.75</v>
      </c>
      <c r="M64">
        <v>65.349999999999994</v>
      </c>
      <c r="N64">
        <f t="shared" si="4"/>
        <v>59.05</v>
      </c>
      <c r="O64">
        <v>12.59</v>
      </c>
      <c r="P64">
        <v>59.05</v>
      </c>
      <c r="Q64">
        <v>20.079999999999998</v>
      </c>
      <c r="S64" s="1"/>
      <c r="T64">
        <v>75.8</v>
      </c>
      <c r="U64">
        <v>75.709999999999994</v>
      </c>
      <c r="V64">
        <v>73.05</v>
      </c>
      <c r="W64">
        <v>59.4</v>
      </c>
      <c r="X64">
        <v>67.33</v>
      </c>
      <c r="Y64">
        <v>78.239999999999995</v>
      </c>
      <c r="Z64">
        <v>72.38</v>
      </c>
      <c r="AA64">
        <v>43.7</v>
      </c>
      <c r="AB64">
        <v>52.74</v>
      </c>
      <c r="AC64">
        <v>65.42</v>
      </c>
      <c r="AD64">
        <v>73.05</v>
      </c>
      <c r="AE64">
        <v>32.44</v>
      </c>
      <c r="AF64">
        <f t="shared" si="5"/>
        <v>52.744999999999997</v>
      </c>
      <c r="AG64">
        <v>40.61</v>
      </c>
      <c r="AH64">
        <v>52.74</v>
      </c>
      <c r="AI64">
        <v>9.7799999999999994</v>
      </c>
      <c r="AK64" s="1"/>
      <c r="AL64">
        <v>76.86</v>
      </c>
      <c r="AM64">
        <v>74.239999999999995</v>
      </c>
      <c r="AN64">
        <v>57.91</v>
      </c>
      <c r="AO64">
        <v>50.86</v>
      </c>
      <c r="AP64">
        <v>62.3</v>
      </c>
      <c r="AQ64">
        <v>52.78</v>
      </c>
      <c r="AR64">
        <v>57.14</v>
      </c>
      <c r="AS64">
        <v>45.63</v>
      </c>
      <c r="AT64">
        <v>57.67</v>
      </c>
      <c r="AU64">
        <v>68.349999999999994</v>
      </c>
      <c r="AV64">
        <v>57.91</v>
      </c>
      <c r="AW64">
        <v>57.44</v>
      </c>
      <c r="AX64">
        <f t="shared" si="6"/>
        <v>57.674999999999997</v>
      </c>
      <c r="AY64">
        <v>0.47</v>
      </c>
      <c r="AZ64">
        <v>57.67</v>
      </c>
      <c r="BA64">
        <v>17.399999999999999</v>
      </c>
      <c r="BP64" s="1">
        <f t="shared" ref="BP64:BP67" si="17">(O64+AG64+AY64)/3</f>
        <v>17.89</v>
      </c>
      <c r="BQ64" s="1">
        <f t="shared" si="15"/>
        <v>56.486666666666657</v>
      </c>
      <c r="BR64" s="1">
        <f t="shared" si="16"/>
        <v>15.753333333333332</v>
      </c>
    </row>
    <row r="65" spans="1:70" x14ac:dyDescent="0.25">
      <c r="A65" s="1"/>
      <c r="B65">
        <v>59.28</v>
      </c>
      <c r="C65">
        <v>60.51</v>
      </c>
      <c r="D65">
        <v>57.85</v>
      </c>
      <c r="E65">
        <v>55.46</v>
      </c>
      <c r="F65">
        <v>61.15</v>
      </c>
      <c r="G65">
        <v>62.75</v>
      </c>
      <c r="H65">
        <v>61.94</v>
      </c>
      <c r="I65">
        <v>54.16</v>
      </c>
      <c r="J65">
        <v>56.68</v>
      </c>
      <c r="K65">
        <v>59.24</v>
      </c>
      <c r="L65">
        <v>57.85</v>
      </c>
      <c r="M65">
        <v>55.51</v>
      </c>
      <c r="N65">
        <f t="shared" si="4"/>
        <v>56.68</v>
      </c>
      <c r="O65">
        <v>2.35</v>
      </c>
      <c r="P65">
        <v>56.68</v>
      </c>
      <c r="Q65">
        <v>14.92</v>
      </c>
      <c r="S65" s="1"/>
      <c r="T65">
        <v>59.08</v>
      </c>
      <c r="U65">
        <v>56.64</v>
      </c>
      <c r="V65">
        <v>67.45</v>
      </c>
      <c r="W65">
        <v>51.99</v>
      </c>
      <c r="X65">
        <v>51.74</v>
      </c>
      <c r="Y65">
        <v>67.97</v>
      </c>
      <c r="Z65">
        <v>58.76</v>
      </c>
      <c r="AA65">
        <v>43.69</v>
      </c>
      <c r="AB65">
        <v>51.35</v>
      </c>
      <c r="AC65">
        <v>56.48</v>
      </c>
      <c r="AD65">
        <v>67.45</v>
      </c>
      <c r="AE65">
        <v>35.25</v>
      </c>
      <c r="AF65">
        <f t="shared" si="5"/>
        <v>51.35</v>
      </c>
      <c r="AG65">
        <v>32.200000000000003</v>
      </c>
      <c r="AH65">
        <v>51.35</v>
      </c>
      <c r="AI65">
        <v>3.15</v>
      </c>
      <c r="AK65" s="1"/>
      <c r="AL65">
        <v>55.54</v>
      </c>
      <c r="AM65">
        <v>54.9</v>
      </c>
      <c r="AN65">
        <v>50.58</v>
      </c>
      <c r="AO65">
        <v>43.99</v>
      </c>
      <c r="AP65">
        <v>47.71</v>
      </c>
      <c r="AQ65">
        <v>47.71</v>
      </c>
      <c r="AR65">
        <v>47.71</v>
      </c>
      <c r="AS65">
        <v>44.44</v>
      </c>
      <c r="AT65">
        <v>51.54</v>
      </c>
      <c r="AU65">
        <v>59.35</v>
      </c>
      <c r="AV65">
        <v>50.58</v>
      </c>
      <c r="AW65">
        <v>52.49</v>
      </c>
      <c r="AX65">
        <f t="shared" si="6"/>
        <v>51.534999999999997</v>
      </c>
      <c r="AY65">
        <v>1.91</v>
      </c>
      <c r="AZ65">
        <v>51.54</v>
      </c>
      <c r="BA65">
        <v>3.27</v>
      </c>
      <c r="BP65" s="1">
        <f t="shared" si="17"/>
        <v>12.153333333333334</v>
      </c>
      <c r="BQ65" s="1">
        <f t="shared" si="15"/>
        <v>53.19</v>
      </c>
      <c r="BR65" s="1">
        <f t="shared" si="16"/>
        <v>7.1133333333333333</v>
      </c>
    </row>
    <row r="66" spans="1:70" x14ac:dyDescent="0.25">
      <c r="A66" s="1"/>
      <c r="B66">
        <v>66.81</v>
      </c>
      <c r="C66">
        <v>78.569999999999993</v>
      </c>
      <c r="D66">
        <v>23.27</v>
      </c>
      <c r="E66">
        <v>22.56</v>
      </c>
      <c r="F66">
        <v>69.05</v>
      </c>
      <c r="G66">
        <v>26.85</v>
      </c>
      <c r="H66">
        <v>38.67</v>
      </c>
      <c r="I66">
        <v>34.409999999999997</v>
      </c>
      <c r="J66">
        <v>49.09</v>
      </c>
      <c r="K66">
        <v>53.75</v>
      </c>
      <c r="L66">
        <v>23.27</v>
      </c>
      <c r="M66">
        <v>74.91</v>
      </c>
      <c r="N66">
        <f t="shared" si="4"/>
        <v>49.089999999999996</v>
      </c>
      <c r="O66">
        <v>51.64</v>
      </c>
      <c r="P66">
        <v>49.09</v>
      </c>
      <c r="Q66">
        <v>-2.65</v>
      </c>
      <c r="S66" s="1"/>
      <c r="T66">
        <v>63.72</v>
      </c>
      <c r="U66">
        <v>75.66</v>
      </c>
      <c r="V66">
        <v>67.900000000000006</v>
      </c>
      <c r="W66">
        <v>57.48</v>
      </c>
      <c r="X66">
        <v>67.38</v>
      </c>
      <c r="Y66">
        <v>72.69</v>
      </c>
      <c r="Z66">
        <v>69.930000000000007</v>
      </c>
      <c r="AA66">
        <v>45.15</v>
      </c>
      <c r="AB66">
        <v>52.4</v>
      </c>
      <c r="AC66">
        <v>51.43</v>
      </c>
      <c r="AD66">
        <v>67.900000000000006</v>
      </c>
      <c r="AE66">
        <v>36.9</v>
      </c>
      <c r="AF66">
        <f t="shared" si="5"/>
        <v>52.400000000000006</v>
      </c>
      <c r="AG66">
        <v>31</v>
      </c>
      <c r="AH66">
        <v>52.4</v>
      </c>
      <c r="AI66">
        <v>9.48</v>
      </c>
      <c r="AK66" s="1"/>
      <c r="AL66">
        <v>70.59</v>
      </c>
      <c r="AM66">
        <v>78.42</v>
      </c>
      <c r="AN66">
        <v>31.66</v>
      </c>
      <c r="AO66">
        <v>31.4</v>
      </c>
      <c r="AP66">
        <v>57.58</v>
      </c>
      <c r="AQ66">
        <v>26.39</v>
      </c>
      <c r="AR66">
        <v>36.19</v>
      </c>
      <c r="AS66">
        <v>39.83</v>
      </c>
      <c r="AT66">
        <v>53.72</v>
      </c>
      <c r="AU66">
        <v>60.94</v>
      </c>
      <c r="AV66">
        <v>31.66</v>
      </c>
      <c r="AW66">
        <v>75.78</v>
      </c>
      <c r="AX66">
        <f t="shared" si="6"/>
        <v>53.72</v>
      </c>
      <c r="AY66">
        <v>44.12</v>
      </c>
      <c r="AZ66">
        <v>53.72</v>
      </c>
      <c r="BA66">
        <v>9.2799999999999994</v>
      </c>
      <c r="BP66" s="1">
        <f t="shared" si="17"/>
        <v>42.25333333333333</v>
      </c>
      <c r="BQ66" s="1">
        <f t="shared" si="15"/>
        <v>51.736666666666672</v>
      </c>
      <c r="BR66" s="1">
        <f t="shared" si="16"/>
        <v>5.37</v>
      </c>
    </row>
    <row r="67" spans="1:70" x14ac:dyDescent="0.25">
      <c r="A67" s="1"/>
      <c r="B67">
        <v>51.98</v>
      </c>
      <c r="C67">
        <v>56.16</v>
      </c>
      <c r="D67">
        <v>24.49</v>
      </c>
      <c r="E67">
        <v>50.2</v>
      </c>
      <c r="F67">
        <v>59.74</v>
      </c>
      <c r="G67">
        <v>30.07</v>
      </c>
      <c r="H67">
        <v>40</v>
      </c>
      <c r="I67">
        <v>40.6</v>
      </c>
      <c r="J67">
        <v>48.76</v>
      </c>
      <c r="K67">
        <v>51.62</v>
      </c>
      <c r="L67">
        <v>24.49</v>
      </c>
      <c r="M67">
        <v>73.03</v>
      </c>
      <c r="N67">
        <f t="shared" si="4"/>
        <v>48.76</v>
      </c>
      <c r="O67">
        <v>48.53</v>
      </c>
      <c r="P67">
        <v>48.76</v>
      </c>
      <c r="Q67">
        <v>-4.6900000000000004</v>
      </c>
      <c r="S67" s="1"/>
      <c r="T67">
        <v>52.95</v>
      </c>
      <c r="U67">
        <v>64.540000000000006</v>
      </c>
      <c r="V67">
        <v>41.01</v>
      </c>
      <c r="W67">
        <v>37.880000000000003</v>
      </c>
      <c r="X67">
        <v>53.72</v>
      </c>
      <c r="Y67">
        <v>42.48</v>
      </c>
      <c r="Z67">
        <v>47.45</v>
      </c>
      <c r="AA67">
        <v>44.57</v>
      </c>
      <c r="AB67">
        <v>50.87</v>
      </c>
      <c r="AC67">
        <v>48.58</v>
      </c>
      <c r="AD67">
        <v>41.01</v>
      </c>
      <c r="AE67">
        <v>60.73</v>
      </c>
      <c r="AF67">
        <f t="shared" si="5"/>
        <v>50.87</v>
      </c>
      <c r="AG67">
        <v>19.72</v>
      </c>
      <c r="AH67">
        <v>50.87</v>
      </c>
      <c r="AI67">
        <v>6.3</v>
      </c>
      <c r="AK67" s="1"/>
      <c r="AL67">
        <v>61.44</v>
      </c>
      <c r="AM67">
        <v>62.39</v>
      </c>
      <c r="AN67">
        <v>31.44</v>
      </c>
      <c r="AO67">
        <v>44.16</v>
      </c>
      <c r="AP67">
        <v>55.13</v>
      </c>
      <c r="AQ67">
        <v>28.1</v>
      </c>
      <c r="AR67">
        <v>37.229999999999997</v>
      </c>
      <c r="AS67">
        <v>45.94</v>
      </c>
      <c r="AT67">
        <v>55.52</v>
      </c>
      <c r="AU67">
        <v>62.06</v>
      </c>
      <c r="AV67">
        <v>31.44</v>
      </c>
      <c r="AW67">
        <v>79.61</v>
      </c>
      <c r="AX67">
        <f t="shared" si="6"/>
        <v>55.524999999999999</v>
      </c>
      <c r="AY67">
        <v>48.17</v>
      </c>
      <c r="AZ67">
        <v>55.52</v>
      </c>
      <c r="BA67">
        <v>11.59</v>
      </c>
      <c r="BP67" s="1">
        <f t="shared" si="17"/>
        <v>38.806666666666665</v>
      </c>
      <c r="BQ67" s="1">
        <f t="shared" si="15"/>
        <v>51.716666666666669</v>
      </c>
      <c r="BR67" s="1">
        <f t="shared" si="16"/>
        <v>4.3999999999999995</v>
      </c>
    </row>
    <row r="68" spans="1:70" x14ac:dyDescent="0.25">
      <c r="A68" s="1"/>
      <c r="B68">
        <v>52.61</v>
      </c>
      <c r="C68">
        <v>57.46</v>
      </c>
      <c r="D68">
        <v>38.04</v>
      </c>
      <c r="E68">
        <v>39.729999999999997</v>
      </c>
      <c r="F68">
        <v>49.8</v>
      </c>
      <c r="G68">
        <v>37.880000000000003</v>
      </c>
      <c r="H68">
        <v>43.03</v>
      </c>
      <c r="I68">
        <v>40.28</v>
      </c>
      <c r="J68">
        <v>51.09</v>
      </c>
      <c r="K68">
        <v>50.86</v>
      </c>
      <c r="L68">
        <v>38.04</v>
      </c>
      <c r="M68">
        <v>64.13</v>
      </c>
      <c r="N68">
        <f t="shared" si="4"/>
        <v>51.084999999999994</v>
      </c>
      <c r="O68">
        <v>26.09</v>
      </c>
      <c r="P68">
        <v>51.09</v>
      </c>
      <c r="Q68">
        <v>3.09</v>
      </c>
      <c r="S68" s="1"/>
      <c r="T68">
        <v>53.27</v>
      </c>
      <c r="U68">
        <v>53.73</v>
      </c>
      <c r="V68">
        <v>47.31</v>
      </c>
      <c r="W68">
        <v>41.23</v>
      </c>
      <c r="X68">
        <v>52.23</v>
      </c>
      <c r="Y68">
        <v>49.7</v>
      </c>
      <c r="Z68">
        <v>50.93</v>
      </c>
      <c r="AA68">
        <v>43.62</v>
      </c>
      <c r="AB68">
        <v>50.2</v>
      </c>
      <c r="AC68">
        <v>52.59</v>
      </c>
      <c r="AD68">
        <v>47.31</v>
      </c>
      <c r="AE68">
        <v>53.1</v>
      </c>
      <c r="AF68">
        <f t="shared" si="5"/>
        <v>50.204999999999998</v>
      </c>
      <c r="AG68">
        <v>5.79</v>
      </c>
      <c r="AH68">
        <v>50.2</v>
      </c>
      <c r="AI68">
        <v>0.11</v>
      </c>
      <c r="AK68" s="1"/>
      <c r="AL68">
        <v>57.38</v>
      </c>
      <c r="AM68">
        <v>57.11</v>
      </c>
      <c r="AN68">
        <v>37.25</v>
      </c>
      <c r="AO68">
        <v>34.15</v>
      </c>
      <c r="AP68">
        <v>47.12</v>
      </c>
      <c r="AQ68">
        <v>29.7</v>
      </c>
      <c r="AR68">
        <v>36.43</v>
      </c>
      <c r="AS68">
        <v>43.7</v>
      </c>
      <c r="AT68">
        <v>53.34</v>
      </c>
      <c r="AU68">
        <v>57.12</v>
      </c>
      <c r="AV68">
        <v>37.25</v>
      </c>
      <c r="AW68">
        <v>69.430000000000007</v>
      </c>
      <c r="AX68">
        <f t="shared" si="6"/>
        <v>53.34</v>
      </c>
      <c r="AY68">
        <v>32.17</v>
      </c>
      <c r="AZ68">
        <v>53.34</v>
      </c>
      <c r="BA68">
        <v>5.34</v>
      </c>
      <c r="BP68" s="1">
        <f>(O68+AG68+AY68)/3</f>
        <v>21.349999999999998</v>
      </c>
      <c r="BQ68" s="1">
        <f t="shared" si="15"/>
        <v>51.543333333333329</v>
      </c>
      <c r="BR68" s="1">
        <f t="shared" si="16"/>
        <v>2.8466666666666662</v>
      </c>
    </row>
    <row r="69" spans="1:70" x14ac:dyDescent="0.25">
      <c r="A69" s="1"/>
      <c r="B69" s="2">
        <f t="shared" ref="B69:Q69" si="18">AVERAGE(B63:B68)</f>
        <v>64.911666666666676</v>
      </c>
      <c r="C69" s="2">
        <f t="shared" si="18"/>
        <v>67.260000000000005</v>
      </c>
      <c r="D69" s="2">
        <f t="shared" si="18"/>
        <v>46.07</v>
      </c>
      <c r="E69" s="2">
        <f t="shared" si="18"/>
        <v>49.84</v>
      </c>
      <c r="F69" s="2">
        <f t="shared" si="18"/>
        <v>64.548333333333332</v>
      </c>
      <c r="G69" s="2">
        <f t="shared" si="18"/>
        <v>48.945</v>
      </c>
      <c r="H69" s="2">
        <f t="shared" si="18"/>
        <v>53.938333333333333</v>
      </c>
      <c r="I69" s="2">
        <f t="shared" si="18"/>
        <v>47.403333333333329</v>
      </c>
      <c r="J69" s="2">
        <f t="shared" si="18"/>
        <v>54.853333333333332</v>
      </c>
      <c r="K69" s="2">
        <f t="shared" si="18"/>
        <v>60.176666666666677</v>
      </c>
      <c r="L69" s="2">
        <f t="shared" si="18"/>
        <v>46.07</v>
      </c>
      <c r="M69" s="2">
        <f t="shared" si="18"/>
        <v>63.633333333333326</v>
      </c>
      <c r="N69" s="2">
        <f t="shared" si="18"/>
        <v>54.851666666666659</v>
      </c>
      <c r="O69" s="2">
        <f t="shared" si="18"/>
        <v>28.723333333333333</v>
      </c>
      <c r="P69" s="2">
        <f t="shared" si="18"/>
        <v>54.853333333333332</v>
      </c>
      <c r="Q69" s="2">
        <f t="shared" si="18"/>
        <v>10.173333333333332</v>
      </c>
      <c r="R69" s="2"/>
      <c r="S69" s="2"/>
      <c r="T69" s="2">
        <f t="shared" ref="T69:AI69" si="19">AVERAGE(T63:T68)</f>
        <v>64.179999999999993</v>
      </c>
      <c r="U69" s="2">
        <f t="shared" si="19"/>
        <v>66.094999999999999</v>
      </c>
      <c r="V69" s="2">
        <f t="shared" si="19"/>
        <v>63.163333333333327</v>
      </c>
      <c r="W69" s="2">
        <f t="shared" si="19"/>
        <v>53.69166666666667</v>
      </c>
      <c r="X69" s="2">
        <f t="shared" si="19"/>
        <v>60.778333333333343</v>
      </c>
      <c r="Y69" s="2">
        <f t="shared" si="19"/>
        <v>66.121666666666655</v>
      </c>
      <c r="Z69" s="2">
        <f t="shared" si="19"/>
        <v>62.973333333333329</v>
      </c>
      <c r="AA69" s="2">
        <f t="shared" si="19"/>
        <v>47.175000000000004</v>
      </c>
      <c r="AB69" s="2">
        <f t="shared" si="19"/>
        <v>53.524999999999999</v>
      </c>
      <c r="AC69" s="2">
        <f t="shared" si="19"/>
        <v>58.348333333333336</v>
      </c>
      <c r="AD69" s="2">
        <f t="shared" si="19"/>
        <v>63.163333333333327</v>
      </c>
      <c r="AE69" s="2">
        <f t="shared" si="19"/>
        <v>43.888333333333328</v>
      </c>
      <c r="AF69" s="2">
        <f t="shared" si="19"/>
        <v>53.525833333333331</v>
      </c>
      <c r="AG69" s="2">
        <f t="shared" si="19"/>
        <v>27.778333333333336</v>
      </c>
      <c r="AH69" s="2">
        <f t="shared" si="19"/>
        <v>53.524999999999999</v>
      </c>
      <c r="AI69" s="2">
        <f t="shared" si="19"/>
        <v>10.76</v>
      </c>
      <c r="AJ69" s="2"/>
      <c r="AK69" s="2"/>
      <c r="AL69" s="2">
        <f t="shared" ref="AL69:BA69" si="20">AVERAGE(AL63:AL68)</f>
        <v>68.054999999999993</v>
      </c>
      <c r="AM69" s="2">
        <f t="shared" si="20"/>
        <v>67.50833333333334</v>
      </c>
      <c r="AN69" s="2">
        <f t="shared" si="20"/>
        <v>46.493333333333339</v>
      </c>
      <c r="AO69" s="2">
        <f t="shared" si="20"/>
        <v>44.251666666666665</v>
      </c>
      <c r="AP69" s="2">
        <f t="shared" si="20"/>
        <v>56.748333333333335</v>
      </c>
      <c r="AQ69" s="2">
        <f t="shared" si="20"/>
        <v>41.736666666666665</v>
      </c>
      <c r="AR69" s="2">
        <f t="shared" si="20"/>
        <v>47.134999999999998</v>
      </c>
      <c r="AS69" s="2">
        <f t="shared" si="20"/>
        <v>46.388333333333328</v>
      </c>
      <c r="AT69" s="2">
        <f t="shared" si="20"/>
        <v>56.413333333333334</v>
      </c>
      <c r="AU69" s="2">
        <f t="shared" si="20"/>
        <v>64.99166666666666</v>
      </c>
      <c r="AV69" s="2">
        <f t="shared" si="20"/>
        <v>46.493333333333339</v>
      </c>
      <c r="AW69" s="2">
        <f t="shared" si="20"/>
        <v>66.334999999999994</v>
      </c>
      <c r="AX69" s="2">
        <f t="shared" si="20"/>
        <v>56.414166666666667</v>
      </c>
      <c r="AY69" s="2">
        <f t="shared" si="20"/>
        <v>22.284999999999997</v>
      </c>
      <c r="AZ69" s="2">
        <f t="shared" si="20"/>
        <v>56.413333333333334</v>
      </c>
      <c r="BA69" s="2">
        <f t="shared" si="20"/>
        <v>14.176666666666668</v>
      </c>
      <c r="BP69" s="2">
        <f>AVERAGE(BP63:BP68)</f>
        <v>26.262222222222221</v>
      </c>
      <c r="BQ69" s="2">
        <f t="shared" ref="BQ69:BR69" si="21">AVERAGE(BQ63:BQ68)</f>
        <v>54.930555555555564</v>
      </c>
      <c r="BR69" s="2">
        <f t="shared" si="21"/>
        <v>11.703333333333333</v>
      </c>
    </row>
    <row r="70" spans="1:70" x14ac:dyDescent="0.25">
      <c r="A70" s="1"/>
      <c r="AK70" s="1"/>
    </row>
    <row r="71" spans="1:70" x14ac:dyDescent="0.25">
      <c r="A71" s="1"/>
      <c r="AK71" s="1"/>
    </row>
    <row r="72" spans="1:70" x14ac:dyDescent="0.25">
      <c r="A72" t="s">
        <v>23</v>
      </c>
      <c r="B72" s="1">
        <v>81.239999999999995</v>
      </c>
      <c r="C72" s="1">
        <v>75.5</v>
      </c>
      <c r="D72" s="1">
        <v>70.099999999999994</v>
      </c>
      <c r="E72" s="1">
        <v>69.489999999999995</v>
      </c>
      <c r="F72" s="1">
        <v>74.87</v>
      </c>
      <c r="G72" s="1">
        <v>67.42</v>
      </c>
      <c r="H72" s="1">
        <v>70.95</v>
      </c>
      <c r="I72" s="1">
        <v>64.7</v>
      </c>
      <c r="J72" s="1">
        <v>68.16</v>
      </c>
      <c r="K72" s="1">
        <v>73.92</v>
      </c>
      <c r="L72" s="1">
        <v>70.099999999999994</v>
      </c>
      <c r="M72" s="1">
        <v>66.209999999999994</v>
      </c>
      <c r="N72">
        <f>(L72+M72)/2</f>
        <v>68.155000000000001</v>
      </c>
      <c r="O72" s="1">
        <v>3.89</v>
      </c>
      <c r="P72" s="1">
        <v>68.16</v>
      </c>
      <c r="Q72" s="1">
        <v>36.4</v>
      </c>
      <c r="S72" s="1" t="s">
        <v>23</v>
      </c>
      <c r="T72">
        <v>79.59</v>
      </c>
      <c r="U72">
        <v>72.760000000000005</v>
      </c>
      <c r="V72">
        <v>67.52</v>
      </c>
      <c r="W72">
        <v>69.010000000000005</v>
      </c>
      <c r="X72">
        <v>71.84</v>
      </c>
      <c r="Y72">
        <v>66.97</v>
      </c>
      <c r="Z72">
        <v>69.319999999999993</v>
      </c>
      <c r="AA72">
        <v>61.19</v>
      </c>
      <c r="AB72">
        <v>62.95</v>
      </c>
      <c r="AC72">
        <v>70.28</v>
      </c>
      <c r="AD72">
        <v>67.52</v>
      </c>
      <c r="AE72">
        <v>58.38</v>
      </c>
      <c r="AF72">
        <f>(AD72+AE72)/2</f>
        <v>62.95</v>
      </c>
      <c r="AG72">
        <v>9.14</v>
      </c>
      <c r="AH72">
        <v>62.95</v>
      </c>
      <c r="AI72">
        <v>25.44</v>
      </c>
      <c r="AK72" s="1" t="s">
        <v>23</v>
      </c>
      <c r="AL72">
        <v>77.17</v>
      </c>
      <c r="AM72">
        <v>74.319999999999993</v>
      </c>
      <c r="AN72">
        <v>39.99</v>
      </c>
      <c r="AO72">
        <v>47.42</v>
      </c>
      <c r="AP72">
        <v>73.91</v>
      </c>
      <c r="AQ72">
        <v>38.46</v>
      </c>
      <c r="AR72">
        <v>50.6</v>
      </c>
      <c r="AS72">
        <v>52.22</v>
      </c>
      <c r="AT72">
        <v>60.74</v>
      </c>
      <c r="AU72">
        <v>70.010000000000005</v>
      </c>
      <c r="AV72">
        <v>39.99</v>
      </c>
      <c r="AW72">
        <v>81.5</v>
      </c>
      <c r="AX72">
        <f>(AV72+AW72)/2</f>
        <v>60.745000000000005</v>
      </c>
      <c r="AY72">
        <v>41.51</v>
      </c>
      <c r="AZ72">
        <v>60.74</v>
      </c>
      <c r="BA72">
        <v>21.48</v>
      </c>
      <c r="BP72" s="1">
        <f>(O72+AG72+AY72)/3</f>
        <v>18.18</v>
      </c>
      <c r="BQ72" s="1">
        <f t="shared" ref="BQ72:BQ77" si="22">(P72+AH72+AZ72)/3</f>
        <v>63.95000000000001</v>
      </c>
      <c r="BR72" s="1">
        <f t="shared" ref="BR72:BR77" si="23">(Q72+AI72+BA72)/3</f>
        <v>27.773333333333337</v>
      </c>
    </row>
    <row r="73" spans="1:70" x14ac:dyDescent="0.25">
      <c r="A73" s="1"/>
      <c r="B73" s="1">
        <v>84.41</v>
      </c>
      <c r="C73" s="1">
        <v>79.72</v>
      </c>
      <c r="D73" s="1">
        <v>72.56</v>
      </c>
      <c r="E73" s="1">
        <v>75.78</v>
      </c>
      <c r="F73" s="1">
        <v>80.099999999999994</v>
      </c>
      <c r="G73" s="1">
        <v>72.849999999999994</v>
      </c>
      <c r="H73" s="1">
        <v>76.3</v>
      </c>
      <c r="I73" s="1">
        <v>70.03</v>
      </c>
      <c r="J73" s="1">
        <v>71.319999999999993</v>
      </c>
      <c r="K73" s="1">
        <v>79.319999999999993</v>
      </c>
      <c r="L73" s="1">
        <v>72.56</v>
      </c>
      <c r="M73" s="1">
        <v>70.08</v>
      </c>
      <c r="N73">
        <f t="shared" ref="N73:N77" si="24">(L73+M73)/2</f>
        <v>71.319999999999993</v>
      </c>
      <c r="O73" s="1">
        <v>2.4900000000000002</v>
      </c>
      <c r="P73" s="1">
        <v>71.319999999999993</v>
      </c>
      <c r="Q73" s="1">
        <v>41.24</v>
      </c>
      <c r="S73" s="1"/>
      <c r="T73">
        <v>82.53</v>
      </c>
      <c r="U73">
        <v>80.069999999999993</v>
      </c>
      <c r="V73">
        <v>68.77</v>
      </c>
      <c r="W73">
        <v>73.69</v>
      </c>
      <c r="X73">
        <v>81.77</v>
      </c>
      <c r="Y73">
        <v>71.040000000000006</v>
      </c>
      <c r="Z73">
        <v>76.03</v>
      </c>
      <c r="AA73">
        <v>69.97</v>
      </c>
      <c r="AB73">
        <v>71.03</v>
      </c>
      <c r="AC73">
        <v>75.64</v>
      </c>
      <c r="AD73">
        <v>68.77</v>
      </c>
      <c r="AE73">
        <v>73.290000000000006</v>
      </c>
      <c r="AF73">
        <f t="shared" ref="AF73:AF77" si="25">(AD73+AE73)/2</f>
        <v>71.03</v>
      </c>
      <c r="AG73">
        <v>4.5199999999999996</v>
      </c>
      <c r="AH73">
        <v>71.03</v>
      </c>
      <c r="AI73">
        <v>41.68</v>
      </c>
      <c r="AK73" s="1"/>
      <c r="AL73">
        <v>79.05</v>
      </c>
      <c r="AM73">
        <v>78.180000000000007</v>
      </c>
      <c r="AN73">
        <v>50.25</v>
      </c>
      <c r="AO73">
        <v>60.4</v>
      </c>
      <c r="AP73">
        <v>80.56</v>
      </c>
      <c r="AQ73">
        <v>52.49</v>
      </c>
      <c r="AR73">
        <v>63.56</v>
      </c>
      <c r="AS73">
        <v>61.23</v>
      </c>
      <c r="AT73">
        <v>65.680000000000007</v>
      </c>
      <c r="AU73">
        <v>72.97</v>
      </c>
      <c r="AV73">
        <v>50.25</v>
      </c>
      <c r="AW73">
        <v>81.099999999999994</v>
      </c>
      <c r="AX73">
        <f t="shared" ref="AX73:AX77" si="26">(AV73+AW73)/2</f>
        <v>65.674999999999997</v>
      </c>
      <c r="AY73">
        <v>30.84</v>
      </c>
      <c r="AZ73">
        <v>65.680000000000007</v>
      </c>
      <c r="BA73">
        <v>30.33</v>
      </c>
      <c r="BP73" s="1">
        <f t="shared" ref="BP73:BP76" si="27">(O73+AG73+AY73)/3</f>
        <v>12.616666666666667</v>
      </c>
      <c r="BQ73" s="1">
        <f t="shared" si="22"/>
        <v>69.343333333333334</v>
      </c>
      <c r="BR73" s="1">
        <f t="shared" si="23"/>
        <v>37.75</v>
      </c>
    </row>
    <row r="74" spans="1:70" x14ac:dyDescent="0.25">
      <c r="A74" s="1"/>
      <c r="B74" s="1">
        <v>65.2</v>
      </c>
      <c r="C74" s="1">
        <v>65.84</v>
      </c>
      <c r="D74" s="1">
        <v>61.41</v>
      </c>
      <c r="E74" s="1">
        <v>62.71</v>
      </c>
      <c r="F74" s="1">
        <v>67.61</v>
      </c>
      <c r="G74" s="1">
        <v>62.75</v>
      </c>
      <c r="H74" s="1">
        <v>65.08</v>
      </c>
      <c r="I74" s="1">
        <v>63.35</v>
      </c>
      <c r="J74" s="1">
        <v>64.459999999999994</v>
      </c>
      <c r="K74" s="1">
        <v>67.959999999999994</v>
      </c>
      <c r="L74" s="1">
        <v>61.41</v>
      </c>
      <c r="M74" s="1">
        <v>67.510000000000005</v>
      </c>
      <c r="N74">
        <f t="shared" si="24"/>
        <v>64.460000000000008</v>
      </c>
      <c r="O74" s="1">
        <v>6.1</v>
      </c>
      <c r="P74" s="1">
        <v>64.459999999999994</v>
      </c>
      <c r="Q74" s="1">
        <v>28.32</v>
      </c>
      <c r="S74" s="1"/>
      <c r="T74">
        <v>70.19</v>
      </c>
      <c r="U74">
        <v>69.989999999999995</v>
      </c>
      <c r="V74">
        <v>61.8</v>
      </c>
      <c r="W74">
        <v>64.48</v>
      </c>
      <c r="X74">
        <v>73.48</v>
      </c>
      <c r="Y74">
        <v>63.4</v>
      </c>
      <c r="Z74">
        <v>68.069999999999993</v>
      </c>
      <c r="AA74">
        <v>66.8</v>
      </c>
      <c r="AB74">
        <v>68.05</v>
      </c>
      <c r="AC74">
        <v>74.95</v>
      </c>
      <c r="AD74">
        <v>61.8</v>
      </c>
      <c r="AE74">
        <v>74.3</v>
      </c>
      <c r="AF74">
        <f t="shared" si="25"/>
        <v>68.05</v>
      </c>
      <c r="AG74">
        <v>12.5</v>
      </c>
      <c r="AH74">
        <v>68.05</v>
      </c>
      <c r="AI74">
        <v>36.24</v>
      </c>
      <c r="AK74" s="1"/>
      <c r="AL74">
        <v>75.28</v>
      </c>
      <c r="AM74">
        <v>71.099999999999994</v>
      </c>
      <c r="AN74">
        <v>66.34</v>
      </c>
      <c r="AO74">
        <v>65.959999999999994</v>
      </c>
      <c r="AP74">
        <v>70.14</v>
      </c>
      <c r="AQ74">
        <v>66.010000000000005</v>
      </c>
      <c r="AR74">
        <v>68.010000000000005</v>
      </c>
      <c r="AS74">
        <v>66.239999999999995</v>
      </c>
      <c r="AT74">
        <v>69.72</v>
      </c>
      <c r="AU74">
        <v>77.319999999999993</v>
      </c>
      <c r="AV74">
        <v>66.34</v>
      </c>
      <c r="AW74">
        <v>73.099999999999994</v>
      </c>
      <c r="AX74">
        <f t="shared" si="26"/>
        <v>69.72</v>
      </c>
      <c r="AY74">
        <v>6.76</v>
      </c>
      <c r="AZ74">
        <v>69.72</v>
      </c>
      <c r="BA74">
        <v>38.5</v>
      </c>
      <c r="BP74" s="1">
        <f t="shared" si="27"/>
        <v>8.4533333333333331</v>
      </c>
      <c r="BQ74" s="1">
        <f t="shared" si="22"/>
        <v>67.41</v>
      </c>
      <c r="BR74" s="1">
        <f t="shared" si="23"/>
        <v>34.353333333333332</v>
      </c>
    </row>
    <row r="75" spans="1:70" x14ac:dyDescent="0.25">
      <c r="A75" s="1"/>
      <c r="B75" s="1">
        <v>84.01</v>
      </c>
      <c r="C75" s="1">
        <v>81.739999999999995</v>
      </c>
      <c r="D75" s="1">
        <v>64.319999999999993</v>
      </c>
      <c r="E75" s="1">
        <v>71.67</v>
      </c>
      <c r="F75" s="1">
        <v>82.56</v>
      </c>
      <c r="G75" s="1">
        <v>64.25</v>
      </c>
      <c r="H75" s="1">
        <v>72.260000000000005</v>
      </c>
      <c r="I75" s="1">
        <v>68.459999999999994</v>
      </c>
      <c r="J75" s="1">
        <v>71.27</v>
      </c>
      <c r="K75" s="1">
        <v>77.47</v>
      </c>
      <c r="L75" s="1">
        <v>64.319999999999993</v>
      </c>
      <c r="M75" s="1">
        <v>78.22</v>
      </c>
      <c r="N75">
        <f t="shared" si="24"/>
        <v>71.27</v>
      </c>
      <c r="O75" s="1">
        <v>13.89</v>
      </c>
      <c r="P75" s="1">
        <v>71.27</v>
      </c>
      <c r="Q75" s="1">
        <v>40.64</v>
      </c>
      <c r="S75" s="1"/>
      <c r="T75">
        <v>82.37</v>
      </c>
      <c r="U75">
        <v>80.150000000000006</v>
      </c>
      <c r="V75">
        <v>62.03</v>
      </c>
      <c r="W75">
        <v>69.2</v>
      </c>
      <c r="X75">
        <v>81.069999999999993</v>
      </c>
      <c r="Y75">
        <v>61.99</v>
      </c>
      <c r="Z75">
        <v>70.260000000000005</v>
      </c>
      <c r="AA75">
        <v>66.33</v>
      </c>
      <c r="AB75">
        <v>69.36</v>
      </c>
      <c r="AC75">
        <v>77.7</v>
      </c>
      <c r="AD75">
        <v>62.03</v>
      </c>
      <c r="AE75">
        <v>76.69</v>
      </c>
      <c r="AF75">
        <f t="shared" si="25"/>
        <v>69.36</v>
      </c>
      <c r="AG75">
        <v>14.67</v>
      </c>
      <c r="AH75">
        <v>69.36</v>
      </c>
      <c r="AI75">
        <v>37.270000000000003</v>
      </c>
      <c r="AK75" s="1"/>
      <c r="AL75">
        <v>81.2</v>
      </c>
      <c r="AM75">
        <v>82.69</v>
      </c>
      <c r="AN75">
        <v>51.84</v>
      </c>
      <c r="AO75">
        <v>63.41</v>
      </c>
      <c r="AP75">
        <v>83.45</v>
      </c>
      <c r="AQ75">
        <v>52.49</v>
      </c>
      <c r="AR75">
        <v>64.44</v>
      </c>
      <c r="AS75">
        <v>63.28</v>
      </c>
      <c r="AT75">
        <v>67.88</v>
      </c>
      <c r="AU75">
        <v>77.62</v>
      </c>
      <c r="AV75">
        <v>51.84</v>
      </c>
      <c r="AW75">
        <v>83.93</v>
      </c>
      <c r="AX75">
        <f t="shared" si="26"/>
        <v>67.885000000000005</v>
      </c>
      <c r="AY75">
        <v>32.1</v>
      </c>
      <c r="AZ75">
        <v>67.88</v>
      </c>
      <c r="BA75">
        <v>34.94</v>
      </c>
      <c r="BP75" s="1">
        <f t="shared" si="27"/>
        <v>20.220000000000002</v>
      </c>
      <c r="BQ75" s="1">
        <f t="shared" si="22"/>
        <v>69.50333333333333</v>
      </c>
      <c r="BR75" s="1">
        <f t="shared" si="23"/>
        <v>37.616666666666667</v>
      </c>
    </row>
    <row r="76" spans="1:70" x14ac:dyDescent="0.25">
      <c r="A76" s="1"/>
      <c r="B76" s="1">
        <v>71.31</v>
      </c>
      <c r="C76" s="1">
        <v>73.17</v>
      </c>
      <c r="D76" s="1">
        <v>53.08</v>
      </c>
      <c r="E76" s="1">
        <v>57.61</v>
      </c>
      <c r="F76" s="1">
        <v>69.64</v>
      </c>
      <c r="G76" s="1">
        <v>50.98</v>
      </c>
      <c r="H76" s="1">
        <v>58.87</v>
      </c>
      <c r="I76" s="1">
        <v>61.73</v>
      </c>
      <c r="J76" s="1">
        <v>66.06</v>
      </c>
      <c r="K76" s="1">
        <v>75.900000000000006</v>
      </c>
      <c r="L76" s="1">
        <v>53.08</v>
      </c>
      <c r="M76" s="1">
        <v>79.03</v>
      </c>
      <c r="N76">
        <f t="shared" si="24"/>
        <v>66.055000000000007</v>
      </c>
      <c r="O76" s="1">
        <v>25.94</v>
      </c>
      <c r="P76" s="1">
        <v>66.06</v>
      </c>
      <c r="Q76" s="1">
        <v>33.03</v>
      </c>
      <c r="S76" s="1"/>
      <c r="T76">
        <v>67.7</v>
      </c>
      <c r="U76">
        <v>70.05</v>
      </c>
      <c r="V76">
        <v>55.87</v>
      </c>
      <c r="W76">
        <v>60.65</v>
      </c>
      <c r="X76">
        <v>73.33</v>
      </c>
      <c r="Y76">
        <v>57.52</v>
      </c>
      <c r="Z76">
        <v>64.47</v>
      </c>
      <c r="AA76">
        <v>64.59</v>
      </c>
      <c r="AB76">
        <v>66.790000000000006</v>
      </c>
      <c r="AC76">
        <v>76.25</v>
      </c>
      <c r="AD76">
        <v>55.87</v>
      </c>
      <c r="AE76">
        <v>77.7</v>
      </c>
      <c r="AF76">
        <f t="shared" si="25"/>
        <v>66.784999999999997</v>
      </c>
      <c r="AG76">
        <v>21.83</v>
      </c>
      <c r="AH76">
        <v>66.790000000000006</v>
      </c>
      <c r="AI76">
        <v>33.97</v>
      </c>
      <c r="AK76" s="1"/>
      <c r="AL76">
        <v>73.61</v>
      </c>
      <c r="AM76">
        <v>72.180000000000007</v>
      </c>
      <c r="AN76">
        <v>53.2</v>
      </c>
      <c r="AO76">
        <v>60.61</v>
      </c>
      <c r="AP76">
        <v>74.77</v>
      </c>
      <c r="AQ76">
        <v>54.25</v>
      </c>
      <c r="AR76">
        <v>62.88</v>
      </c>
      <c r="AS76">
        <v>65.03</v>
      </c>
      <c r="AT76">
        <v>67.819999999999993</v>
      </c>
      <c r="AU76">
        <v>77.16</v>
      </c>
      <c r="AV76">
        <v>53.2</v>
      </c>
      <c r="AW76">
        <v>82.45</v>
      </c>
      <c r="AX76">
        <f t="shared" si="26"/>
        <v>67.825000000000003</v>
      </c>
      <c r="AY76">
        <v>29.26</v>
      </c>
      <c r="AZ76">
        <v>67.819999999999993</v>
      </c>
      <c r="BA76">
        <v>34.950000000000003</v>
      </c>
      <c r="BP76" s="1">
        <f t="shared" si="27"/>
        <v>25.676666666666666</v>
      </c>
      <c r="BQ76" s="1">
        <f t="shared" si="22"/>
        <v>66.89</v>
      </c>
      <c r="BR76" s="1">
        <f t="shared" si="23"/>
        <v>33.983333333333334</v>
      </c>
    </row>
    <row r="77" spans="1:70" x14ac:dyDescent="0.25">
      <c r="A77" s="1"/>
      <c r="B77" s="1">
        <v>73.739999999999995</v>
      </c>
      <c r="C77" s="1">
        <v>71.42</v>
      </c>
      <c r="D77" s="1">
        <v>49.68</v>
      </c>
      <c r="E77" s="1">
        <v>55.88</v>
      </c>
      <c r="F77" s="1">
        <v>75</v>
      </c>
      <c r="G77" s="1">
        <v>50</v>
      </c>
      <c r="H77" s="1">
        <v>60</v>
      </c>
      <c r="I77" s="1">
        <v>61.94</v>
      </c>
      <c r="J77" s="1">
        <v>65.290000000000006</v>
      </c>
      <c r="K77" s="1">
        <v>74.19</v>
      </c>
      <c r="L77" s="1">
        <v>49.68</v>
      </c>
      <c r="M77" s="1">
        <v>80.89</v>
      </c>
      <c r="N77">
        <f t="shared" si="24"/>
        <v>65.284999999999997</v>
      </c>
      <c r="O77" s="1">
        <v>31.21</v>
      </c>
      <c r="P77" s="1">
        <v>65.290000000000006</v>
      </c>
      <c r="Q77" s="1">
        <v>30.47</v>
      </c>
      <c r="S77" s="1"/>
      <c r="T77">
        <v>76.290000000000006</v>
      </c>
      <c r="U77">
        <v>75.430000000000007</v>
      </c>
      <c r="V77">
        <v>61.98</v>
      </c>
      <c r="W77">
        <v>67.209999999999994</v>
      </c>
      <c r="X77">
        <v>78.73</v>
      </c>
      <c r="Y77">
        <v>63.94</v>
      </c>
      <c r="Z77">
        <v>70.569999999999993</v>
      </c>
      <c r="AA77">
        <v>69.56</v>
      </c>
      <c r="AB77">
        <v>71.17</v>
      </c>
      <c r="AC77">
        <v>76.150000000000006</v>
      </c>
      <c r="AD77">
        <v>61.98</v>
      </c>
      <c r="AE77">
        <v>80.36</v>
      </c>
      <c r="AF77">
        <f t="shared" si="25"/>
        <v>71.17</v>
      </c>
      <c r="AG77">
        <v>18.39</v>
      </c>
      <c r="AH77">
        <v>71.17</v>
      </c>
      <c r="AI77">
        <v>41.85</v>
      </c>
      <c r="AK77" s="1"/>
      <c r="AL77">
        <v>68.7</v>
      </c>
      <c r="AM77">
        <v>67.459999999999994</v>
      </c>
      <c r="AN77">
        <v>60.42</v>
      </c>
      <c r="AO77">
        <v>62.57</v>
      </c>
      <c r="AP77">
        <v>70.989999999999995</v>
      </c>
      <c r="AQ77">
        <v>63.03</v>
      </c>
      <c r="AR77">
        <v>66.77</v>
      </c>
      <c r="AS77">
        <v>64.739999999999995</v>
      </c>
      <c r="AT77">
        <v>66.540000000000006</v>
      </c>
      <c r="AU77">
        <v>72.28</v>
      </c>
      <c r="AV77">
        <v>60.42</v>
      </c>
      <c r="AW77">
        <v>72.67</v>
      </c>
      <c r="AX77">
        <f t="shared" si="26"/>
        <v>66.545000000000002</v>
      </c>
      <c r="AY77">
        <v>12.25</v>
      </c>
      <c r="AZ77">
        <v>66.540000000000006</v>
      </c>
      <c r="BA77">
        <v>32.200000000000003</v>
      </c>
      <c r="BP77" s="1">
        <f>(O77+AG77+AY77)/3</f>
        <v>20.616666666666667</v>
      </c>
      <c r="BQ77" s="1">
        <f t="shared" si="22"/>
        <v>67.666666666666671</v>
      </c>
      <c r="BR77" s="1">
        <f t="shared" si="23"/>
        <v>34.839999999999996</v>
      </c>
    </row>
    <row r="78" spans="1:70" x14ac:dyDescent="0.25">
      <c r="B78" s="2">
        <f>AVERAGE(B72:B77)</f>
        <v>76.651666666666657</v>
      </c>
      <c r="C78" s="2">
        <f t="shared" ref="C78:BA78" si="28">AVERAGE(C72:C77)</f>
        <v>74.565000000000012</v>
      </c>
      <c r="D78" s="2">
        <f t="shared" si="28"/>
        <v>61.858333333333327</v>
      </c>
      <c r="E78" s="2">
        <f t="shared" si="28"/>
        <v>65.523333333333326</v>
      </c>
      <c r="F78" s="2">
        <f t="shared" si="28"/>
        <v>74.963333333333324</v>
      </c>
      <c r="G78" s="2">
        <f t="shared" si="28"/>
        <v>61.375</v>
      </c>
      <c r="H78" s="2">
        <f t="shared" si="28"/>
        <v>67.243333333333325</v>
      </c>
      <c r="I78" s="2">
        <f t="shared" si="28"/>
        <v>65.035000000000011</v>
      </c>
      <c r="J78" s="2">
        <f t="shared" si="28"/>
        <v>67.760000000000005</v>
      </c>
      <c r="K78" s="2">
        <f t="shared" si="28"/>
        <v>74.793333333333322</v>
      </c>
      <c r="L78" s="2">
        <f t="shared" si="28"/>
        <v>61.858333333333327</v>
      </c>
      <c r="M78" s="2">
        <f t="shared" si="28"/>
        <v>73.656666666666652</v>
      </c>
      <c r="N78" s="2">
        <f t="shared" si="28"/>
        <v>67.757499999999993</v>
      </c>
      <c r="O78" s="2">
        <f t="shared" si="28"/>
        <v>13.920000000000002</v>
      </c>
      <c r="P78" s="2">
        <f t="shared" si="28"/>
        <v>67.760000000000005</v>
      </c>
      <c r="Q78" s="2">
        <f t="shared" si="28"/>
        <v>35.016666666666673</v>
      </c>
      <c r="R78" s="2"/>
      <c r="S78" s="2"/>
      <c r="T78" s="2">
        <f t="shared" si="28"/>
        <v>76.445000000000007</v>
      </c>
      <c r="U78" s="2">
        <f t="shared" si="28"/>
        <v>74.741666666666674</v>
      </c>
      <c r="V78" s="2">
        <f t="shared" si="28"/>
        <v>62.995000000000005</v>
      </c>
      <c r="W78" s="2">
        <f t="shared" si="28"/>
        <v>67.373333333333321</v>
      </c>
      <c r="X78" s="2">
        <f t="shared" si="28"/>
        <v>76.703333333333333</v>
      </c>
      <c r="Y78" s="2">
        <f t="shared" si="28"/>
        <v>64.143333333333331</v>
      </c>
      <c r="Z78" s="2">
        <f t="shared" si="28"/>
        <v>69.786666666666662</v>
      </c>
      <c r="AA78" s="2">
        <f t="shared" si="28"/>
        <v>66.406666666666666</v>
      </c>
      <c r="AB78" s="2">
        <f t="shared" si="28"/>
        <v>68.225000000000009</v>
      </c>
      <c r="AC78" s="2">
        <f t="shared" si="28"/>
        <v>75.161666666666676</v>
      </c>
      <c r="AD78" s="2">
        <f t="shared" si="28"/>
        <v>62.995000000000005</v>
      </c>
      <c r="AE78" s="2">
        <f t="shared" si="28"/>
        <v>73.453333333333333</v>
      </c>
      <c r="AF78" s="2">
        <f t="shared" si="28"/>
        <v>68.224166666666676</v>
      </c>
      <c r="AG78" s="2">
        <f t="shared" si="28"/>
        <v>13.508333333333333</v>
      </c>
      <c r="AH78" s="2">
        <f t="shared" si="28"/>
        <v>68.225000000000009</v>
      </c>
      <c r="AI78" s="2">
        <f t="shared" si="28"/>
        <v>36.075000000000003</v>
      </c>
      <c r="AJ78" s="2"/>
      <c r="AK78" s="2"/>
      <c r="AL78" s="2">
        <f t="shared" si="28"/>
        <v>75.834999999999994</v>
      </c>
      <c r="AM78" s="2">
        <f t="shared" si="28"/>
        <v>74.321666666666658</v>
      </c>
      <c r="AN78" s="2">
        <f t="shared" si="28"/>
        <v>53.673333333333339</v>
      </c>
      <c r="AO78" s="2">
        <f t="shared" si="28"/>
        <v>60.06166666666666</v>
      </c>
      <c r="AP78" s="2">
        <f t="shared" si="28"/>
        <v>75.63666666666667</v>
      </c>
      <c r="AQ78" s="2">
        <f t="shared" si="28"/>
        <v>54.455000000000005</v>
      </c>
      <c r="AR78" s="2">
        <f t="shared" si="28"/>
        <v>62.71</v>
      </c>
      <c r="AS78" s="2">
        <f t="shared" si="28"/>
        <v>62.123333333333335</v>
      </c>
      <c r="AT78" s="2">
        <f t="shared" si="28"/>
        <v>66.396666666666661</v>
      </c>
      <c r="AU78" s="2">
        <f t="shared" si="28"/>
        <v>74.56</v>
      </c>
      <c r="AV78" s="2">
        <f t="shared" si="28"/>
        <v>53.673333333333339</v>
      </c>
      <c r="AW78" s="2">
        <f t="shared" si="28"/>
        <v>79.125</v>
      </c>
      <c r="AX78" s="2">
        <f t="shared" si="28"/>
        <v>66.399166666666659</v>
      </c>
      <c r="AY78" s="2">
        <f t="shared" si="28"/>
        <v>25.453333333333333</v>
      </c>
      <c r="AZ78" s="2">
        <f t="shared" si="28"/>
        <v>66.396666666666661</v>
      </c>
      <c r="BA78" s="2">
        <f t="shared" si="28"/>
        <v>32.066666666666663</v>
      </c>
      <c r="BP78" s="2">
        <f>AVERAGE(BP72:BP77)</f>
        <v>17.627222222222219</v>
      </c>
      <c r="BQ78" s="2">
        <f t="shared" ref="BQ78:BR78" si="29">AVERAGE(BQ72:BQ77)</f>
        <v>67.460555555555558</v>
      </c>
      <c r="BR78" s="2">
        <f t="shared" si="29"/>
        <v>34.386111111111113</v>
      </c>
    </row>
    <row r="79" spans="1:70" x14ac:dyDescent="0.2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</row>
    <row r="80" spans="1:70" x14ac:dyDescent="0.2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</row>
    <row r="81" spans="1:70" x14ac:dyDescent="0.25">
      <c r="A81" s="1" t="s">
        <v>24</v>
      </c>
      <c r="B81">
        <v>70.349999999999994</v>
      </c>
      <c r="C81">
        <v>67.819999999999993</v>
      </c>
      <c r="D81">
        <v>70.739999999999995</v>
      </c>
      <c r="E81">
        <v>68.27</v>
      </c>
      <c r="F81">
        <v>67.25</v>
      </c>
      <c r="G81">
        <v>69.680000000000007</v>
      </c>
      <c r="H81">
        <v>68.44</v>
      </c>
      <c r="I81">
        <v>57.55</v>
      </c>
      <c r="J81">
        <v>59.04</v>
      </c>
      <c r="K81">
        <v>60.84</v>
      </c>
      <c r="L81">
        <v>70.739999999999995</v>
      </c>
      <c r="M81">
        <v>47.35</v>
      </c>
      <c r="N81">
        <f t="shared" ref="N81:N104" si="30">(L81+M81)/2</f>
        <v>59.045000000000002</v>
      </c>
      <c r="O81">
        <v>23.39</v>
      </c>
      <c r="P81">
        <v>59.04</v>
      </c>
      <c r="Q81">
        <v>17.89</v>
      </c>
      <c r="S81" s="1" t="s">
        <v>24</v>
      </c>
      <c r="T81">
        <v>74.38</v>
      </c>
      <c r="U81">
        <v>71.08</v>
      </c>
      <c r="V81">
        <v>57.96</v>
      </c>
      <c r="W81">
        <v>63.24</v>
      </c>
      <c r="X81">
        <v>70.95</v>
      </c>
      <c r="Y81">
        <v>57.47</v>
      </c>
      <c r="Z81">
        <v>63.5</v>
      </c>
      <c r="AA81">
        <v>58.39</v>
      </c>
      <c r="AB81">
        <v>60.71</v>
      </c>
      <c r="AC81">
        <v>64.47</v>
      </c>
      <c r="AD81">
        <v>57.96</v>
      </c>
      <c r="AE81">
        <v>63.47</v>
      </c>
      <c r="AF81">
        <f t="shared" ref="AF81:AF104" si="31">(AD81+AE81)/2</f>
        <v>60.715000000000003</v>
      </c>
      <c r="AG81">
        <v>5.52</v>
      </c>
      <c r="AH81">
        <v>60.71</v>
      </c>
      <c r="AI81">
        <v>20.27</v>
      </c>
      <c r="AK81" s="1" t="s">
        <v>24</v>
      </c>
      <c r="AL81">
        <v>74.239999999999995</v>
      </c>
      <c r="AM81">
        <v>70.23</v>
      </c>
      <c r="AN81">
        <v>60.42</v>
      </c>
      <c r="AO81">
        <v>64.16</v>
      </c>
      <c r="AP81">
        <v>69.680000000000007</v>
      </c>
      <c r="AQ81">
        <v>59.28</v>
      </c>
      <c r="AR81">
        <v>64.06</v>
      </c>
      <c r="AS81">
        <v>57.72</v>
      </c>
      <c r="AT81">
        <v>59.61</v>
      </c>
      <c r="AU81">
        <v>61.73</v>
      </c>
      <c r="AV81">
        <v>60.42</v>
      </c>
      <c r="AW81">
        <v>58.8</v>
      </c>
      <c r="AX81">
        <f>(AV81+AW81)/2</f>
        <v>59.61</v>
      </c>
      <c r="AY81">
        <v>1.63</v>
      </c>
      <c r="AZ81">
        <v>59.61</v>
      </c>
      <c r="BA81">
        <v>18.579999999999998</v>
      </c>
      <c r="BP81" s="1">
        <f>(O81+AG81+AY81)/3</f>
        <v>10.18</v>
      </c>
      <c r="BQ81" s="1">
        <f t="shared" ref="BQ81:BQ86" si="32">(P81+AH81+AZ81)/3</f>
        <v>59.786666666666669</v>
      </c>
      <c r="BR81" s="1">
        <f t="shared" ref="BR81:BR86" si="33">(Q81+AI81+BA81)/3</f>
        <v>18.91333333333333</v>
      </c>
    </row>
    <row r="82" spans="1:70" x14ac:dyDescent="0.25">
      <c r="A82" s="1"/>
      <c r="B82">
        <v>71.680000000000007</v>
      </c>
      <c r="C82">
        <v>67.78</v>
      </c>
      <c r="D82">
        <v>75.47</v>
      </c>
      <c r="E82">
        <v>70.72</v>
      </c>
      <c r="F82">
        <v>67.760000000000005</v>
      </c>
      <c r="G82">
        <v>75.11</v>
      </c>
      <c r="H82">
        <v>71.239999999999995</v>
      </c>
      <c r="I82">
        <v>58.96</v>
      </c>
      <c r="J82">
        <v>60.07</v>
      </c>
      <c r="K82">
        <v>63.17</v>
      </c>
      <c r="L82">
        <v>75.47</v>
      </c>
      <c r="M82">
        <v>44.68</v>
      </c>
      <c r="N82">
        <f t="shared" si="30"/>
        <v>60.075000000000003</v>
      </c>
      <c r="O82">
        <v>30.79</v>
      </c>
      <c r="P82">
        <v>60.07</v>
      </c>
      <c r="Q82">
        <v>20.38</v>
      </c>
      <c r="S82" s="1"/>
      <c r="T82">
        <v>73.209999999999994</v>
      </c>
      <c r="U82">
        <v>71.36</v>
      </c>
      <c r="V82">
        <v>60.5</v>
      </c>
      <c r="W82">
        <v>64.3</v>
      </c>
      <c r="X82">
        <v>69.84</v>
      </c>
      <c r="Y82">
        <v>59.73</v>
      </c>
      <c r="Z82">
        <v>64.39</v>
      </c>
      <c r="AA82">
        <v>58.07</v>
      </c>
      <c r="AB82">
        <v>60.84</v>
      </c>
      <c r="AC82">
        <v>63.34</v>
      </c>
      <c r="AD82">
        <v>60.5</v>
      </c>
      <c r="AE82">
        <v>61.19</v>
      </c>
      <c r="AF82">
        <f t="shared" si="31"/>
        <v>60.844999999999999</v>
      </c>
      <c r="AG82">
        <v>0.69</v>
      </c>
      <c r="AH82">
        <v>60.84</v>
      </c>
      <c r="AI82">
        <v>20.47</v>
      </c>
      <c r="AK82" s="1"/>
      <c r="AL82">
        <v>75.239999999999995</v>
      </c>
      <c r="AM82">
        <v>78.5</v>
      </c>
      <c r="AN82">
        <v>28.87</v>
      </c>
      <c r="AO82">
        <v>40.130000000000003</v>
      </c>
      <c r="AP82">
        <v>78.67</v>
      </c>
      <c r="AQ82">
        <v>26.7</v>
      </c>
      <c r="AR82">
        <v>39.86</v>
      </c>
      <c r="AS82">
        <v>48.88</v>
      </c>
      <c r="AT82">
        <v>59.33</v>
      </c>
      <c r="AU82">
        <v>64.099999999999994</v>
      </c>
      <c r="AV82">
        <v>28.87</v>
      </c>
      <c r="AW82">
        <v>89.79</v>
      </c>
      <c r="AX82">
        <f t="shared" ref="AX82:AX104" si="34">(AV82+AW82)/2</f>
        <v>59.330000000000005</v>
      </c>
      <c r="AY82">
        <v>60.91</v>
      </c>
      <c r="AZ82">
        <v>59.33</v>
      </c>
      <c r="BA82">
        <v>20.77</v>
      </c>
      <c r="BP82" s="1">
        <f t="shared" ref="BP82:BP85" si="35">(O82+AG82+AY82)/3</f>
        <v>30.796666666666667</v>
      </c>
      <c r="BQ82" s="1">
        <f t="shared" si="32"/>
        <v>60.080000000000005</v>
      </c>
      <c r="BR82" s="1">
        <f t="shared" si="33"/>
        <v>20.539999999999996</v>
      </c>
    </row>
    <row r="83" spans="1:70" x14ac:dyDescent="0.25">
      <c r="A83" s="1"/>
      <c r="B83">
        <v>65.88</v>
      </c>
      <c r="C83">
        <v>58.02</v>
      </c>
      <c r="D83">
        <v>78.34</v>
      </c>
      <c r="E83">
        <v>64.319999999999993</v>
      </c>
      <c r="F83">
        <v>57.21</v>
      </c>
      <c r="G83">
        <v>75.16</v>
      </c>
      <c r="H83">
        <v>64.97</v>
      </c>
      <c r="I83">
        <v>56.32</v>
      </c>
      <c r="J83">
        <v>60.02</v>
      </c>
      <c r="K83">
        <v>64.77</v>
      </c>
      <c r="L83">
        <v>78.34</v>
      </c>
      <c r="M83">
        <v>41.7</v>
      </c>
      <c r="N83">
        <f t="shared" si="30"/>
        <v>60.02</v>
      </c>
      <c r="O83">
        <v>36.65</v>
      </c>
      <c r="P83">
        <v>60.02</v>
      </c>
      <c r="Q83">
        <v>19.86</v>
      </c>
      <c r="S83" s="1"/>
      <c r="T83">
        <v>54.9</v>
      </c>
      <c r="U83">
        <v>54.78</v>
      </c>
      <c r="V83">
        <v>59.58</v>
      </c>
      <c r="W83">
        <v>55.37</v>
      </c>
      <c r="X83">
        <v>55.36</v>
      </c>
      <c r="Y83">
        <v>60.78</v>
      </c>
      <c r="Z83">
        <v>57.94</v>
      </c>
      <c r="AA83">
        <v>53.52</v>
      </c>
      <c r="AB83">
        <v>55.23</v>
      </c>
      <c r="AC83">
        <v>58.45</v>
      </c>
      <c r="AD83">
        <v>59.58</v>
      </c>
      <c r="AE83">
        <v>50.88</v>
      </c>
      <c r="AF83">
        <f t="shared" si="31"/>
        <v>55.230000000000004</v>
      </c>
      <c r="AG83">
        <v>8.6999999999999993</v>
      </c>
      <c r="AH83">
        <v>55.23</v>
      </c>
      <c r="AI83">
        <v>10.88</v>
      </c>
      <c r="AK83" s="1"/>
      <c r="AL83">
        <v>66.42</v>
      </c>
      <c r="AM83">
        <v>72.209999999999994</v>
      </c>
      <c r="AN83">
        <v>35.35</v>
      </c>
      <c r="AO83">
        <v>57.06</v>
      </c>
      <c r="AP83">
        <v>73.97</v>
      </c>
      <c r="AQ83">
        <v>35.29</v>
      </c>
      <c r="AR83">
        <v>47.79</v>
      </c>
      <c r="AS83">
        <v>56.07</v>
      </c>
      <c r="AT83">
        <v>62.48</v>
      </c>
      <c r="AU83">
        <v>66.099999999999994</v>
      </c>
      <c r="AV83">
        <v>35.35</v>
      </c>
      <c r="AW83">
        <v>89.6</v>
      </c>
      <c r="AX83">
        <f t="shared" si="34"/>
        <v>62.474999999999994</v>
      </c>
      <c r="AY83">
        <v>54.25</v>
      </c>
      <c r="AZ83">
        <v>62.48</v>
      </c>
      <c r="BA83">
        <v>27.18</v>
      </c>
      <c r="BP83" s="1">
        <f t="shared" si="35"/>
        <v>33.199999999999996</v>
      </c>
      <c r="BQ83" s="1">
        <f t="shared" si="32"/>
        <v>59.243333333333332</v>
      </c>
      <c r="BR83" s="1">
        <f t="shared" si="33"/>
        <v>19.306666666666668</v>
      </c>
    </row>
    <row r="84" spans="1:70" x14ac:dyDescent="0.25">
      <c r="A84" s="1"/>
      <c r="B84">
        <v>79.62</v>
      </c>
      <c r="C84">
        <v>71.53</v>
      </c>
      <c r="D84">
        <v>73.23</v>
      </c>
      <c r="E84">
        <v>71.099999999999994</v>
      </c>
      <c r="F84">
        <v>70.540000000000006</v>
      </c>
      <c r="G84">
        <v>71.489999999999995</v>
      </c>
      <c r="H84">
        <v>71.010000000000005</v>
      </c>
      <c r="I84">
        <v>61.21</v>
      </c>
      <c r="J84">
        <v>63.09</v>
      </c>
      <c r="K84">
        <v>70.42</v>
      </c>
      <c r="L84">
        <v>73.23</v>
      </c>
      <c r="M84">
        <v>52.94</v>
      </c>
      <c r="N84">
        <f t="shared" si="30"/>
        <v>63.085000000000001</v>
      </c>
      <c r="O84">
        <v>20.29</v>
      </c>
      <c r="P84">
        <v>63.09</v>
      </c>
      <c r="Q84">
        <v>26.16</v>
      </c>
      <c r="S84" s="1"/>
      <c r="T84">
        <v>79.13</v>
      </c>
      <c r="U84">
        <v>73.88</v>
      </c>
      <c r="V84">
        <v>67.81</v>
      </c>
      <c r="W84">
        <v>69.38</v>
      </c>
      <c r="X84">
        <v>73.5</v>
      </c>
      <c r="Y84">
        <v>66.52</v>
      </c>
      <c r="Z84">
        <v>69.83</v>
      </c>
      <c r="AA84">
        <v>63.24</v>
      </c>
      <c r="AB84">
        <v>65.66</v>
      </c>
      <c r="AC84">
        <v>70.540000000000006</v>
      </c>
      <c r="AD84">
        <v>67.81</v>
      </c>
      <c r="AE84">
        <v>63.52</v>
      </c>
      <c r="AF84">
        <f t="shared" si="31"/>
        <v>65.665000000000006</v>
      </c>
      <c r="AG84">
        <v>4.29</v>
      </c>
      <c r="AH84">
        <v>65.66</v>
      </c>
      <c r="AI84">
        <v>30.36</v>
      </c>
      <c r="AK84" s="1"/>
      <c r="AL84">
        <v>76.239999999999995</v>
      </c>
      <c r="AM84">
        <v>77.56</v>
      </c>
      <c r="AN84">
        <v>35.380000000000003</v>
      </c>
      <c r="AO84">
        <v>47.62</v>
      </c>
      <c r="AP84">
        <v>76.53</v>
      </c>
      <c r="AQ84">
        <v>33.94</v>
      </c>
      <c r="AR84">
        <v>47.02</v>
      </c>
      <c r="AS84">
        <v>51.81</v>
      </c>
      <c r="AT84">
        <v>58.36</v>
      </c>
      <c r="AU84">
        <v>67.73</v>
      </c>
      <c r="AV84">
        <v>35.380000000000003</v>
      </c>
      <c r="AW84">
        <v>81.33</v>
      </c>
      <c r="AX84">
        <f t="shared" si="34"/>
        <v>58.355000000000004</v>
      </c>
      <c r="AY84">
        <v>45.95</v>
      </c>
      <c r="AZ84">
        <v>58.36</v>
      </c>
      <c r="BA84">
        <v>19.09</v>
      </c>
      <c r="BP84" s="1">
        <f t="shared" si="35"/>
        <v>23.51</v>
      </c>
      <c r="BQ84" s="1">
        <f t="shared" si="32"/>
        <v>62.370000000000005</v>
      </c>
      <c r="BR84" s="1">
        <f t="shared" si="33"/>
        <v>25.203333333333333</v>
      </c>
    </row>
    <row r="85" spans="1:70" x14ac:dyDescent="0.25">
      <c r="A85" s="1"/>
      <c r="B85">
        <v>65</v>
      </c>
      <c r="C85">
        <v>58.92</v>
      </c>
      <c r="D85">
        <v>66.63</v>
      </c>
      <c r="E85">
        <v>60.7</v>
      </c>
      <c r="F85">
        <v>58.48</v>
      </c>
      <c r="G85">
        <v>65.36</v>
      </c>
      <c r="H85">
        <v>61.73</v>
      </c>
      <c r="I85">
        <v>55.85</v>
      </c>
      <c r="J85">
        <v>58.47</v>
      </c>
      <c r="K85">
        <v>62.33</v>
      </c>
      <c r="L85">
        <v>66.63</v>
      </c>
      <c r="M85">
        <v>50.32</v>
      </c>
      <c r="N85">
        <f t="shared" si="30"/>
        <v>58.474999999999994</v>
      </c>
      <c r="O85">
        <v>16.309999999999999</v>
      </c>
      <c r="P85">
        <v>58.47</v>
      </c>
      <c r="Q85">
        <v>16.07</v>
      </c>
      <c r="S85" s="1"/>
      <c r="T85">
        <v>62.15</v>
      </c>
      <c r="U85">
        <v>64.52</v>
      </c>
      <c r="V85">
        <v>64.83</v>
      </c>
      <c r="W85">
        <v>61.35</v>
      </c>
      <c r="X85">
        <v>62.5</v>
      </c>
      <c r="Y85">
        <v>62.09</v>
      </c>
      <c r="Z85">
        <v>62.3</v>
      </c>
      <c r="AA85">
        <v>61.03</v>
      </c>
      <c r="AB85">
        <v>65.36</v>
      </c>
      <c r="AC85">
        <v>68.28</v>
      </c>
      <c r="AD85">
        <v>64.83</v>
      </c>
      <c r="AE85">
        <v>65.89</v>
      </c>
      <c r="AF85">
        <f t="shared" si="31"/>
        <v>65.36</v>
      </c>
      <c r="AG85">
        <v>1.06</v>
      </c>
      <c r="AH85">
        <v>65.36</v>
      </c>
      <c r="AI85">
        <v>28.96</v>
      </c>
      <c r="AK85" s="1"/>
      <c r="AL85">
        <v>64.37</v>
      </c>
      <c r="AM85">
        <v>65.55</v>
      </c>
      <c r="AN85">
        <v>31.77</v>
      </c>
      <c r="AO85">
        <v>41.54</v>
      </c>
      <c r="AP85">
        <v>66.67</v>
      </c>
      <c r="AQ85">
        <v>31.37</v>
      </c>
      <c r="AR85">
        <v>42.67</v>
      </c>
      <c r="AS85">
        <v>52.58</v>
      </c>
      <c r="AT85">
        <v>57.1</v>
      </c>
      <c r="AU85">
        <v>64.349999999999994</v>
      </c>
      <c r="AV85">
        <v>31.77</v>
      </c>
      <c r="AW85">
        <v>82.42</v>
      </c>
      <c r="AX85">
        <f t="shared" si="34"/>
        <v>57.094999999999999</v>
      </c>
      <c r="AY85">
        <v>50.65</v>
      </c>
      <c r="AZ85">
        <v>57.1</v>
      </c>
      <c r="BA85">
        <v>16.68</v>
      </c>
      <c r="BP85" s="1">
        <f t="shared" si="35"/>
        <v>22.673333333333332</v>
      </c>
      <c r="BQ85" s="1">
        <f t="shared" si="32"/>
        <v>60.31</v>
      </c>
      <c r="BR85" s="1">
        <f t="shared" si="33"/>
        <v>20.57</v>
      </c>
    </row>
    <row r="86" spans="1:70" x14ac:dyDescent="0.25">
      <c r="A86" s="1"/>
      <c r="B86">
        <v>63.81</v>
      </c>
      <c r="C86">
        <v>57.05</v>
      </c>
      <c r="D86">
        <v>73.290000000000006</v>
      </c>
      <c r="E86">
        <v>61.5</v>
      </c>
      <c r="F86">
        <v>57.43</v>
      </c>
      <c r="G86">
        <v>70.3</v>
      </c>
      <c r="H86">
        <v>63.22</v>
      </c>
      <c r="I86">
        <v>55.15</v>
      </c>
      <c r="J86">
        <v>59.08</v>
      </c>
      <c r="K86">
        <v>63.35</v>
      </c>
      <c r="L86">
        <v>73.290000000000006</v>
      </c>
      <c r="M86">
        <v>44.88</v>
      </c>
      <c r="N86">
        <f t="shared" si="30"/>
        <v>59.085000000000008</v>
      </c>
      <c r="O86">
        <v>28.41</v>
      </c>
      <c r="P86">
        <v>59.08</v>
      </c>
      <c r="Q86">
        <v>17.41</v>
      </c>
      <c r="S86" s="1"/>
      <c r="T86">
        <v>62.7</v>
      </c>
      <c r="U86">
        <v>59.5</v>
      </c>
      <c r="V86">
        <v>59.97</v>
      </c>
      <c r="W86">
        <v>57.22</v>
      </c>
      <c r="X86">
        <v>59.82</v>
      </c>
      <c r="Y86">
        <v>59.09</v>
      </c>
      <c r="Z86">
        <v>59.45</v>
      </c>
      <c r="AA86">
        <v>57.16</v>
      </c>
      <c r="AB86">
        <v>60.15</v>
      </c>
      <c r="AC86">
        <v>62.64</v>
      </c>
      <c r="AD86">
        <v>59.97</v>
      </c>
      <c r="AE86">
        <v>60.33</v>
      </c>
      <c r="AF86">
        <f t="shared" si="31"/>
        <v>60.15</v>
      </c>
      <c r="AG86">
        <v>0.37</v>
      </c>
      <c r="AH86">
        <v>60.15</v>
      </c>
      <c r="AI86">
        <v>18.98</v>
      </c>
      <c r="AK86" s="1"/>
      <c r="AL86">
        <v>60.94</v>
      </c>
      <c r="AM86">
        <v>61.01</v>
      </c>
      <c r="AN86">
        <v>24.76</v>
      </c>
      <c r="AO86">
        <v>41.8</v>
      </c>
      <c r="AP86">
        <v>60</v>
      </c>
      <c r="AQ86">
        <v>25.45</v>
      </c>
      <c r="AR86">
        <v>35.74</v>
      </c>
      <c r="AS86">
        <v>48.09</v>
      </c>
      <c r="AT86">
        <v>54.8</v>
      </c>
      <c r="AU86">
        <v>62.47</v>
      </c>
      <c r="AV86">
        <v>24.76</v>
      </c>
      <c r="AW86">
        <v>84.84</v>
      </c>
      <c r="AX86">
        <f t="shared" si="34"/>
        <v>54.800000000000004</v>
      </c>
      <c r="AY86">
        <v>60.08</v>
      </c>
      <c r="AZ86">
        <v>54.8</v>
      </c>
      <c r="BA86">
        <v>11.45</v>
      </c>
      <c r="BP86" s="1">
        <f>(O86+AG86+AY86)/3</f>
        <v>29.62</v>
      </c>
      <c r="BQ86" s="1">
        <f t="shared" si="32"/>
        <v>58.009999999999991</v>
      </c>
      <c r="BR86" s="1">
        <f t="shared" si="33"/>
        <v>15.946666666666667</v>
      </c>
    </row>
    <row r="87" spans="1:70" x14ac:dyDescent="0.25">
      <c r="A87" s="1"/>
      <c r="B87" s="2">
        <f>AVERAGE(B81:B86)</f>
        <v>69.39</v>
      </c>
      <c r="C87" s="2">
        <f t="shared" ref="C87:BA87" si="36">AVERAGE(C81:C86)</f>
        <v>63.52</v>
      </c>
      <c r="D87" s="2">
        <f t="shared" si="36"/>
        <v>72.95</v>
      </c>
      <c r="E87" s="2">
        <f t="shared" si="36"/>
        <v>66.101666666666659</v>
      </c>
      <c r="F87" s="2">
        <f t="shared" si="36"/>
        <v>63.111666666666672</v>
      </c>
      <c r="G87" s="2">
        <f t="shared" si="36"/>
        <v>71.183333333333337</v>
      </c>
      <c r="H87" s="2">
        <f t="shared" si="36"/>
        <v>66.768333333333331</v>
      </c>
      <c r="I87" s="2">
        <f t="shared" si="36"/>
        <v>57.506666666666661</v>
      </c>
      <c r="J87" s="2">
        <f t="shared" si="36"/>
        <v>59.961666666666666</v>
      </c>
      <c r="K87" s="2">
        <f t="shared" si="36"/>
        <v>64.146666666666661</v>
      </c>
      <c r="L87" s="2">
        <f t="shared" si="36"/>
        <v>72.95</v>
      </c>
      <c r="M87" s="2">
        <f t="shared" si="36"/>
        <v>46.978333333333332</v>
      </c>
      <c r="N87" s="2">
        <f t="shared" si="36"/>
        <v>59.964166666666678</v>
      </c>
      <c r="O87" s="2">
        <f t="shared" si="36"/>
        <v>25.973333333333333</v>
      </c>
      <c r="P87" s="2">
        <f t="shared" si="36"/>
        <v>59.961666666666666</v>
      </c>
      <c r="Q87" s="2">
        <f t="shared" si="36"/>
        <v>19.62833333333333</v>
      </c>
      <c r="R87" s="2"/>
      <c r="S87" s="2"/>
      <c r="T87" s="2">
        <f t="shared" si="36"/>
        <v>67.74499999999999</v>
      </c>
      <c r="U87" s="2">
        <f t="shared" si="36"/>
        <v>65.853333333333339</v>
      </c>
      <c r="V87" s="2">
        <f t="shared" si="36"/>
        <v>61.774999999999999</v>
      </c>
      <c r="W87" s="2">
        <f t="shared" si="36"/>
        <v>61.81</v>
      </c>
      <c r="X87" s="2">
        <f t="shared" si="36"/>
        <v>65.328333333333333</v>
      </c>
      <c r="Y87" s="2">
        <f t="shared" si="36"/>
        <v>60.94666666666668</v>
      </c>
      <c r="Z87" s="2">
        <f t="shared" si="36"/>
        <v>62.901666666666664</v>
      </c>
      <c r="AA87" s="2">
        <f t="shared" si="36"/>
        <v>58.568333333333328</v>
      </c>
      <c r="AB87" s="2">
        <f t="shared" si="36"/>
        <v>61.324999999999996</v>
      </c>
      <c r="AC87" s="2">
        <f t="shared" si="36"/>
        <v>64.62</v>
      </c>
      <c r="AD87" s="2">
        <f t="shared" si="36"/>
        <v>61.774999999999999</v>
      </c>
      <c r="AE87" s="2">
        <f t="shared" si="36"/>
        <v>60.879999999999995</v>
      </c>
      <c r="AF87" s="2">
        <f t="shared" si="36"/>
        <v>61.327500000000008</v>
      </c>
      <c r="AG87" s="2">
        <f t="shared" si="36"/>
        <v>3.438333333333333</v>
      </c>
      <c r="AH87" s="2">
        <f t="shared" si="36"/>
        <v>61.324999999999996</v>
      </c>
      <c r="AI87" s="2">
        <f t="shared" si="36"/>
        <v>21.653333333333332</v>
      </c>
      <c r="AJ87" s="2"/>
      <c r="AK87" s="2"/>
      <c r="AL87" s="2">
        <f t="shared" si="36"/>
        <v>69.575000000000003</v>
      </c>
      <c r="AM87" s="2">
        <f t="shared" si="36"/>
        <v>70.843333333333334</v>
      </c>
      <c r="AN87" s="2">
        <f t="shared" si="36"/>
        <v>36.091666666666669</v>
      </c>
      <c r="AO87" s="2">
        <f t="shared" si="36"/>
        <v>48.718333333333334</v>
      </c>
      <c r="AP87" s="2">
        <f t="shared" si="36"/>
        <v>70.92</v>
      </c>
      <c r="AQ87" s="2">
        <f t="shared" si="36"/>
        <v>35.338333333333331</v>
      </c>
      <c r="AR87" s="2">
        <f t="shared" si="36"/>
        <v>46.190000000000005</v>
      </c>
      <c r="AS87" s="2">
        <f t="shared" si="36"/>
        <v>52.524999999999999</v>
      </c>
      <c r="AT87" s="2">
        <f t="shared" si="36"/>
        <v>58.613333333333337</v>
      </c>
      <c r="AU87" s="2">
        <f t="shared" si="36"/>
        <v>64.413333333333341</v>
      </c>
      <c r="AV87" s="2">
        <f t="shared" si="36"/>
        <v>36.091666666666669</v>
      </c>
      <c r="AW87" s="2">
        <f t="shared" si="36"/>
        <v>81.13</v>
      </c>
      <c r="AX87" s="2">
        <f t="shared" si="36"/>
        <v>58.610833333333339</v>
      </c>
      <c r="AY87" s="2">
        <f t="shared" si="36"/>
        <v>45.57833333333334</v>
      </c>
      <c r="AZ87" s="2">
        <f t="shared" si="36"/>
        <v>58.613333333333337</v>
      </c>
      <c r="BA87" s="2">
        <f t="shared" si="36"/>
        <v>18.958333333333336</v>
      </c>
      <c r="BP87" s="2">
        <f>AVERAGE(BP81:BP86)</f>
        <v>24.996666666666666</v>
      </c>
      <c r="BQ87" s="2">
        <f t="shared" ref="BQ87:BR87" si="37">AVERAGE(BQ81:BQ86)</f>
        <v>59.966666666666669</v>
      </c>
      <c r="BR87" s="2">
        <f t="shared" si="37"/>
        <v>20.080000000000002</v>
      </c>
    </row>
    <row r="90" spans="1:70" x14ac:dyDescent="0.25">
      <c r="A90" s="1" t="s">
        <v>25</v>
      </c>
      <c r="B90">
        <v>61.7</v>
      </c>
      <c r="C90">
        <v>62.05</v>
      </c>
      <c r="D90">
        <v>52.08</v>
      </c>
      <c r="E90">
        <v>56.37</v>
      </c>
      <c r="F90">
        <v>63.44</v>
      </c>
      <c r="G90">
        <v>53.39</v>
      </c>
      <c r="H90">
        <v>57.99</v>
      </c>
      <c r="I90">
        <v>48.66</v>
      </c>
      <c r="J90">
        <v>49.06</v>
      </c>
      <c r="K90">
        <v>48.85</v>
      </c>
      <c r="L90">
        <v>52.08</v>
      </c>
      <c r="M90">
        <v>46.04</v>
      </c>
      <c r="N90">
        <f t="shared" si="30"/>
        <v>49.06</v>
      </c>
      <c r="O90">
        <v>6.04</v>
      </c>
      <c r="P90">
        <v>49.06</v>
      </c>
      <c r="Q90">
        <v>-1.3</v>
      </c>
      <c r="S90" s="1" t="s">
        <v>25</v>
      </c>
      <c r="T90">
        <v>61.54</v>
      </c>
      <c r="U90">
        <v>55.73</v>
      </c>
      <c r="V90">
        <v>45.31</v>
      </c>
      <c r="W90">
        <v>45.54</v>
      </c>
      <c r="X90">
        <v>56.98</v>
      </c>
      <c r="Y90">
        <v>44.34</v>
      </c>
      <c r="Z90">
        <v>49.87</v>
      </c>
      <c r="AA90">
        <v>42.3</v>
      </c>
      <c r="AB90">
        <v>47.33</v>
      </c>
      <c r="AC90">
        <v>46.4</v>
      </c>
      <c r="AD90">
        <v>45.31</v>
      </c>
      <c r="AE90">
        <v>49.34</v>
      </c>
      <c r="AF90">
        <f t="shared" si="31"/>
        <v>47.325000000000003</v>
      </c>
      <c r="AG90">
        <v>4.03</v>
      </c>
      <c r="AH90">
        <v>47.33</v>
      </c>
      <c r="AI90">
        <v>-6.05</v>
      </c>
      <c r="AK90" s="1" t="s">
        <v>25</v>
      </c>
      <c r="AL90">
        <v>62.43</v>
      </c>
      <c r="AM90">
        <v>60.21</v>
      </c>
      <c r="AN90">
        <v>30.86</v>
      </c>
      <c r="AO90">
        <v>40.56</v>
      </c>
      <c r="AP90">
        <v>62.83</v>
      </c>
      <c r="AQ90">
        <v>32.130000000000003</v>
      </c>
      <c r="AR90">
        <v>42.51</v>
      </c>
      <c r="AS90">
        <v>44.91</v>
      </c>
      <c r="AT90">
        <v>50.53</v>
      </c>
      <c r="AU90">
        <v>49.2</v>
      </c>
      <c r="AV90">
        <v>30.86</v>
      </c>
      <c r="AW90">
        <v>70.2</v>
      </c>
      <c r="AX90">
        <f t="shared" si="34"/>
        <v>50.53</v>
      </c>
      <c r="AY90">
        <v>39.340000000000003</v>
      </c>
      <c r="AZ90">
        <v>50.53</v>
      </c>
      <c r="BA90">
        <v>0.11</v>
      </c>
      <c r="BP90" s="1"/>
      <c r="BQ90" s="1"/>
      <c r="BR90" s="1"/>
    </row>
    <row r="91" spans="1:70" x14ac:dyDescent="0.25">
      <c r="A91" s="1"/>
      <c r="B91">
        <v>61.81</v>
      </c>
      <c r="C91">
        <v>60.4</v>
      </c>
      <c r="D91">
        <v>35.4</v>
      </c>
      <c r="E91">
        <v>40.22</v>
      </c>
      <c r="F91">
        <v>58.46</v>
      </c>
      <c r="G91">
        <v>34.39</v>
      </c>
      <c r="H91">
        <v>43.3</v>
      </c>
      <c r="I91">
        <v>41.95</v>
      </c>
      <c r="J91">
        <v>48.41</v>
      </c>
      <c r="K91">
        <v>44.05</v>
      </c>
      <c r="L91">
        <v>35.4</v>
      </c>
      <c r="M91">
        <v>61.42</v>
      </c>
      <c r="N91">
        <f t="shared" si="30"/>
        <v>48.41</v>
      </c>
      <c r="O91">
        <v>26.02</v>
      </c>
      <c r="P91">
        <v>48.41</v>
      </c>
      <c r="Q91">
        <v>-2.62</v>
      </c>
      <c r="S91" s="1"/>
      <c r="T91">
        <v>65.36</v>
      </c>
      <c r="U91">
        <v>70.290000000000006</v>
      </c>
      <c r="V91">
        <v>34.71</v>
      </c>
      <c r="W91">
        <v>43.89</v>
      </c>
      <c r="X91">
        <v>68.75</v>
      </c>
      <c r="Y91">
        <v>34.840000000000003</v>
      </c>
      <c r="Z91">
        <v>46.25</v>
      </c>
      <c r="AA91">
        <v>47.67</v>
      </c>
      <c r="AB91">
        <v>53.36</v>
      </c>
      <c r="AC91">
        <v>52.38</v>
      </c>
      <c r="AD91">
        <v>34.71</v>
      </c>
      <c r="AE91">
        <v>72.02</v>
      </c>
      <c r="AF91">
        <f t="shared" si="31"/>
        <v>53.364999999999995</v>
      </c>
      <c r="AG91">
        <v>37.31</v>
      </c>
      <c r="AH91">
        <v>53.36</v>
      </c>
      <c r="AI91">
        <v>8.57</v>
      </c>
      <c r="AK91" s="1"/>
      <c r="AL91">
        <v>61.6</v>
      </c>
      <c r="AM91">
        <v>63.32</v>
      </c>
      <c r="AN91">
        <v>47</v>
      </c>
      <c r="AO91">
        <v>52.95</v>
      </c>
      <c r="AP91">
        <v>62.42</v>
      </c>
      <c r="AQ91">
        <v>46.61</v>
      </c>
      <c r="AR91">
        <v>53.37</v>
      </c>
      <c r="AS91">
        <v>49.09</v>
      </c>
      <c r="AT91">
        <v>51.72</v>
      </c>
      <c r="AU91">
        <v>49.18</v>
      </c>
      <c r="AV91">
        <v>47</v>
      </c>
      <c r="AW91">
        <v>56.44</v>
      </c>
      <c r="AX91">
        <f t="shared" si="34"/>
        <v>51.72</v>
      </c>
      <c r="AY91">
        <v>9.43</v>
      </c>
      <c r="AZ91">
        <v>51.72</v>
      </c>
      <c r="BA91">
        <v>3.28</v>
      </c>
      <c r="BP91" s="1"/>
      <c r="BQ91" s="1"/>
      <c r="BR91" s="1"/>
    </row>
    <row r="92" spans="1:70" x14ac:dyDescent="0.25">
      <c r="A92" s="1"/>
      <c r="B92">
        <v>55.52</v>
      </c>
      <c r="C92">
        <v>46.71</v>
      </c>
      <c r="D92">
        <v>54.36</v>
      </c>
      <c r="E92">
        <v>60.61</v>
      </c>
      <c r="F92">
        <v>52.87</v>
      </c>
      <c r="G92">
        <v>54.25</v>
      </c>
      <c r="H92">
        <v>53.55</v>
      </c>
      <c r="I92">
        <v>48.16</v>
      </c>
      <c r="J92">
        <v>52.51</v>
      </c>
      <c r="K92">
        <v>53.44</v>
      </c>
      <c r="L92">
        <v>54.36</v>
      </c>
      <c r="M92">
        <v>50.65</v>
      </c>
      <c r="N92">
        <f t="shared" si="30"/>
        <v>52.504999999999995</v>
      </c>
      <c r="O92">
        <v>3.71</v>
      </c>
      <c r="P92">
        <v>52.51</v>
      </c>
      <c r="Q92">
        <v>3.06</v>
      </c>
      <c r="S92" s="1"/>
      <c r="T92">
        <v>48.63</v>
      </c>
      <c r="U92">
        <v>36.64</v>
      </c>
      <c r="V92">
        <v>29.14</v>
      </c>
      <c r="W92">
        <v>41.27</v>
      </c>
      <c r="X92">
        <v>37.270000000000003</v>
      </c>
      <c r="Y92">
        <v>26.8</v>
      </c>
      <c r="Z92">
        <v>31.18</v>
      </c>
      <c r="AA92">
        <v>38.159999999999997</v>
      </c>
      <c r="AB92">
        <v>44.06</v>
      </c>
      <c r="AC92">
        <v>45.27</v>
      </c>
      <c r="AD92">
        <v>29.14</v>
      </c>
      <c r="AE92">
        <v>58.97</v>
      </c>
      <c r="AF92">
        <f t="shared" si="31"/>
        <v>44.055</v>
      </c>
      <c r="AG92">
        <v>29.83</v>
      </c>
      <c r="AH92">
        <v>44.06</v>
      </c>
      <c r="AI92">
        <v>-13.63</v>
      </c>
      <c r="AK92" s="1"/>
      <c r="AL92">
        <v>51.82</v>
      </c>
      <c r="AM92">
        <v>52.42</v>
      </c>
      <c r="AN92">
        <v>54.74</v>
      </c>
      <c r="AO92">
        <v>52.06</v>
      </c>
      <c r="AP92">
        <v>53.12</v>
      </c>
      <c r="AQ92">
        <v>55.56</v>
      </c>
      <c r="AR92">
        <v>54.31</v>
      </c>
      <c r="AS92">
        <v>50.77</v>
      </c>
      <c r="AT92">
        <v>52.05</v>
      </c>
      <c r="AU92">
        <v>51.35</v>
      </c>
      <c r="AV92">
        <v>54.74</v>
      </c>
      <c r="AW92">
        <v>49.37</v>
      </c>
      <c r="AX92">
        <f t="shared" si="34"/>
        <v>52.055</v>
      </c>
      <c r="AY92">
        <v>5.37</v>
      </c>
      <c r="AZ92">
        <v>52.05</v>
      </c>
      <c r="BA92">
        <v>4.24</v>
      </c>
      <c r="BP92" s="1"/>
      <c r="BQ92" s="1"/>
      <c r="BR92" s="1"/>
    </row>
    <row r="93" spans="1:70" x14ac:dyDescent="0.25">
      <c r="A93" s="1"/>
      <c r="B93">
        <v>64.260000000000005</v>
      </c>
      <c r="C93">
        <v>60.6</v>
      </c>
      <c r="D93">
        <v>74.31</v>
      </c>
      <c r="E93">
        <v>65.87</v>
      </c>
      <c r="F93">
        <v>62.59</v>
      </c>
      <c r="G93">
        <v>76.47</v>
      </c>
      <c r="H93">
        <v>68.84</v>
      </c>
      <c r="I93">
        <v>47.21</v>
      </c>
      <c r="J93">
        <v>49.86</v>
      </c>
      <c r="K93">
        <v>52.67</v>
      </c>
      <c r="L93">
        <v>74.31</v>
      </c>
      <c r="M93">
        <v>25.41</v>
      </c>
      <c r="N93">
        <f t="shared" si="30"/>
        <v>49.86</v>
      </c>
      <c r="O93">
        <v>48.9</v>
      </c>
      <c r="P93">
        <v>49.86</v>
      </c>
      <c r="Q93">
        <v>-0.42</v>
      </c>
      <c r="S93" s="1"/>
      <c r="T93">
        <v>61.18</v>
      </c>
      <c r="U93">
        <v>69.31</v>
      </c>
      <c r="V93">
        <v>17.579999999999998</v>
      </c>
      <c r="W93">
        <v>22.92</v>
      </c>
      <c r="X93">
        <v>53.12</v>
      </c>
      <c r="Y93">
        <v>15.38</v>
      </c>
      <c r="Z93">
        <v>23.86</v>
      </c>
      <c r="AA93">
        <v>36.479999999999997</v>
      </c>
      <c r="AB93">
        <v>50.03</v>
      </c>
      <c r="AC93">
        <v>49.5</v>
      </c>
      <c r="AD93">
        <v>17.579999999999998</v>
      </c>
      <c r="AE93">
        <v>82.48</v>
      </c>
      <c r="AF93">
        <f t="shared" si="31"/>
        <v>50.03</v>
      </c>
      <c r="AG93">
        <v>64.900000000000006</v>
      </c>
      <c r="AH93">
        <v>50.03</v>
      </c>
      <c r="AI93">
        <v>0.37</v>
      </c>
      <c r="AK93" s="1"/>
      <c r="AL93">
        <v>64.05</v>
      </c>
      <c r="AM93">
        <v>72.12</v>
      </c>
      <c r="AN93">
        <v>39.520000000000003</v>
      </c>
      <c r="AO93">
        <v>36.81</v>
      </c>
      <c r="AP93">
        <v>62.5</v>
      </c>
      <c r="AQ93">
        <v>38.46</v>
      </c>
      <c r="AR93">
        <v>47.62</v>
      </c>
      <c r="AS93">
        <v>40.35</v>
      </c>
      <c r="AT93">
        <v>51.98</v>
      </c>
      <c r="AU93">
        <v>53.12</v>
      </c>
      <c r="AV93">
        <v>39.520000000000003</v>
      </c>
      <c r="AW93">
        <v>64.44</v>
      </c>
      <c r="AX93">
        <f t="shared" si="34"/>
        <v>51.980000000000004</v>
      </c>
      <c r="AY93">
        <v>24.93</v>
      </c>
      <c r="AZ93">
        <v>51.98</v>
      </c>
      <c r="BA93">
        <v>5.51</v>
      </c>
      <c r="BP93" s="1"/>
      <c r="BQ93" s="1"/>
      <c r="BR93" s="1"/>
    </row>
    <row r="94" spans="1:70" x14ac:dyDescent="0.25">
      <c r="A94" s="1"/>
      <c r="B94">
        <v>57.28</v>
      </c>
      <c r="C94">
        <v>48.79</v>
      </c>
      <c r="D94">
        <v>79.38</v>
      </c>
      <c r="E94">
        <v>56.17</v>
      </c>
      <c r="F94">
        <v>47.58</v>
      </c>
      <c r="G94">
        <v>77.12</v>
      </c>
      <c r="H94">
        <v>58.85</v>
      </c>
      <c r="I94">
        <v>37.17</v>
      </c>
      <c r="J94">
        <v>48.25</v>
      </c>
      <c r="K94">
        <v>54.94</v>
      </c>
      <c r="L94">
        <v>79.38</v>
      </c>
      <c r="M94">
        <v>17.13</v>
      </c>
      <c r="N94">
        <f t="shared" si="30"/>
        <v>48.254999999999995</v>
      </c>
      <c r="O94">
        <v>62.24</v>
      </c>
      <c r="P94">
        <v>48.25</v>
      </c>
      <c r="Q94">
        <v>-3.99</v>
      </c>
      <c r="S94" s="1"/>
      <c r="T94">
        <v>48.05</v>
      </c>
      <c r="U94">
        <v>52.27</v>
      </c>
      <c r="V94">
        <v>24.43</v>
      </c>
      <c r="W94">
        <v>35.94</v>
      </c>
      <c r="X94">
        <v>45.68</v>
      </c>
      <c r="Y94">
        <v>24.18</v>
      </c>
      <c r="Z94">
        <v>31.62</v>
      </c>
      <c r="AA94">
        <v>38.770000000000003</v>
      </c>
      <c r="AB94">
        <v>47.95</v>
      </c>
      <c r="AC94">
        <v>45.33</v>
      </c>
      <c r="AD94">
        <v>24.43</v>
      </c>
      <c r="AE94">
        <v>71.48</v>
      </c>
      <c r="AF94">
        <f t="shared" si="31"/>
        <v>47.954999999999998</v>
      </c>
      <c r="AG94">
        <v>47.05</v>
      </c>
      <c r="AH94">
        <v>47.95</v>
      </c>
      <c r="AI94">
        <v>-5.94</v>
      </c>
      <c r="AK94" s="1"/>
      <c r="AL94">
        <v>54.4</v>
      </c>
      <c r="AM94">
        <v>41.77</v>
      </c>
      <c r="AN94">
        <v>38.67</v>
      </c>
      <c r="AO94">
        <v>42.88</v>
      </c>
      <c r="AP94">
        <v>35.21</v>
      </c>
      <c r="AQ94">
        <v>32.68</v>
      </c>
      <c r="AR94">
        <v>33.9</v>
      </c>
      <c r="AS94">
        <v>34.17</v>
      </c>
      <c r="AT94">
        <v>44.05</v>
      </c>
      <c r="AU94">
        <v>50.95</v>
      </c>
      <c r="AV94">
        <v>38.67</v>
      </c>
      <c r="AW94">
        <v>49.43</v>
      </c>
      <c r="AX94">
        <f t="shared" si="34"/>
        <v>44.05</v>
      </c>
      <c r="AY94">
        <v>10.75</v>
      </c>
      <c r="AZ94">
        <v>44.05</v>
      </c>
      <c r="BA94">
        <v>-14.63</v>
      </c>
      <c r="BP94" s="1"/>
      <c r="BQ94" s="1"/>
      <c r="BR94" s="1"/>
    </row>
    <row r="95" spans="1:70" x14ac:dyDescent="0.25">
      <c r="A95" s="1"/>
      <c r="B95">
        <v>50.38</v>
      </c>
      <c r="C95">
        <v>50.36</v>
      </c>
      <c r="D95">
        <v>70.55</v>
      </c>
      <c r="E95">
        <v>53.23</v>
      </c>
      <c r="F95">
        <v>49.78</v>
      </c>
      <c r="G95">
        <v>70</v>
      </c>
      <c r="H95">
        <v>58.19</v>
      </c>
      <c r="I95">
        <v>40.950000000000003</v>
      </c>
      <c r="J95">
        <v>49.71</v>
      </c>
      <c r="K95">
        <v>46.99</v>
      </c>
      <c r="L95">
        <v>70.55</v>
      </c>
      <c r="M95">
        <v>28.88</v>
      </c>
      <c r="N95">
        <f t="shared" si="30"/>
        <v>49.714999999999996</v>
      </c>
      <c r="O95">
        <v>41.67</v>
      </c>
      <c r="P95">
        <v>49.71</v>
      </c>
      <c r="Q95">
        <v>-1.31</v>
      </c>
      <c r="S95" s="1"/>
      <c r="T95">
        <v>51.06</v>
      </c>
      <c r="U95">
        <v>45.65</v>
      </c>
      <c r="V95">
        <v>35.11</v>
      </c>
      <c r="W95">
        <v>46.05</v>
      </c>
      <c r="X95">
        <v>45.13</v>
      </c>
      <c r="Y95">
        <v>30.91</v>
      </c>
      <c r="Z95">
        <v>36.69</v>
      </c>
      <c r="AA95">
        <v>39.94</v>
      </c>
      <c r="AB95">
        <v>50.28</v>
      </c>
      <c r="AC95">
        <v>50.33</v>
      </c>
      <c r="AD95">
        <v>35.11</v>
      </c>
      <c r="AE95">
        <v>65.459999999999994</v>
      </c>
      <c r="AF95">
        <f t="shared" si="31"/>
        <v>50.284999999999997</v>
      </c>
      <c r="AG95">
        <v>30.34</v>
      </c>
      <c r="AH95">
        <v>50.28</v>
      </c>
      <c r="AI95">
        <v>-1.79</v>
      </c>
      <c r="AK95" s="1"/>
      <c r="AL95">
        <v>51.71</v>
      </c>
      <c r="AM95">
        <v>53.64</v>
      </c>
      <c r="AN95">
        <v>43.77</v>
      </c>
      <c r="AO95">
        <v>37.659999999999997</v>
      </c>
      <c r="AP95">
        <v>46.98</v>
      </c>
      <c r="AQ95">
        <v>40</v>
      </c>
      <c r="AR95">
        <v>43.21</v>
      </c>
      <c r="AS95">
        <v>42.67</v>
      </c>
      <c r="AT95">
        <v>50.9</v>
      </c>
      <c r="AU95">
        <v>49.86</v>
      </c>
      <c r="AV95">
        <v>43.77</v>
      </c>
      <c r="AW95">
        <v>58.03</v>
      </c>
      <c r="AX95">
        <f t="shared" si="34"/>
        <v>50.900000000000006</v>
      </c>
      <c r="AY95">
        <v>14.26</v>
      </c>
      <c r="AZ95">
        <v>50.9</v>
      </c>
      <c r="BA95">
        <v>1.64</v>
      </c>
      <c r="BP95" s="1"/>
      <c r="BQ95" s="1"/>
      <c r="BR95" s="1"/>
    </row>
    <row r="96" spans="1:70" x14ac:dyDescent="0.25">
      <c r="B96" s="2">
        <f>AVERAGE(B90:B95)</f>
        <v>58.491666666666674</v>
      </c>
      <c r="C96" s="2">
        <f t="shared" ref="C96:BA96" si="38">AVERAGE(C90:C95)</f>
        <v>54.818333333333335</v>
      </c>
      <c r="D96" s="2">
        <f t="shared" si="38"/>
        <v>61.013333333333328</v>
      </c>
      <c r="E96" s="2">
        <f t="shared" si="38"/>
        <v>55.411666666666669</v>
      </c>
      <c r="F96" s="2">
        <f t="shared" si="38"/>
        <v>55.786666666666669</v>
      </c>
      <c r="G96" s="2">
        <f t="shared" si="38"/>
        <v>60.936666666666667</v>
      </c>
      <c r="H96" s="2">
        <f t="shared" si="38"/>
        <v>56.786666666666662</v>
      </c>
      <c r="I96" s="2">
        <f t="shared" si="38"/>
        <v>44.016666666666659</v>
      </c>
      <c r="J96" s="2">
        <f t="shared" si="38"/>
        <v>49.633333333333326</v>
      </c>
      <c r="K96" s="2">
        <f t="shared" si="38"/>
        <v>50.156666666666666</v>
      </c>
      <c r="L96" s="2">
        <f t="shared" si="38"/>
        <v>61.013333333333328</v>
      </c>
      <c r="M96" s="2">
        <f t="shared" si="38"/>
        <v>38.255000000000003</v>
      </c>
      <c r="N96" s="2">
        <f t="shared" si="38"/>
        <v>49.634166666666658</v>
      </c>
      <c r="O96" s="2">
        <f t="shared" si="38"/>
        <v>31.429999999999996</v>
      </c>
      <c r="P96" s="2">
        <f t="shared" si="38"/>
        <v>49.633333333333326</v>
      </c>
      <c r="Q96" s="2">
        <f t="shared" si="38"/>
        <v>-1.0966666666666667</v>
      </c>
      <c r="R96" s="2"/>
      <c r="S96" s="2"/>
      <c r="T96" s="2">
        <f t="shared" si="38"/>
        <v>55.97</v>
      </c>
      <c r="U96" s="2">
        <f t="shared" si="38"/>
        <v>54.981666666666662</v>
      </c>
      <c r="V96" s="2">
        <f t="shared" si="38"/>
        <v>31.04666666666667</v>
      </c>
      <c r="W96" s="2">
        <f t="shared" si="38"/>
        <v>39.268333333333338</v>
      </c>
      <c r="X96" s="2">
        <f t="shared" si="38"/>
        <v>51.155000000000001</v>
      </c>
      <c r="Y96" s="2">
        <f t="shared" si="38"/>
        <v>29.408333333333331</v>
      </c>
      <c r="Z96" s="2">
        <f t="shared" si="38"/>
        <v>36.57833333333334</v>
      </c>
      <c r="AA96" s="2">
        <f t="shared" si="38"/>
        <v>40.553333333333335</v>
      </c>
      <c r="AB96" s="2">
        <f t="shared" si="38"/>
        <v>48.835000000000001</v>
      </c>
      <c r="AC96" s="2">
        <f t="shared" si="38"/>
        <v>48.201666666666661</v>
      </c>
      <c r="AD96" s="2">
        <f t="shared" si="38"/>
        <v>31.04666666666667</v>
      </c>
      <c r="AE96" s="2">
        <f t="shared" si="38"/>
        <v>66.625</v>
      </c>
      <c r="AF96" s="2">
        <f t="shared" si="38"/>
        <v>48.835833333333333</v>
      </c>
      <c r="AG96" s="2">
        <f t="shared" si="38"/>
        <v>35.576666666666668</v>
      </c>
      <c r="AH96" s="2">
        <f t="shared" si="38"/>
        <v>48.835000000000001</v>
      </c>
      <c r="AI96" s="2">
        <f t="shared" si="38"/>
        <v>-3.0783333333333331</v>
      </c>
      <c r="AJ96" s="2"/>
      <c r="AK96" s="2"/>
      <c r="AL96" s="2">
        <f t="shared" si="38"/>
        <v>57.668333333333322</v>
      </c>
      <c r="AM96" s="2">
        <f t="shared" si="38"/>
        <v>57.246666666666663</v>
      </c>
      <c r="AN96" s="2">
        <f t="shared" si="38"/>
        <v>42.426666666666669</v>
      </c>
      <c r="AO96" s="2">
        <f t="shared" si="38"/>
        <v>43.819999999999993</v>
      </c>
      <c r="AP96" s="2">
        <f t="shared" si="38"/>
        <v>53.843333333333334</v>
      </c>
      <c r="AQ96" s="2">
        <f t="shared" si="38"/>
        <v>40.906666666666673</v>
      </c>
      <c r="AR96" s="2">
        <f t="shared" si="38"/>
        <v>45.82</v>
      </c>
      <c r="AS96" s="2">
        <f t="shared" si="38"/>
        <v>43.660000000000004</v>
      </c>
      <c r="AT96" s="2">
        <f t="shared" si="38"/>
        <v>50.204999999999991</v>
      </c>
      <c r="AU96" s="2">
        <f t="shared" si="38"/>
        <v>50.610000000000007</v>
      </c>
      <c r="AV96" s="2">
        <f t="shared" si="38"/>
        <v>42.426666666666669</v>
      </c>
      <c r="AW96" s="2">
        <f t="shared" si="38"/>
        <v>57.984999999999992</v>
      </c>
      <c r="AX96" s="2">
        <f t="shared" si="38"/>
        <v>50.205833333333338</v>
      </c>
      <c r="AY96" s="2">
        <f t="shared" si="38"/>
        <v>17.346666666666668</v>
      </c>
      <c r="AZ96" s="2">
        <f t="shared" si="38"/>
        <v>50.204999999999991</v>
      </c>
      <c r="BA96" s="2">
        <f t="shared" si="38"/>
        <v>2.4999999999999949E-2</v>
      </c>
      <c r="BP96" s="2"/>
      <c r="BQ96" s="2"/>
      <c r="BR96" s="2"/>
    </row>
    <row r="99" spans="1:70" x14ac:dyDescent="0.25">
      <c r="A99" s="1" t="s">
        <v>26</v>
      </c>
      <c r="B99">
        <v>78.78</v>
      </c>
      <c r="C99">
        <v>76.19</v>
      </c>
      <c r="D99">
        <v>69.290000000000006</v>
      </c>
      <c r="E99">
        <v>67.430000000000007</v>
      </c>
      <c r="F99">
        <v>76.040000000000006</v>
      </c>
      <c r="G99">
        <v>74.66</v>
      </c>
      <c r="H99">
        <v>75.34</v>
      </c>
      <c r="I99">
        <v>55.87</v>
      </c>
      <c r="J99">
        <v>59.91</v>
      </c>
      <c r="K99">
        <v>70.180000000000007</v>
      </c>
      <c r="L99">
        <v>69.290000000000006</v>
      </c>
      <c r="M99">
        <v>50.53</v>
      </c>
      <c r="N99">
        <f t="shared" si="30"/>
        <v>59.910000000000004</v>
      </c>
      <c r="O99">
        <v>18.760000000000002</v>
      </c>
      <c r="P99">
        <v>59.91</v>
      </c>
      <c r="Q99">
        <v>23.19</v>
      </c>
      <c r="S99" s="1" t="s">
        <v>26</v>
      </c>
      <c r="T99">
        <v>78.13</v>
      </c>
      <c r="U99">
        <v>67.790000000000006</v>
      </c>
      <c r="V99">
        <v>65.48</v>
      </c>
      <c r="W99">
        <v>60.24</v>
      </c>
      <c r="X99">
        <v>65.92</v>
      </c>
      <c r="Y99">
        <v>66.52</v>
      </c>
      <c r="Z99">
        <v>66.22</v>
      </c>
      <c r="AA99">
        <v>47.61</v>
      </c>
      <c r="AB99">
        <v>55.41</v>
      </c>
      <c r="AC99">
        <v>67.62</v>
      </c>
      <c r="AD99">
        <v>65.48</v>
      </c>
      <c r="AE99">
        <v>45.35</v>
      </c>
      <c r="AF99">
        <f>(AD99+AE99)/2</f>
        <v>55.415000000000006</v>
      </c>
      <c r="AG99">
        <v>20.14</v>
      </c>
      <c r="AH99">
        <v>55.41</v>
      </c>
      <c r="AI99">
        <v>17.8</v>
      </c>
      <c r="AK99" s="1" t="s">
        <v>26</v>
      </c>
      <c r="AL99">
        <v>77.09</v>
      </c>
      <c r="AM99">
        <v>68.599999999999994</v>
      </c>
      <c r="AN99">
        <v>50.49</v>
      </c>
      <c r="AO99">
        <v>47.03</v>
      </c>
      <c r="AP99">
        <v>67.680000000000007</v>
      </c>
      <c r="AQ99">
        <v>50.23</v>
      </c>
      <c r="AR99">
        <v>57.66</v>
      </c>
      <c r="AS99">
        <v>47.41</v>
      </c>
      <c r="AT99">
        <v>56.46</v>
      </c>
      <c r="AU99">
        <v>66.209999999999994</v>
      </c>
      <c r="AV99">
        <v>50.49</v>
      </c>
      <c r="AW99">
        <v>62.43</v>
      </c>
      <c r="AX99">
        <f t="shared" si="34"/>
        <v>56.46</v>
      </c>
      <c r="AY99">
        <v>11.94</v>
      </c>
      <c r="AZ99">
        <v>56.46</v>
      </c>
      <c r="BA99">
        <v>16.489999999999998</v>
      </c>
      <c r="BP99" s="1">
        <f>(O99+AG99+AY99)/3</f>
        <v>16.946666666666669</v>
      </c>
      <c r="BQ99" s="1">
        <f t="shared" ref="BQ99:BQ104" si="39">(P99+AH99+AZ99)/3</f>
        <v>57.26</v>
      </c>
      <c r="BR99" s="1">
        <f t="shared" ref="BR99:BR104" si="40">(Q99+AI99+BA99)/3</f>
        <v>19.16</v>
      </c>
    </row>
    <row r="100" spans="1:70" x14ac:dyDescent="0.25">
      <c r="A100" s="1"/>
      <c r="B100">
        <v>77.33</v>
      </c>
      <c r="C100">
        <v>75.25</v>
      </c>
      <c r="D100">
        <v>75</v>
      </c>
      <c r="E100">
        <v>59.73</v>
      </c>
      <c r="F100">
        <v>66.790000000000006</v>
      </c>
      <c r="G100">
        <v>80.09</v>
      </c>
      <c r="H100">
        <v>72.84</v>
      </c>
      <c r="I100">
        <v>42.63</v>
      </c>
      <c r="J100">
        <v>52.6</v>
      </c>
      <c r="K100">
        <v>70.83</v>
      </c>
      <c r="L100">
        <v>75</v>
      </c>
      <c r="M100">
        <v>30.21</v>
      </c>
      <c r="N100">
        <f t="shared" si="30"/>
        <v>52.605000000000004</v>
      </c>
      <c r="O100">
        <v>44.79</v>
      </c>
      <c r="P100">
        <v>52.6</v>
      </c>
      <c r="Q100">
        <v>10.050000000000001</v>
      </c>
      <c r="T100">
        <v>77.900000000000006</v>
      </c>
      <c r="U100">
        <v>61.66</v>
      </c>
      <c r="V100">
        <v>69.8</v>
      </c>
      <c r="W100">
        <v>60.43</v>
      </c>
      <c r="X100">
        <v>69.959999999999994</v>
      </c>
      <c r="Y100">
        <v>73.760000000000005</v>
      </c>
      <c r="Z100">
        <v>71.81</v>
      </c>
      <c r="AA100">
        <v>51.64</v>
      </c>
      <c r="AB100">
        <v>57.48</v>
      </c>
      <c r="AC100">
        <v>71.97</v>
      </c>
      <c r="AD100">
        <v>69.8</v>
      </c>
      <c r="AE100">
        <v>45.15</v>
      </c>
      <c r="AF100">
        <f t="shared" si="31"/>
        <v>57.474999999999994</v>
      </c>
      <c r="AG100">
        <v>24.65</v>
      </c>
      <c r="AH100">
        <v>57.48</v>
      </c>
      <c r="AI100">
        <v>21.77</v>
      </c>
      <c r="AL100">
        <v>76.44</v>
      </c>
      <c r="AM100">
        <v>66.89</v>
      </c>
      <c r="AN100">
        <v>90.34</v>
      </c>
      <c r="AO100">
        <v>75.569999999999993</v>
      </c>
      <c r="AP100">
        <v>66.45</v>
      </c>
      <c r="AQ100">
        <v>92.31</v>
      </c>
      <c r="AR100">
        <v>77.27</v>
      </c>
      <c r="AS100">
        <v>48.47</v>
      </c>
      <c r="AT100">
        <v>55.45</v>
      </c>
      <c r="AU100">
        <v>67.13</v>
      </c>
      <c r="AV100">
        <v>90.34</v>
      </c>
      <c r="AW100">
        <v>20.56</v>
      </c>
      <c r="AX100">
        <f t="shared" si="34"/>
        <v>55.45</v>
      </c>
      <c r="AY100">
        <v>69.78</v>
      </c>
      <c r="AZ100">
        <v>55.45</v>
      </c>
      <c r="BA100">
        <v>15.15</v>
      </c>
      <c r="BP100" s="1">
        <f t="shared" ref="BP100:BP103" si="41">(O100+AG100+AY100)/3</f>
        <v>46.406666666666666</v>
      </c>
      <c r="BQ100" s="1">
        <f t="shared" si="39"/>
        <v>55.176666666666669</v>
      </c>
      <c r="BR100" s="1">
        <f t="shared" si="40"/>
        <v>15.656666666666666</v>
      </c>
    </row>
    <row r="101" spans="1:70" x14ac:dyDescent="0.25">
      <c r="A101" s="1"/>
      <c r="B101">
        <v>64.59</v>
      </c>
      <c r="C101">
        <v>59.06</v>
      </c>
      <c r="D101">
        <v>57.39</v>
      </c>
      <c r="E101">
        <v>53.02</v>
      </c>
      <c r="F101">
        <v>50.89</v>
      </c>
      <c r="G101">
        <v>56.21</v>
      </c>
      <c r="H101">
        <v>53.42</v>
      </c>
      <c r="I101">
        <v>36.840000000000003</v>
      </c>
      <c r="J101">
        <v>51.81</v>
      </c>
      <c r="K101">
        <v>66.31</v>
      </c>
      <c r="L101">
        <v>57.39</v>
      </c>
      <c r="M101">
        <v>46.24</v>
      </c>
      <c r="N101">
        <f t="shared" si="30"/>
        <v>51.814999999999998</v>
      </c>
      <c r="O101">
        <v>11.14</v>
      </c>
      <c r="P101">
        <v>51.81</v>
      </c>
      <c r="Q101">
        <v>3.97</v>
      </c>
      <c r="T101">
        <v>59.63</v>
      </c>
      <c r="U101">
        <v>47.78</v>
      </c>
      <c r="V101">
        <v>63.55</v>
      </c>
      <c r="W101">
        <v>61.11</v>
      </c>
      <c r="X101">
        <v>49.72</v>
      </c>
      <c r="Y101">
        <v>58.17</v>
      </c>
      <c r="Z101">
        <v>53.61</v>
      </c>
      <c r="AA101">
        <v>44.26</v>
      </c>
      <c r="AB101">
        <v>54.34</v>
      </c>
      <c r="AC101">
        <v>60.79</v>
      </c>
      <c r="AD101">
        <v>63.55</v>
      </c>
      <c r="AE101">
        <v>45.12</v>
      </c>
      <c r="AF101">
        <f t="shared" si="31"/>
        <v>54.334999999999994</v>
      </c>
      <c r="AG101">
        <v>18.43</v>
      </c>
      <c r="AH101">
        <v>54.34</v>
      </c>
      <c r="AI101">
        <v>7.7</v>
      </c>
      <c r="AL101">
        <v>65.03</v>
      </c>
      <c r="AM101">
        <v>64.59</v>
      </c>
      <c r="AN101">
        <v>77.27</v>
      </c>
      <c r="AO101">
        <v>59.2</v>
      </c>
      <c r="AP101">
        <v>57.8</v>
      </c>
      <c r="AQ101">
        <v>82.35</v>
      </c>
      <c r="AR101">
        <v>67.92</v>
      </c>
      <c r="AS101">
        <v>47.65</v>
      </c>
      <c r="AT101">
        <v>56.31</v>
      </c>
      <c r="AU101">
        <v>63.47</v>
      </c>
      <c r="AV101">
        <v>77.27</v>
      </c>
      <c r="AW101">
        <v>35.340000000000003</v>
      </c>
      <c r="AX101">
        <f t="shared" si="34"/>
        <v>56.305</v>
      </c>
      <c r="AY101">
        <v>41.93</v>
      </c>
      <c r="AZ101">
        <v>56.31</v>
      </c>
      <c r="BA101">
        <v>15.73</v>
      </c>
      <c r="BP101" s="1">
        <f t="shared" si="41"/>
        <v>23.833333333333332</v>
      </c>
      <c r="BQ101" s="1">
        <f t="shared" si="39"/>
        <v>54.153333333333336</v>
      </c>
      <c r="BR101" s="1">
        <f t="shared" si="40"/>
        <v>9.1333333333333329</v>
      </c>
    </row>
    <row r="102" spans="1:70" x14ac:dyDescent="0.25">
      <c r="A102" s="1"/>
      <c r="B102">
        <v>75.7</v>
      </c>
      <c r="C102">
        <v>62.45</v>
      </c>
      <c r="D102">
        <v>73.83</v>
      </c>
      <c r="E102">
        <v>60.77</v>
      </c>
      <c r="F102">
        <v>66.03</v>
      </c>
      <c r="G102">
        <v>78.28</v>
      </c>
      <c r="H102">
        <v>71.64</v>
      </c>
      <c r="I102">
        <v>43.81</v>
      </c>
      <c r="J102">
        <v>51.95</v>
      </c>
      <c r="K102">
        <v>69.88</v>
      </c>
      <c r="L102">
        <v>73.83</v>
      </c>
      <c r="M102">
        <v>30.08</v>
      </c>
      <c r="N102">
        <f t="shared" si="30"/>
        <v>51.954999999999998</v>
      </c>
      <c r="O102">
        <v>43.75</v>
      </c>
      <c r="P102">
        <v>51.95</v>
      </c>
      <c r="Q102">
        <v>8.58</v>
      </c>
      <c r="T102">
        <v>79.16</v>
      </c>
      <c r="U102">
        <v>69.28</v>
      </c>
      <c r="V102">
        <v>76.040000000000006</v>
      </c>
      <c r="W102">
        <v>68.88</v>
      </c>
      <c r="X102">
        <v>68.38</v>
      </c>
      <c r="Y102">
        <v>78.28</v>
      </c>
      <c r="Z102">
        <v>73</v>
      </c>
      <c r="AA102">
        <v>53.87</v>
      </c>
      <c r="AB102">
        <v>58.51</v>
      </c>
      <c r="AC102">
        <v>72.930000000000007</v>
      </c>
      <c r="AD102">
        <v>76.040000000000006</v>
      </c>
      <c r="AE102">
        <v>40.97</v>
      </c>
      <c r="AF102">
        <f t="shared" si="31"/>
        <v>58.505000000000003</v>
      </c>
      <c r="AG102">
        <v>35.07</v>
      </c>
      <c r="AH102">
        <v>58.51</v>
      </c>
      <c r="AI102">
        <v>22.42</v>
      </c>
      <c r="AL102">
        <v>79.58</v>
      </c>
      <c r="AM102">
        <v>64.739999999999995</v>
      </c>
      <c r="AN102">
        <v>87.89</v>
      </c>
      <c r="AO102">
        <v>72.180000000000007</v>
      </c>
      <c r="AP102">
        <v>63.55</v>
      </c>
      <c r="AQ102">
        <v>85.97</v>
      </c>
      <c r="AR102">
        <v>73.08</v>
      </c>
      <c r="AS102">
        <v>51.2</v>
      </c>
      <c r="AT102">
        <v>56.83</v>
      </c>
      <c r="AU102">
        <v>71.23</v>
      </c>
      <c r="AV102">
        <v>87.89</v>
      </c>
      <c r="AW102">
        <v>25.77</v>
      </c>
      <c r="AX102">
        <f t="shared" si="34"/>
        <v>56.83</v>
      </c>
      <c r="AY102">
        <v>62.13</v>
      </c>
      <c r="AZ102">
        <v>56.83</v>
      </c>
      <c r="BA102">
        <v>20.79</v>
      </c>
      <c r="BP102" s="1">
        <f t="shared" si="41"/>
        <v>46.983333333333327</v>
      </c>
      <c r="BQ102" s="1">
        <f t="shared" si="39"/>
        <v>55.763333333333343</v>
      </c>
      <c r="BR102" s="1">
        <f t="shared" si="40"/>
        <v>17.263333333333332</v>
      </c>
    </row>
    <row r="103" spans="1:70" x14ac:dyDescent="0.25">
      <c r="A103" s="1"/>
      <c r="B103">
        <v>66.790000000000006</v>
      </c>
      <c r="C103">
        <v>65.59</v>
      </c>
      <c r="D103">
        <v>65.489999999999995</v>
      </c>
      <c r="E103">
        <v>55.48</v>
      </c>
      <c r="F103">
        <v>57.87</v>
      </c>
      <c r="G103">
        <v>67.319999999999993</v>
      </c>
      <c r="H103">
        <v>62.24</v>
      </c>
      <c r="I103">
        <v>49.9</v>
      </c>
      <c r="J103">
        <v>56.93</v>
      </c>
      <c r="K103">
        <v>69.650000000000006</v>
      </c>
      <c r="L103">
        <v>65.489999999999995</v>
      </c>
      <c r="M103">
        <v>48.37</v>
      </c>
      <c r="N103">
        <f t="shared" si="30"/>
        <v>56.929999999999993</v>
      </c>
      <c r="O103">
        <v>17.11</v>
      </c>
      <c r="P103">
        <v>56.93</v>
      </c>
      <c r="Q103">
        <v>16.649999999999999</v>
      </c>
      <c r="T103">
        <v>63.77</v>
      </c>
      <c r="U103">
        <v>61.66</v>
      </c>
      <c r="V103">
        <v>77.16</v>
      </c>
      <c r="W103">
        <v>61.28</v>
      </c>
      <c r="X103">
        <v>55.09</v>
      </c>
      <c r="Y103">
        <v>77.78</v>
      </c>
      <c r="Z103">
        <v>64.5</v>
      </c>
      <c r="AA103">
        <v>48.18</v>
      </c>
      <c r="AB103">
        <v>56.97</v>
      </c>
      <c r="AC103">
        <v>64.48</v>
      </c>
      <c r="AD103">
        <v>77.16</v>
      </c>
      <c r="AE103">
        <v>36.78</v>
      </c>
      <c r="AF103">
        <f t="shared" si="31"/>
        <v>56.97</v>
      </c>
      <c r="AG103">
        <v>40.369999999999997</v>
      </c>
      <c r="AH103">
        <v>56.97</v>
      </c>
      <c r="AI103">
        <v>18.13</v>
      </c>
      <c r="AL103">
        <v>64.180000000000007</v>
      </c>
      <c r="AM103">
        <v>60.31</v>
      </c>
      <c r="AN103">
        <v>76.19</v>
      </c>
      <c r="AO103">
        <v>57.93</v>
      </c>
      <c r="AP103">
        <v>54.22</v>
      </c>
      <c r="AQ103">
        <v>79.739999999999995</v>
      </c>
      <c r="AR103">
        <v>64.55</v>
      </c>
      <c r="AS103">
        <v>44.66</v>
      </c>
      <c r="AT103">
        <v>52.85</v>
      </c>
      <c r="AU103">
        <v>63.16</v>
      </c>
      <c r="AV103">
        <v>76.19</v>
      </c>
      <c r="AW103">
        <v>29.5</v>
      </c>
      <c r="AX103">
        <f t="shared" si="34"/>
        <v>52.844999999999999</v>
      </c>
      <c r="AY103">
        <v>46.69</v>
      </c>
      <c r="AZ103">
        <v>52.85</v>
      </c>
      <c r="BA103">
        <v>10.97</v>
      </c>
      <c r="BP103" s="1">
        <f t="shared" si="41"/>
        <v>34.723333333333329</v>
      </c>
      <c r="BQ103" s="1">
        <f t="shared" si="39"/>
        <v>55.583333333333336</v>
      </c>
      <c r="BR103" s="1">
        <f t="shared" si="40"/>
        <v>15.25</v>
      </c>
    </row>
    <row r="104" spans="1:70" x14ac:dyDescent="0.25">
      <c r="B104">
        <v>63.82</v>
      </c>
      <c r="C104">
        <v>66.87</v>
      </c>
      <c r="D104">
        <v>54.64</v>
      </c>
      <c r="E104">
        <v>49.64</v>
      </c>
      <c r="F104">
        <v>63.12</v>
      </c>
      <c r="G104">
        <v>61.21</v>
      </c>
      <c r="H104">
        <v>62.15</v>
      </c>
      <c r="I104">
        <v>49.64</v>
      </c>
      <c r="J104">
        <v>54.71</v>
      </c>
      <c r="K104">
        <v>63.31</v>
      </c>
      <c r="L104">
        <v>54.64</v>
      </c>
      <c r="M104">
        <v>54.77</v>
      </c>
      <c r="N104">
        <f t="shared" si="30"/>
        <v>54.704999999999998</v>
      </c>
      <c r="O104">
        <v>0.13</v>
      </c>
      <c r="P104">
        <v>54.71</v>
      </c>
      <c r="Q104">
        <v>12.9</v>
      </c>
      <c r="T104">
        <v>65.91</v>
      </c>
      <c r="U104">
        <v>62.3</v>
      </c>
      <c r="V104">
        <v>68.31</v>
      </c>
      <c r="W104">
        <v>52.69</v>
      </c>
      <c r="X104">
        <v>56.21</v>
      </c>
      <c r="Y104">
        <v>72.73</v>
      </c>
      <c r="Z104">
        <v>63.41</v>
      </c>
      <c r="AA104">
        <v>44.93</v>
      </c>
      <c r="AB104">
        <v>54.01</v>
      </c>
      <c r="AC104">
        <v>63.68</v>
      </c>
      <c r="AD104">
        <v>68.31</v>
      </c>
      <c r="AE104">
        <v>39.700000000000003</v>
      </c>
      <c r="AF104">
        <f t="shared" si="31"/>
        <v>54.005000000000003</v>
      </c>
      <c r="AG104">
        <v>28.61</v>
      </c>
      <c r="AH104">
        <v>54.01</v>
      </c>
      <c r="AI104">
        <v>11.74</v>
      </c>
      <c r="AL104">
        <v>63.92</v>
      </c>
      <c r="AM104">
        <v>60.02</v>
      </c>
      <c r="AN104">
        <v>64.47</v>
      </c>
      <c r="AO104">
        <v>58.84</v>
      </c>
      <c r="AP104">
        <v>58.33</v>
      </c>
      <c r="AQ104">
        <v>70</v>
      </c>
      <c r="AR104">
        <v>63.64</v>
      </c>
      <c r="AS104">
        <v>44.92</v>
      </c>
      <c r="AT104">
        <v>53.71</v>
      </c>
      <c r="AU104">
        <v>62.05</v>
      </c>
      <c r="AV104">
        <v>64.47</v>
      </c>
      <c r="AW104">
        <v>42.94</v>
      </c>
      <c r="AX104">
        <f t="shared" si="34"/>
        <v>53.704999999999998</v>
      </c>
      <c r="AY104">
        <v>21.53</v>
      </c>
      <c r="AZ104">
        <v>53.71</v>
      </c>
      <c r="BA104">
        <v>9.0399999999999991</v>
      </c>
      <c r="BP104" s="1">
        <f>(O104+AG104+AY104)/3</f>
        <v>16.756666666666664</v>
      </c>
      <c r="BQ104" s="1">
        <f t="shared" si="39"/>
        <v>54.143333333333338</v>
      </c>
      <c r="BR104" s="1">
        <f t="shared" si="40"/>
        <v>11.226666666666667</v>
      </c>
    </row>
    <row r="105" spans="1:70" x14ac:dyDescent="0.25">
      <c r="B105" s="2">
        <f>AVERAGE(B99:B104)</f>
        <v>71.168333333333337</v>
      </c>
      <c r="C105" s="2">
        <f t="shared" ref="C105:BA105" si="42">AVERAGE(C99:C104)</f>
        <v>67.568333333333328</v>
      </c>
      <c r="D105" s="2">
        <f t="shared" si="42"/>
        <v>65.94</v>
      </c>
      <c r="E105" s="2">
        <f t="shared" si="42"/>
        <v>57.678333333333335</v>
      </c>
      <c r="F105" s="2">
        <f t="shared" si="42"/>
        <v>63.456666666666671</v>
      </c>
      <c r="G105" s="2">
        <f t="shared" si="42"/>
        <v>69.62833333333333</v>
      </c>
      <c r="H105" s="2">
        <f t="shared" si="42"/>
        <v>66.271666666666661</v>
      </c>
      <c r="I105" s="2">
        <f t="shared" si="42"/>
        <v>46.448333333333331</v>
      </c>
      <c r="J105" s="2">
        <f t="shared" si="42"/>
        <v>54.651666666666664</v>
      </c>
      <c r="K105" s="2">
        <f t="shared" si="42"/>
        <v>68.36</v>
      </c>
      <c r="L105" s="2">
        <f t="shared" si="42"/>
        <v>65.94</v>
      </c>
      <c r="M105" s="2">
        <f t="shared" si="42"/>
        <v>43.366666666666667</v>
      </c>
      <c r="N105" s="2">
        <f t="shared" si="42"/>
        <v>54.653333333333336</v>
      </c>
      <c r="O105" s="2">
        <f t="shared" si="42"/>
        <v>22.613333333333333</v>
      </c>
      <c r="P105" s="2">
        <f t="shared" si="42"/>
        <v>54.651666666666664</v>
      </c>
      <c r="Q105" s="2">
        <f t="shared" si="42"/>
        <v>12.556666666666667</v>
      </c>
      <c r="R105" s="2"/>
      <c r="S105" s="2"/>
      <c r="T105" s="2">
        <f t="shared" si="42"/>
        <v>70.75</v>
      </c>
      <c r="U105" s="2">
        <f t="shared" si="42"/>
        <v>61.744999999999997</v>
      </c>
      <c r="V105" s="2">
        <f t="shared" si="42"/>
        <v>70.056666666666658</v>
      </c>
      <c r="W105" s="2">
        <f t="shared" si="42"/>
        <v>60.771666666666668</v>
      </c>
      <c r="X105" s="2">
        <f t="shared" si="42"/>
        <v>60.879999999999995</v>
      </c>
      <c r="Y105" s="2">
        <f t="shared" si="42"/>
        <v>71.206666666666663</v>
      </c>
      <c r="Z105" s="2">
        <f t="shared" si="42"/>
        <v>65.424999999999997</v>
      </c>
      <c r="AA105" s="2">
        <f t="shared" si="42"/>
        <v>48.414999999999999</v>
      </c>
      <c r="AB105" s="2">
        <f t="shared" si="42"/>
        <v>56.12</v>
      </c>
      <c r="AC105" s="2">
        <f t="shared" si="42"/>
        <v>66.911666666666676</v>
      </c>
      <c r="AD105" s="2">
        <f t="shared" si="42"/>
        <v>70.056666666666658</v>
      </c>
      <c r="AE105" s="2">
        <f t="shared" si="42"/>
        <v>42.178333333333335</v>
      </c>
      <c r="AF105" s="2">
        <f t="shared" si="42"/>
        <v>56.1175</v>
      </c>
      <c r="AG105" s="2">
        <f t="shared" si="42"/>
        <v>27.87833333333333</v>
      </c>
      <c r="AH105" s="2">
        <f t="shared" si="42"/>
        <v>56.12</v>
      </c>
      <c r="AI105" s="2">
        <f t="shared" si="42"/>
        <v>16.59333333333333</v>
      </c>
      <c r="AJ105" s="2"/>
      <c r="AK105" s="2"/>
      <c r="AL105" s="2">
        <f t="shared" si="42"/>
        <v>71.040000000000006</v>
      </c>
      <c r="AM105" s="2">
        <f t="shared" si="42"/>
        <v>64.191666666666663</v>
      </c>
      <c r="AN105" s="2">
        <f t="shared" si="42"/>
        <v>74.441666666666663</v>
      </c>
      <c r="AO105" s="2">
        <f t="shared" si="42"/>
        <v>61.791666666666664</v>
      </c>
      <c r="AP105" s="2">
        <f t="shared" si="42"/>
        <v>61.338333333333338</v>
      </c>
      <c r="AQ105" s="2">
        <f t="shared" si="42"/>
        <v>76.766666666666666</v>
      </c>
      <c r="AR105" s="2">
        <f t="shared" si="42"/>
        <v>67.353333333333339</v>
      </c>
      <c r="AS105" s="2">
        <f t="shared" si="42"/>
        <v>47.384999999999998</v>
      </c>
      <c r="AT105" s="2">
        <f t="shared" si="42"/>
        <v>55.268333333333338</v>
      </c>
      <c r="AU105" s="2">
        <f t="shared" si="42"/>
        <v>65.541666666666657</v>
      </c>
      <c r="AV105" s="2">
        <f t="shared" si="42"/>
        <v>74.441666666666663</v>
      </c>
      <c r="AW105" s="2">
        <f t="shared" si="42"/>
        <v>36.089999999999996</v>
      </c>
      <c r="AX105" s="2">
        <f t="shared" si="42"/>
        <v>55.265833333333326</v>
      </c>
      <c r="AY105" s="2">
        <f t="shared" si="42"/>
        <v>42.333333333333336</v>
      </c>
      <c r="AZ105" s="2">
        <f t="shared" si="42"/>
        <v>55.268333333333338</v>
      </c>
      <c r="BA105" s="2">
        <f t="shared" si="42"/>
        <v>14.694999999999999</v>
      </c>
      <c r="BP105" s="2">
        <f>AVERAGE(BP99:BP104)</f>
        <v>30.941666666666663</v>
      </c>
      <c r="BQ105" s="2">
        <f t="shared" ref="BQ105:BR105" si="43">AVERAGE(BQ99:BQ104)</f>
        <v>55.346666666666664</v>
      </c>
      <c r="BR105" s="2">
        <f t="shared" si="43"/>
        <v>14.615</v>
      </c>
    </row>
    <row r="108" spans="1:70" x14ac:dyDescent="0.25">
      <c r="A108" s="1" t="s">
        <v>70</v>
      </c>
      <c r="B108">
        <v>83.48</v>
      </c>
      <c r="C108">
        <v>76.34</v>
      </c>
      <c r="D108">
        <v>78.91</v>
      </c>
      <c r="E108">
        <v>77.319999999999993</v>
      </c>
      <c r="F108">
        <v>77.19</v>
      </c>
      <c r="G108">
        <v>79.64</v>
      </c>
      <c r="H108">
        <v>78.400000000000006</v>
      </c>
      <c r="I108">
        <v>70.03</v>
      </c>
      <c r="J108">
        <v>70.709999999999994</v>
      </c>
      <c r="K108">
        <v>79.06</v>
      </c>
      <c r="L108">
        <v>78.91</v>
      </c>
      <c r="M108">
        <v>62.51</v>
      </c>
      <c r="N108">
        <f>(L108+M108)/2</f>
        <v>70.709999999999994</v>
      </c>
      <c r="O108">
        <v>16.399999999999999</v>
      </c>
      <c r="P108">
        <v>70.709999999999994</v>
      </c>
      <c r="Q108">
        <v>41.18</v>
      </c>
      <c r="S108" s="1" t="s">
        <v>70</v>
      </c>
      <c r="T108">
        <v>81.66</v>
      </c>
      <c r="U108">
        <v>78.680000000000007</v>
      </c>
      <c r="V108">
        <v>75.87</v>
      </c>
      <c r="W108">
        <v>76.930000000000007</v>
      </c>
      <c r="X108">
        <v>79.34</v>
      </c>
      <c r="Y108">
        <v>76.47</v>
      </c>
      <c r="Z108">
        <v>77.88</v>
      </c>
      <c r="AA108">
        <v>70.22</v>
      </c>
      <c r="AB108">
        <v>71.16</v>
      </c>
      <c r="AC108">
        <v>78.959999999999994</v>
      </c>
      <c r="AD108">
        <v>75.87</v>
      </c>
      <c r="AE108">
        <v>66.45</v>
      </c>
      <c r="AF108">
        <f>(AD108+AE108)/2</f>
        <v>71.16</v>
      </c>
      <c r="AG108">
        <v>9.41</v>
      </c>
      <c r="AH108">
        <v>71.16</v>
      </c>
      <c r="AI108">
        <v>41.56</v>
      </c>
      <c r="AK108" s="1" t="s">
        <v>70</v>
      </c>
      <c r="AL108">
        <v>83.32</v>
      </c>
      <c r="AM108">
        <v>75.84</v>
      </c>
      <c r="AN108">
        <v>76.89</v>
      </c>
      <c r="AO108">
        <v>75.53</v>
      </c>
      <c r="AP108">
        <v>75.78</v>
      </c>
      <c r="AQ108">
        <v>76.47</v>
      </c>
      <c r="AR108">
        <v>76.13</v>
      </c>
      <c r="AS108">
        <v>68.25</v>
      </c>
      <c r="AT108">
        <v>69.81</v>
      </c>
      <c r="AU108">
        <v>77.790000000000006</v>
      </c>
      <c r="AV108">
        <v>76.89</v>
      </c>
      <c r="AW108">
        <v>62.72</v>
      </c>
      <c r="AX108">
        <f>(AV108+AW108)/2</f>
        <v>69.805000000000007</v>
      </c>
      <c r="AY108">
        <v>14.17</v>
      </c>
      <c r="AZ108">
        <v>69.81</v>
      </c>
      <c r="BA108">
        <v>38.909999999999997</v>
      </c>
      <c r="BP108" s="1">
        <f>(O108+AG108+AY108)/3</f>
        <v>13.326666666666666</v>
      </c>
      <c r="BQ108" s="1">
        <f t="shared" ref="BQ108:BQ113" si="44">(P108+AH108+AZ108)/3</f>
        <v>70.56</v>
      </c>
      <c r="BR108" s="1">
        <f t="shared" ref="BR108:BR113" si="45">(Q108+AI108+BA108)/3</f>
        <v>40.550000000000004</v>
      </c>
    </row>
    <row r="109" spans="1:70" x14ac:dyDescent="0.25">
      <c r="B109">
        <v>77.84</v>
      </c>
      <c r="C109">
        <v>72.680000000000007</v>
      </c>
      <c r="D109">
        <v>73.98</v>
      </c>
      <c r="E109">
        <v>73.27</v>
      </c>
      <c r="F109">
        <v>75.11</v>
      </c>
      <c r="G109">
        <v>76.47</v>
      </c>
      <c r="H109">
        <v>75.78</v>
      </c>
      <c r="I109">
        <v>66.45</v>
      </c>
      <c r="J109">
        <v>66.13</v>
      </c>
      <c r="K109">
        <v>72.180000000000007</v>
      </c>
      <c r="L109">
        <v>73.98</v>
      </c>
      <c r="M109">
        <v>58.28</v>
      </c>
      <c r="N109">
        <f t="shared" ref="N109:N113" si="46">(L109+M109)/2</f>
        <v>66.13</v>
      </c>
      <c r="O109">
        <v>15.7</v>
      </c>
      <c r="P109">
        <v>66.13</v>
      </c>
      <c r="Q109">
        <v>33.18</v>
      </c>
      <c r="T109">
        <v>84.61</v>
      </c>
      <c r="U109">
        <v>82.01</v>
      </c>
      <c r="V109">
        <v>68.040000000000006</v>
      </c>
      <c r="W109">
        <v>72.81</v>
      </c>
      <c r="X109">
        <v>82.54</v>
      </c>
      <c r="Y109">
        <v>70.59</v>
      </c>
      <c r="Z109">
        <v>76.099999999999994</v>
      </c>
      <c r="AA109">
        <v>69.069999999999993</v>
      </c>
      <c r="AB109">
        <v>70.489999999999995</v>
      </c>
      <c r="AC109">
        <v>80.37</v>
      </c>
      <c r="AD109">
        <v>68.040000000000006</v>
      </c>
      <c r="AE109">
        <v>72.94</v>
      </c>
      <c r="AF109">
        <f t="shared" ref="AF109:AF113" si="47">(AD109+AE109)/2</f>
        <v>70.490000000000009</v>
      </c>
      <c r="AG109">
        <v>4.8899999999999997</v>
      </c>
      <c r="AH109">
        <v>70.489999999999995</v>
      </c>
      <c r="AI109">
        <v>41.56</v>
      </c>
      <c r="AL109">
        <v>82.22</v>
      </c>
      <c r="AM109">
        <v>76.709999999999994</v>
      </c>
      <c r="AN109">
        <v>76.41</v>
      </c>
      <c r="AO109">
        <v>76.290000000000006</v>
      </c>
      <c r="AP109">
        <v>78.540000000000006</v>
      </c>
      <c r="AQ109">
        <v>77.83</v>
      </c>
      <c r="AR109">
        <v>78.180000000000007</v>
      </c>
      <c r="AS109">
        <v>70.150000000000006</v>
      </c>
      <c r="AT109">
        <v>70.62</v>
      </c>
      <c r="AU109">
        <v>77.739999999999995</v>
      </c>
      <c r="AV109">
        <v>76.41</v>
      </c>
      <c r="AW109">
        <v>64.83</v>
      </c>
      <c r="AX109">
        <f t="shared" ref="AX109:AX113" si="48">(AV109+AW109)/2</f>
        <v>70.62</v>
      </c>
      <c r="AY109">
        <v>11.58</v>
      </c>
      <c r="AZ109">
        <v>70.62</v>
      </c>
      <c r="BA109">
        <v>41.33</v>
      </c>
      <c r="BP109" s="1">
        <f t="shared" ref="BP109:BP112" si="49">(O109+AG109+AY109)/3</f>
        <v>10.723333333333334</v>
      </c>
      <c r="BQ109" s="1">
        <f t="shared" si="44"/>
        <v>69.08</v>
      </c>
      <c r="BR109" s="1">
        <f t="shared" si="45"/>
        <v>38.690000000000005</v>
      </c>
    </row>
    <row r="110" spans="1:70" x14ac:dyDescent="0.25">
      <c r="B110">
        <v>73.569999999999993</v>
      </c>
      <c r="C110">
        <v>68.66</v>
      </c>
      <c r="D110">
        <v>74.290000000000006</v>
      </c>
      <c r="E110">
        <v>70.83</v>
      </c>
      <c r="F110">
        <v>72.39</v>
      </c>
      <c r="G110">
        <v>77.12</v>
      </c>
      <c r="H110">
        <v>74.680000000000007</v>
      </c>
      <c r="I110">
        <v>70.45</v>
      </c>
      <c r="J110">
        <v>71.38</v>
      </c>
      <c r="K110">
        <v>78.040000000000006</v>
      </c>
      <c r="L110">
        <v>74.290000000000006</v>
      </c>
      <c r="M110">
        <v>68.47</v>
      </c>
      <c r="N110">
        <f t="shared" si="46"/>
        <v>71.38</v>
      </c>
      <c r="O110">
        <v>5.83</v>
      </c>
      <c r="P110">
        <v>71.38</v>
      </c>
      <c r="Q110">
        <v>42.26</v>
      </c>
      <c r="T110">
        <v>73.709999999999994</v>
      </c>
      <c r="U110">
        <v>70.17</v>
      </c>
      <c r="V110">
        <v>67.739999999999995</v>
      </c>
      <c r="W110">
        <v>67.23</v>
      </c>
      <c r="X110">
        <v>72.599999999999994</v>
      </c>
      <c r="Y110">
        <v>69.28</v>
      </c>
      <c r="Z110">
        <v>70.900000000000006</v>
      </c>
      <c r="AA110">
        <v>68.930000000000007</v>
      </c>
      <c r="AB110">
        <v>70.540000000000006</v>
      </c>
      <c r="AC110">
        <v>78.8</v>
      </c>
      <c r="AD110">
        <v>67.739999999999995</v>
      </c>
      <c r="AE110">
        <v>73.34</v>
      </c>
      <c r="AF110">
        <f t="shared" si="47"/>
        <v>70.539999999999992</v>
      </c>
      <c r="AG110">
        <v>5.59</v>
      </c>
      <c r="AH110">
        <v>70.540000000000006</v>
      </c>
      <c r="AI110">
        <v>40.92</v>
      </c>
      <c r="AL110">
        <v>76.790000000000006</v>
      </c>
      <c r="AM110">
        <v>66.63</v>
      </c>
      <c r="AN110">
        <v>75.97</v>
      </c>
      <c r="AO110">
        <v>70.290000000000006</v>
      </c>
      <c r="AP110">
        <v>69.19</v>
      </c>
      <c r="AQ110">
        <v>77.78</v>
      </c>
      <c r="AR110">
        <v>73.23</v>
      </c>
      <c r="AS110">
        <v>69.400000000000006</v>
      </c>
      <c r="AT110">
        <v>70.98</v>
      </c>
      <c r="AU110">
        <v>78.8</v>
      </c>
      <c r="AV110">
        <v>75.97</v>
      </c>
      <c r="AW110">
        <v>65.989999999999995</v>
      </c>
      <c r="AX110">
        <f t="shared" si="48"/>
        <v>70.97999999999999</v>
      </c>
      <c r="AY110">
        <v>9.9700000000000006</v>
      </c>
      <c r="AZ110">
        <v>70.98</v>
      </c>
      <c r="BA110">
        <v>40.49</v>
      </c>
      <c r="BP110" s="1">
        <f t="shared" si="49"/>
        <v>7.13</v>
      </c>
      <c r="BQ110" s="1">
        <f t="shared" si="44"/>
        <v>70.966666666666683</v>
      </c>
      <c r="BR110" s="1">
        <f t="shared" si="45"/>
        <v>41.223333333333336</v>
      </c>
    </row>
    <row r="111" spans="1:70" x14ac:dyDescent="0.25">
      <c r="B111">
        <v>84.09</v>
      </c>
      <c r="C111">
        <v>76.3</v>
      </c>
      <c r="D111">
        <v>81.260000000000005</v>
      </c>
      <c r="E111">
        <v>77.959999999999994</v>
      </c>
      <c r="F111">
        <v>76.599999999999994</v>
      </c>
      <c r="G111">
        <v>81.45</v>
      </c>
      <c r="H111">
        <v>78.95</v>
      </c>
      <c r="I111">
        <v>71.150000000000006</v>
      </c>
      <c r="J111">
        <v>72.53</v>
      </c>
      <c r="K111">
        <v>78.430000000000007</v>
      </c>
      <c r="L111">
        <v>81.260000000000005</v>
      </c>
      <c r="M111">
        <v>63.8</v>
      </c>
      <c r="N111">
        <f t="shared" si="46"/>
        <v>72.53</v>
      </c>
      <c r="O111">
        <v>17.46</v>
      </c>
      <c r="P111">
        <v>72.53</v>
      </c>
      <c r="Q111">
        <v>44.81</v>
      </c>
      <c r="T111">
        <v>88.78</v>
      </c>
      <c r="U111">
        <v>87.86</v>
      </c>
      <c r="V111">
        <v>64.069999999999993</v>
      </c>
      <c r="W111">
        <v>72.58</v>
      </c>
      <c r="X111">
        <v>87.43</v>
      </c>
      <c r="Y111">
        <v>66.06</v>
      </c>
      <c r="Z111">
        <v>75.260000000000005</v>
      </c>
      <c r="AA111">
        <v>70.540000000000006</v>
      </c>
      <c r="AB111">
        <v>72.989999999999995</v>
      </c>
      <c r="AC111">
        <v>83.98</v>
      </c>
      <c r="AD111">
        <v>64.069999999999993</v>
      </c>
      <c r="AE111">
        <v>81.91</v>
      </c>
      <c r="AF111">
        <f t="shared" si="47"/>
        <v>72.989999999999995</v>
      </c>
      <c r="AG111">
        <v>17.829999999999998</v>
      </c>
      <c r="AH111">
        <v>72.989999999999995</v>
      </c>
      <c r="AI111">
        <v>46.39</v>
      </c>
      <c r="AL111">
        <v>85.47</v>
      </c>
      <c r="AM111">
        <v>78.67</v>
      </c>
      <c r="AN111">
        <v>73.94</v>
      </c>
      <c r="AO111">
        <v>75.75</v>
      </c>
      <c r="AP111">
        <v>79.709999999999994</v>
      </c>
      <c r="AQ111">
        <v>74.66</v>
      </c>
      <c r="AR111">
        <v>77.099999999999994</v>
      </c>
      <c r="AS111">
        <v>70.73</v>
      </c>
      <c r="AT111">
        <v>72.209999999999994</v>
      </c>
      <c r="AU111">
        <v>81.03</v>
      </c>
      <c r="AV111">
        <v>73.94</v>
      </c>
      <c r="AW111">
        <v>70.489999999999995</v>
      </c>
      <c r="AX111">
        <f t="shared" si="48"/>
        <v>72.215000000000003</v>
      </c>
      <c r="AY111">
        <v>3.45</v>
      </c>
      <c r="AZ111">
        <v>72.209999999999994</v>
      </c>
      <c r="BA111">
        <v>43.07</v>
      </c>
      <c r="BP111" s="1">
        <f t="shared" si="49"/>
        <v>12.913333333333334</v>
      </c>
      <c r="BQ111" s="1">
        <f t="shared" si="44"/>
        <v>72.576666666666654</v>
      </c>
      <c r="BR111" s="1">
        <f t="shared" si="45"/>
        <v>44.756666666666668</v>
      </c>
    </row>
    <row r="112" spans="1:70" x14ac:dyDescent="0.25">
      <c r="B112">
        <v>72.59</v>
      </c>
      <c r="C112">
        <v>71.12</v>
      </c>
      <c r="D112">
        <v>80.34</v>
      </c>
      <c r="E112">
        <v>74.8</v>
      </c>
      <c r="F112">
        <v>72.41</v>
      </c>
      <c r="G112">
        <v>82.35</v>
      </c>
      <c r="H112">
        <v>77.06</v>
      </c>
      <c r="I112">
        <v>71.66</v>
      </c>
      <c r="J112">
        <v>72.5</v>
      </c>
      <c r="K112">
        <v>78.319999999999993</v>
      </c>
      <c r="L112">
        <v>80.34</v>
      </c>
      <c r="M112">
        <v>64.66</v>
      </c>
      <c r="N112">
        <f t="shared" si="46"/>
        <v>72.5</v>
      </c>
      <c r="O112">
        <v>15.68</v>
      </c>
      <c r="P112">
        <v>72.5</v>
      </c>
      <c r="Q112">
        <v>45.88</v>
      </c>
      <c r="T112">
        <v>75.44</v>
      </c>
      <c r="U112">
        <v>77.84</v>
      </c>
      <c r="V112">
        <v>60.68</v>
      </c>
      <c r="W112">
        <v>66.48</v>
      </c>
      <c r="X112">
        <v>79.17</v>
      </c>
      <c r="Y112">
        <v>62.09</v>
      </c>
      <c r="Z112">
        <v>69.599999999999994</v>
      </c>
      <c r="AA112">
        <v>69.45</v>
      </c>
      <c r="AB112">
        <v>71.459999999999994</v>
      </c>
      <c r="AC112">
        <v>81.09</v>
      </c>
      <c r="AD112">
        <v>60.68</v>
      </c>
      <c r="AE112">
        <v>82.24</v>
      </c>
      <c r="AF112">
        <f t="shared" si="47"/>
        <v>71.459999999999994</v>
      </c>
      <c r="AG112">
        <v>21.56</v>
      </c>
      <c r="AH112">
        <v>71.459999999999994</v>
      </c>
      <c r="AI112">
        <v>43.67</v>
      </c>
      <c r="AL112">
        <v>75.540000000000006</v>
      </c>
      <c r="AM112">
        <v>71.7</v>
      </c>
      <c r="AN112">
        <v>77.569999999999993</v>
      </c>
      <c r="AO112">
        <v>73.11</v>
      </c>
      <c r="AP112">
        <v>73.010000000000005</v>
      </c>
      <c r="AQ112">
        <v>77.78</v>
      </c>
      <c r="AR112">
        <v>75.319999999999993</v>
      </c>
      <c r="AS112">
        <v>72.02</v>
      </c>
      <c r="AT112">
        <v>74.03</v>
      </c>
      <c r="AU112">
        <v>78.59</v>
      </c>
      <c r="AV112">
        <v>77.569999999999993</v>
      </c>
      <c r="AW112">
        <v>70.489999999999995</v>
      </c>
      <c r="AX112">
        <f t="shared" si="48"/>
        <v>74.03</v>
      </c>
      <c r="AY112">
        <v>7.07</v>
      </c>
      <c r="AZ112">
        <v>74.03</v>
      </c>
      <c r="BA112">
        <v>47.16</v>
      </c>
      <c r="BP112" s="1">
        <f t="shared" si="49"/>
        <v>14.769999999999998</v>
      </c>
      <c r="BQ112" s="1">
        <f t="shared" si="44"/>
        <v>72.663333333333327</v>
      </c>
      <c r="BR112" s="1">
        <f t="shared" si="45"/>
        <v>45.57</v>
      </c>
    </row>
    <row r="113" spans="1:70" x14ac:dyDescent="0.25">
      <c r="B113">
        <v>74.56</v>
      </c>
      <c r="C113">
        <v>65.22</v>
      </c>
      <c r="D113">
        <v>75.45</v>
      </c>
      <c r="E113">
        <v>68.239999999999995</v>
      </c>
      <c r="F113">
        <v>68.66</v>
      </c>
      <c r="G113">
        <v>76.36</v>
      </c>
      <c r="H113">
        <v>72.31</v>
      </c>
      <c r="I113">
        <v>66.63</v>
      </c>
      <c r="J113">
        <v>68.66</v>
      </c>
      <c r="K113">
        <v>76.06</v>
      </c>
      <c r="L113">
        <v>75.45</v>
      </c>
      <c r="M113">
        <v>61.87</v>
      </c>
      <c r="N113">
        <f t="shared" si="46"/>
        <v>68.66</v>
      </c>
      <c r="O113">
        <v>13.58</v>
      </c>
      <c r="P113">
        <v>68.66</v>
      </c>
      <c r="Q113">
        <v>36.630000000000003</v>
      </c>
      <c r="T113">
        <v>76.180000000000007</v>
      </c>
      <c r="U113">
        <v>73.989999999999995</v>
      </c>
      <c r="V113">
        <v>63.82</v>
      </c>
      <c r="W113">
        <v>66.47</v>
      </c>
      <c r="X113">
        <v>75.180000000000007</v>
      </c>
      <c r="Y113">
        <v>62.42</v>
      </c>
      <c r="Z113">
        <v>68.209999999999994</v>
      </c>
      <c r="AA113">
        <v>68.39</v>
      </c>
      <c r="AB113">
        <v>71.34</v>
      </c>
      <c r="AC113">
        <v>78.569999999999993</v>
      </c>
      <c r="AD113">
        <v>63.82</v>
      </c>
      <c r="AE113">
        <v>78.87</v>
      </c>
      <c r="AF113">
        <f t="shared" si="47"/>
        <v>71.344999999999999</v>
      </c>
      <c r="AG113">
        <v>15.04</v>
      </c>
      <c r="AH113">
        <v>71.34</v>
      </c>
      <c r="AI113">
        <v>41.23</v>
      </c>
      <c r="AL113">
        <v>78.709999999999994</v>
      </c>
      <c r="AM113">
        <v>66.52</v>
      </c>
      <c r="AN113">
        <v>75.849999999999994</v>
      </c>
      <c r="AO113">
        <v>68.95</v>
      </c>
      <c r="AP113">
        <v>69.75</v>
      </c>
      <c r="AQ113">
        <v>77.58</v>
      </c>
      <c r="AR113">
        <v>73.459999999999994</v>
      </c>
      <c r="AS113">
        <v>67.34</v>
      </c>
      <c r="AT113">
        <v>69.27</v>
      </c>
      <c r="AU113">
        <v>78.53</v>
      </c>
      <c r="AV113">
        <v>75.849999999999994</v>
      </c>
      <c r="AW113">
        <v>62.7</v>
      </c>
      <c r="AX113">
        <f t="shared" si="48"/>
        <v>69.275000000000006</v>
      </c>
      <c r="AY113">
        <v>13.15</v>
      </c>
      <c r="AZ113">
        <v>69.27</v>
      </c>
      <c r="BA113">
        <v>38.090000000000003</v>
      </c>
      <c r="BP113" s="1">
        <f>(O113+AG113+AY113)/3</f>
        <v>13.923333333333332</v>
      </c>
      <c r="BQ113" s="1">
        <f t="shared" si="44"/>
        <v>69.756666666666661</v>
      </c>
      <c r="BR113" s="1">
        <f t="shared" si="45"/>
        <v>38.65</v>
      </c>
    </row>
    <row r="114" spans="1:70" x14ac:dyDescent="0.25">
      <c r="B114" s="2">
        <f>AVERAGE(B108:B113)</f>
        <v>77.688333333333347</v>
      </c>
      <c r="C114" s="2">
        <f t="shared" ref="C114:Q114" si="50">AVERAGE(C108:C113)</f>
        <v>71.720000000000013</v>
      </c>
      <c r="D114" s="2">
        <f t="shared" si="50"/>
        <v>77.371666666666655</v>
      </c>
      <c r="E114" s="2">
        <f t="shared" si="50"/>
        <v>73.736666666666665</v>
      </c>
      <c r="F114" s="2">
        <f t="shared" si="50"/>
        <v>73.726666666666645</v>
      </c>
      <c r="G114" s="2">
        <f t="shared" si="50"/>
        <v>78.898333333333326</v>
      </c>
      <c r="H114" s="2">
        <f t="shared" si="50"/>
        <v>76.196666666666673</v>
      </c>
      <c r="I114" s="2">
        <f t="shared" si="50"/>
        <v>69.394999999999996</v>
      </c>
      <c r="J114" s="2">
        <f t="shared" si="50"/>
        <v>70.318333333333328</v>
      </c>
      <c r="K114" s="2">
        <f t="shared" si="50"/>
        <v>77.015000000000001</v>
      </c>
      <c r="L114" s="2">
        <f t="shared" si="50"/>
        <v>77.371666666666655</v>
      </c>
      <c r="M114" s="2">
        <f t="shared" si="50"/>
        <v>63.265000000000008</v>
      </c>
      <c r="N114" s="2">
        <f t="shared" si="50"/>
        <v>70.318333333333328</v>
      </c>
      <c r="O114" s="2">
        <f t="shared" si="50"/>
        <v>14.108333333333333</v>
      </c>
      <c r="P114" s="2">
        <f t="shared" si="50"/>
        <v>70.318333333333328</v>
      </c>
      <c r="Q114" s="2">
        <f t="shared" si="50"/>
        <v>40.656666666666666</v>
      </c>
      <c r="T114" s="2">
        <f t="shared" ref="T114:AI114" si="51">AVERAGE(T108:T113)</f>
        <v>80.063333333333333</v>
      </c>
      <c r="U114" s="2">
        <f t="shared" si="51"/>
        <v>78.425000000000011</v>
      </c>
      <c r="V114" s="2">
        <f t="shared" si="51"/>
        <v>66.703333333333333</v>
      </c>
      <c r="W114" s="2">
        <f t="shared" si="51"/>
        <v>70.416666666666671</v>
      </c>
      <c r="X114" s="2">
        <f t="shared" si="51"/>
        <v>79.376666666666665</v>
      </c>
      <c r="Y114" s="2">
        <f t="shared" si="51"/>
        <v>67.818333333333342</v>
      </c>
      <c r="Z114" s="2">
        <f t="shared" si="51"/>
        <v>72.99166666666666</v>
      </c>
      <c r="AA114" s="2">
        <f t="shared" si="51"/>
        <v>69.433333333333323</v>
      </c>
      <c r="AB114" s="2">
        <f t="shared" si="51"/>
        <v>71.33</v>
      </c>
      <c r="AC114" s="2">
        <f t="shared" si="51"/>
        <v>80.295000000000002</v>
      </c>
      <c r="AD114" s="2">
        <f t="shared" si="51"/>
        <v>66.703333333333333</v>
      </c>
      <c r="AE114" s="2">
        <f t="shared" si="51"/>
        <v>75.958333333333329</v>
      </c>
      <c r="AF114" s="2">
        <f t="shared" si="51"/>
        <v>71.330833333333331</v>
      </c>
      <c r="AG114" s="2">
        <f t="shared" si="51"/>
        <v>12.386666666666665</v>
      </c>
      <c r="AH114" s="2">
        <f t="shared" si="51"/>
        <v>71.33</v>
      </c>
      <c r="AI114" s="2">
        <f t="shared" si="51"/>
        <v>42.555</v>
      </c>
      <c r="AL114" s="2">
        <f>AVERAGE(AL108:AL113)</f>
        <v>80.341666666666654</v>
      </c>
      <c r="AM114" s="2">
        <f t="shared" ref="AM114:BA114" si="52">AVERAGE(AM108:AM113)</f>
        <v>72.678333333333327</v>
      </c>
      <c r="AN114" s="2">
        <f t="shared" si="52"/>
        <v>76.105000000000004</v>
      </c>
      <c r="AO114" s="2">
        <f t="shared" si="52"/>
        <v>73.320000000000007</v>
      </c>
      <c r="AP114" s="2">
        <f t="shared" si="52"/>
        <v>74.33</v>
      </c>
      <c r="AQ114" s="2">
        <f t="shared" si="52"/>
        <v>77.016666666666666</v>
      </c>
      <c r="AR114" s="2">
        <f t="shared" si="52"/>
        <v>75.569999999999993</v>
      </c>
      <c r="AS114" s="2">
        <f t="shared" si="52"/>
        <v>69.648333333333326</v>
      </c>
      <c r="AT114" s="2">
        <f t="shared" si="52"/>
        <v>71.153333333333322</v>
      </c>
      <c r="AU114" s="2">
        <f t="shared" si="52"/>
        <v>78.74666666666667</v>
      </c>
      <c r="AV114" s="2">
        <f t="shared" si="52"/>
        <v>76.105000000000004</v>
      </c>
      <c r="AW114" s="2">
        <f t="shared" si="52"/>
        <v>66.203333333333333</v>
      </c>
      <c r="AX114" s="2">
        <f t="shared" si="52"/>
        <v>71.154166666666654</v>
      </c>
      <c r="AY114" s="2">
        <f t="shared" si="52"/>
        <v>9.8983333333333334</v>
      </c>
      <c r="AZ114" s="2">
        <f t="shared" si="52"/>
        <v>71.153333333333322</v>
      </c>
      <c r="BA114" s="2">
        <f t="shared" si="52"/>
        <v>41.508333333333333</v>
      </c>
      <c r="BP114" s="2">
        <f>AVERAGE(BP108:BP113)</f>
        <v>12.13111111111111</v>
      </c>
      <c r="BQ114" s="2">
        <f t="shared" ref="BQ114:BR114" si="53">AVERAGE(BQ108:BQ113)</f>
        <v>70.933888888888887</v>
      </c>
      <c r="BR114" s="2">
        <f t="shared" si="53"/>
        <v>41.573333333333331</v>
      </c>
    </row>
    <row r="123" spans="1:70" x14ac:dyDescent="0.25">
      <c r="A123" s="2" t="s">
        <v>39</v>
      </c>
    </row>
    <row r="124" spans="1:70" x14ac:dyDescent="0.25">
      <c r="A124" s="2" t="s">
        <v>61</v>
      </c>
    </row>
    <row r="125" spans="1:70" x14ac:dyDescent="0.25">
      <c r="B125" t="s">
        <v>0</v>
      </c>
      <c r="C125" t="s">
        <v>1</v>
      </c>
      <c r="D125" t="s">
        <v>2</v>
      </c>
      <c r="E125" t="s">
        <v>3</v>
      </c>
      <c r="F125" t="s">
        <v>4</v>
      </c>
      <c r="G125" t="s">
        <v>5</v>
      </c>
      <c r="H125" t="s">
        <v>6</v>
      </c>
      <c r="I125" t="s">
        <v>7</v>
      </c>
      <c r="J125" t="s">
        <v>8</v>
      </c>
      <c r="K125" t="s">
        <v>9</v>
      </c>
      <c r="L125" s="2" t="s">
        <v>10</v>
      </c>
      <c r="M125" s="2" t="s">
        <v>11</v>
      </c>
      <c r="N125" s="2" t="s">
        <v>12</v>
      </c>
      <c r="O125" s="2" t="s">
        <v>13</v>
      </c>
      <c r="P125" t="s">
        <v>14</v>
      </c>
      <c r="Q125" s="2" t="s">
        <v>15</v>
      </c>
    </row>
    <row r="126" spans="1:70" x14ac:dyDescent="0.25">
      <c r="A126" t="s">
        <v>62</v>
      </c>
      <c r="B126">
        <v>58.19</v>
      </c>
      <c r="C126">
        <v>62.76</v>
      </c>
      <c r="D126">
        <v>47.735000000000007</v>
      </c>
      <c r="E126">
        <v>43.574999999999996</v>
      </c>
      <c r="F126">
        <v>54.686666666666667</v>
      </c>
      <c r="G126">
        <v>45.673333333333339</v>
      </c>
      <c r="H126">
        <v>49.755000000000003</v>
      </c>
      <c r="I126">
        <v>42.194999999999993</v>
      </c>
      <c r="J126">
        <v>51.46</v>
      </c>
      <c r="K126">
        <v>51.271666666666668</v>
      </c>
      <c r="L126">
        <v>47.735000000000007</v>
      </c>
      <c r="M126">
        <v>55.181666666666672</v>
      </c>
      <c r="N126">
        <v>51.458333333333336</v>
      </c>
      <c r="O126">
        <v>10.518333333333333</v>
      </c>
      <c r="P126">
        <v>51.46</v>
      </c>
      <c r="Q126">
        <v>3.7033333333333331</v>
      </c>
    </row>
    <row r="127" spans="1:70" x14ac:dyDescent="0.25">
      <c r="B127">
        <v>60.688333333333333</v>
      </c>
      <c r="C127">
        <v>64.473333333333329</v>
      </c>
      <c r="D127">
        <v>49.988333333333337</v>
      </c>
      <c r="E127">
        <v>46.933333333333337</v>
      </c>
      <c r="F127">
        <v>59.023333333333341</v>
      </c>
      <c r="G127">
        <v>50.786666666666669</v>
      </c>
      <c r="H127">
        <v>54.495000000000005</v>
      </c>
      <c r="I127">
        <v>45.471666666666664</v>
      </c>
      <c r="J127">
        <v>52.586666666666666</v>
      </c>
      <c r="K127">
        <v>54.931666666666665</v>
      </c>
      <c r="L127">
        <v>49.988333333333337</v>
      </c>
      <c r="M127">
        <v>55.181666666666672</v>
      </c>
      <c r="N127">
        <v>52.585000000000001</v>
      </c>
      <c r="O127">
        <v>6.1449999999999996</v>
      </c>
      <c r="P127">
        <v>52.586666666666666</v>
      </c>
      <c r="Q127">
        <v>6.5100000000000007</v>
      </c>
    </row>
    <row r="128" spans="1:70" x14ac:dyDescent="0.25">
      <c r="B128">
        <v>58.711666666666666</v>
      </c>
      <c r="C128">
        <v>61.904999999999994</v>
      </c>
      <c r="D128">
        <v>44.211666666666666</v>
      </c>
      <c r="E128">
        <v>43.54666666666666</v>
      </c>
      <c r="F128">
        <v>59.768333333333338</v>
      </c>
      <c r="G128">
        <v>47.053333333333335</v>
      </c>
      <c r="H128">
        <v>52.481666666666662</v>
      </c>
      <c r="I128">
        <v>43.633333333333326</v>
      </c>
      <c r="J128">
        <v>50.036666666666669</v>
      </c>
      <c r="K128">
        <v>51.87166666666667</v>
      </c>
      <c r="L128">
        <v>44.211666666666666</v>
      </c>
      <c r="M128">
        <v>55.865000000000002</v>
      </c>
      <c r="N128">
        <v>50.038333333333334</v>
      </c>
      <c r="O128">
        <v>11.655000000000001</v>
      </c>
      <c r="P128">
        <v>50.036666666666669</v>
      </c>
      <c r="Q128">
        <v>0.45333333333333337</v>
      </c>
    </row>
    <row r="129" spans="1:17" x14ac:dyDescent="0.25">
      <c r="B129" s="2">
        <f>AVERAGE(B126:B128)</f>
        <v>59.196666666666665</v>
      </c>
      <c r="C129" s="2">
        <f t="shared" ref="C129:Q129" si="54">AVERAGE(C126:C128)</f>
        <v>63.046111111111109</v>
      </c>
      <c r="D129" s="2">
        <f t="shared" si="54"/>
        <v>47.311666666666667</v>
      </c>
      <c r="E129" s="2">
        <f t="shared" si="54"/>
        <v>44.684999999999995</v>
      </c>
      <c r="F129" s="2">
        <f t="shared" si="54"/>
        <v>57.826111111111118</v>
      </c>
      <c r="G129" s="2">
        <f t="shared" si="54"/>
        <v>47.837777777777781</v>
      </c>
      <c r="H129" s="2">
        <f t="shared" si="54"/>
        <v>52.243888888888883</v>
      </c>
      <c r="I129" s="2">
        <f t="shared" si="54"/>
        <v>43.766666666666659</v>
      </c>
      <c r="J129" s="2">
        <f t="shared" si="54"/>
        <v>51.361111111111114</v>
      </c>
      <c r="K129" s="2">
        <f t="shared" si="54"/>
        <v>52.691666666666663</v>
      </c>
      <c r="L129" s="2">
        <f t="shared" si="54"/>
        <v>47.311666666666667</v>
      </c>
      <c r="M129" s="2">
        <f t="shared" si="54"/>
        <v>55.409444444444453</v>
      </c>
      <c r="N129" s="2">
        <f t="shared" si="54"/>
        <v>51.360555555555557</v>
      </c>
      <c r="O129" s="2">
        <f t="shared" si="54"/>
        <v>9.4394444444444456</v>
      </c>
      <c r="P129" s="2">
        <f t="shared" si="54"/>
        <v>51.361111111111114</v>
      </c>
      <c r="Q129" s="2">
        <f t="shared" si="54"/>
        <v>3.5555555555555558</v>
      </c>
    </row>
    <row r="130" spans="1:17" x14ac:dyDescent="0.25">
      <c r="B130" s="2">
        <f>_xlfn.STDEV.S(B126:B128)</f>
        <v>1.31789078117692</v>
      </c>
      <c r="C130" s="2">
        <f t="shared" ref="C130:Q130" si="55">_xlfn.STDEV.S(C126:C128)</f>
        <v>1.3078527071898063</v>
      </c>
      <c r="D130" s="2">
        <f t="shared" si="55"/>
        <v>2.911507818601522</v>
      </c>
      <c r="E130" s="2">
        <f t="shared" si="55"/>
        <v>1.9471653185535631</v>
      </c>
      <c r="F130" s="2">
        <f t="shared" si="55"/>
        <v>2.7442375653020332</v>
      </c>
      <c r="G130" s="2">
        <f t="shared" si="55"/>
        <v>2.6453845201140895</v>
      </c>
      <c r="H130" s="2">
        <f t="shared" si="55"/>
        <v>2.378929108591449</v>
      </c>
      <c r="I130" s="2">
        <f t="shared" si="55"/>
        <v>1.6423974684723706</v>
      </c>
      <c r="J130" s="2">
        <f t="shared" si="55"/>
        <v>1.277872943316062</v>
      </c>
      <c r="K130" s="2">
        <f t="shared" si="55"/>
        <v>1.9629569531703928</v>
      </c>
      <c r="L130" s="2">
        <f t="shared" si="55"/>
        <v>2.911507818601522</v>
      </c>
      <c r="M130" s="2">
        <f t="shared" si="55"/>
        <v>0.39452268394624235</v>
      </c>
      <c r="N130" s="2">
        <f t="shared" si="55"/>
        <v>1.2761458177450369</v>
      </c>
      <c r="O130" s="2">
        <f t="shared" si="55"/>
        <v>2.9091280353270643</v>
      </c>
      <c r="P130" s="2">
        <f t="shared" si="55"/>
        <v>1.277872943316062</v>
      </c>
      <c r="Q130" s="2">
        <f t="shared" si="55"/>
        <v>3.0310363708608778</v>
      </c>
    </row>
    <row r="132" spans="1:17" x14ac:dyDescent="0.25">
      <c r="A132" t="s">
        <v>63</v>
      </c>
      <c r="B132">
        <v>59.68</v>
      </c>
      <c r="C132">
        <v>61.205000000000005</v>
      </c>
      <c r="D132">
        <v>50.77</v>
      </c>
      <c r="E132">
        <v>50.215000000000003</v>
      </c>
      <c r="F132">
        <v>58.805000000000007</v>
      </c>
      <c r="G132">
        <v>52.476666666666659</v>
      </c>
      <c r="H132">
        <v>55.278333333333329</v>
      </c>
      <c r="I132">
        <v>46.801666666666669</v>
      </c>
      <c r="J132">
        <v>52.019999999999989</v>
      </c>
      <c r="K132">
        <v>55.1</v>
      </c>
      <c r="L132">
        <v>50.77</v>
      </c>
      <c r="M132">
        <v>53.265000000000008</v>
      </c>
      <c r="N132">
        <v>52.017499999999991</v>
      </c>
      <c r="O132">
        <v>4.4483333333333333</v>
      </c>
      <c r="P132">
        <v>52.019999999999989</v>
      </c>
      <c r="Q132">
        <v>3.76</v>
      </c>
    </row>
    <row r="133" spans="1:17" x14ac:dyDescent="0.25">
      <c r="B133">
        <v>61.471666666666671</v>
      </c>
      <c r="C133">
        <v>62.945</v>
      </c>
      <c r="D133">
        <v>63.223333333333336</v>
      </c>
      <c r="E133">
        <v>57.77</v>
      </c>
      <c r="F133">
        <v>61.324999999999996</v>
      </c>
      <c r="G133">
        <v>64.873333333333335</v>
      </c>
      <c r="H133">
        <v>62.69</v>
      </c>
      <c r="I133">
        <v>50.986666666666672</v>
      </c>
      <c r="J133">
        <v>55.168333333333329</v>
      </c>
      <c r="K133">
        <v>57.391666666666673</v>
      </c>
      <c r="L133">
        <v>63.223333333333336</v>
      </c>
      <c r="M133">
        <v>47.111666666666672</v>
      </c>
      <c r="N133">
        <v>55.167499999999997</v>
      </c>
      <c r="O133">
        <v>19.478333333333335</v>
      </c>
      <c r="P133">
        <v>55.168333333333329</v>
      </c>
      <c r="Q133">
        <v>11.26</v>
      </c>
    </row>
    <row r="134" spans="1:17" x14ac:dyDescent="0.25">
      <c r="B134">
        <v>57.784999999999997</v>
      </c>
      <c r="C134">
        <v>56.401666666666664</v>
      </c>
      <c r="D134">
        <v>50.914999999999999</v>
      </c>
      <c r="E134">
        <v>49.42166666666666</v>
      </c>
      <c r="F134">
        <v>54.72</v>
      </c>
      <c r="G134">
        <v>49.803333333333335</v>
      </c>
      <c r="H134">
        <v>51.716666666666669</v>
      </c>
      <c r="I134">
        <v>45.468333333333334</v>
      </c>
      <c r="J134">
        <v>51.196666666666658</v>
      </c>
      <c r="K134">
        <v>51.140000000000008</v>
      </c>
      <c r="L134">
        <v>50.914999999999999</v>
      </c>
      <c r="M134">
        <v>51.475000000000001</v>
      </c>
      <c r="N134">
        <v>51.194999999999993</v>
      </c>
      <c r="O134">
        <v>15.51</v>
      </c>
      <c r="P134">
        <v>51.196666666666658</v>
      </c>
      <c r="Q134">
        <v>2.5733333333333328</v>
      </c>
    </row>
    <row r="135" spans="1:17" x14ac:dyDescent="0.25">
      <c r="B135" s="2">
        <f>AVERAGE(B132:B134)</f>
        <v>59.645555555555553</v>
      </c>
      <c r="C135" s="2">
        <f t="shared" ref="C135:Q135" si="56">AVERAGE(C132:C134)</f>
        <v>60.183888888888895</v>
      </c>
      <c r="D135" s="2">
        <f t="shared" si="56"/>
        <v>54.969444444444441</v>
      </c>
      <c r="E135" s="2">
        <f t="shared" si="56"/>
        <v>52.468888888888891</v>
      </c>
      <c r="F135" s="2">
        <f t="shared" si="56"/>
        <v>58.283333333333331</v>
      </c>
      <c r="G135" s="2">
        <f t="shared" si="56"/>
        <v>55.717777777777776</v>
      </c>
      <c r="H135" s="2">
        <f t="shared" si="56"/>
        <v>56.561666666666667</v>
      </c>
      <c r="I135" s="2">
        <f t="shared" si="56"/>
        <v>47.752222222222223</v>
      </c>
      <c r="J135" s="2">
        <f t="shared" si="56"/>
        <v>52.794999999999995</v>
      </c>
      <c r="K135" s="2">
        <f t="shared" si="56"/>
        <v>54.543888888888894</v>
      </c>
      <c r="L135" s="2">
        <f t="shared" si="56"/>
        <v>54.969444444444441</v>
      </c>
      <c r="M135" s="2">
        <f t="shared" si="56"/>
        <v>50.617222222222232</v>
      </c>
      <c r="N135" s="2">
        <f t="shared" si="56"/>
        <v>52.793333333333329</v>
      </c>
      <c r="O135" s="2">
        <f t="shared" si="56"/>
        <v>13.145555555555555</v>
      </c>
      <c r="P135" s="2">
        <f t="shared" si="56"/>
        <v>52.794999999999995</v>
      </c>
      <c r="Q135" s="2">
        <f t="shared" si="56"/>
        <v>5.8644444444444446</v>
      </c>
    </row>
    <row r="136" spans="1:17" x14ac:dyDescent="0.25">
      <c r="B136" s="2">
        <f>_xlfn.STDEV.S(B132:B134)</f>
        <v>1.8435746777911133</v>
      </c>
      <c r="C136" s="2">
        <f t="shared" ref="C136:Q136" si="57">_xlfn.STDEV.S(C132:C134)</f>
        <v>3.3890712154960272</v>
      </c>
      <c r="D136" s="2">
        <f t="shared" si="57"/>
        <v>7.1484451171281229</v>
      </c>
      <c r="E136" s="2">
        <f t="shared" si="57"/>
        <v>4.6080015954536879</v>
      </c>
      <c r="F136" s="2">
        <f t="shared" si="57"/>
        <v>3.3332579158134954</v>
      </c>
      <c r="G136" s="2">
        <f t="shared" si="57"/>
        <v>8.0408224657633909</v>
      </c>
      <c r="H136" s="2">
        <f t="shared" si="57"/>
        <v>5.5980996279491517</v>
      </c>
      <c r="I136" s="2">
        <f t="shared" si="57"/>
        <v>2.8793519396893124</v>
      </c>
      <c r="J136" s="2">
        <f t="shared" si="57"/>
        <v>2.0961876771362316</v>
      </c>
      <c r="K136" s="2">
        <f t="shared" si="57"/>
        <v>3.1627169812842402</v>
      </c>
      <c r="L136" s="2">
        <f t="shared" si="57"/>
        <v>7.1484451171281229</v>
      </c>
      <c r="M136" s="2">
        <f t="shared" si="57"/>
        <v>3.1650773789616609</v>
      </c>
      <c r="N136" s="2">
        <f t="shared" si="57"/>
        <v>2.09681355473808</v>
      </c>
      <c r="O136" s="2">
        <f t="shared" si="57"/>
        <v>7.7889776702817803</v>
      </c>
      <c r="P136" s="2">
        <f t="shared" si="57"/>
        <v>2.0961876771362316</v>
      </c>
      <c r="Q136" s="2">
        <f t="shared" si="57"/>
        <v>4.7102079847135458</v>
      </c>
    </row>
    <row r="138" spans="1:17" x14ac:dyDescent="0.25">
      <c r="A138" s="1" t="s">
        <v>65</v>
      </c>
      <c r="B138">
        <v>59.906666666666666</v>
      </c>
      <c r="C138">
        <v>60.533333333333331</v>
      </c>
      <c r="D138">
        <v>66.951666666666668</v>
      </c>
      <c r="E138">
        <v>54.121666666666663</v>
      </c>
      <c r="F138">
        <v>55.108333333333341</v>
      </c>
      <c r="G138">
        <v>64.331666666666663</v>
      </c>
      <c r="H138">
        <v>59.20333333333334</v>
      </c>
      <c r="I138">
        <v>42.976666666666667</v>
      </c>
      <c r="J138">
        <v>51.723333333333336</v>
      </c>
      <c r="K138">
        <v>54.286666666666669</v>
      </c>
      <c r="L138">
        <v>66.951666666666668</v>
      </c>
      <c r="M138">
        <v>36.501666666666665</v>
      </c>
      <c r="N138">
        <v>51.726666666666667</v>
      </c>
      <c r="O138">
        <v>30.448333333333334</v>
      </c>
      <c r="P138">
        <v>51.723333333333336</v>
      </c>
      <c r="Q138">
        <v>4.4149999999999991</v>
      </c>
    </row>
    <row r="139" spans="1:17" x14ac:dyDescent="0.25">
      <c r="B139">
        <v>60.811666666666667</v>
      </c>
      <c r="C139">
        <v>67.62833333333333</v>
      </c>
      <c r="D139">
        <v>43.098333333333336</v>
      </c>
      <c r="E139">
        <v>34.958333333333336</v>
      </c>
      <c r="F139">
        <v>59.205000000000005</v>
      </c>
      <c r="G139">
        <v>43.745000000000005</v>
      </c>
      <c r="H139">
        <v>48.01</v>
      </c>
      <c r="I139">
        <v>37.434999999999995</v>
      </c>
      <c r="J139">
        <v>50.886666666666663</v>
      </c>
      <c r="K139">
        <v>54.44166666666667</v>
      </c>
      <c r="L139">
        <v>43.098333333333336</v>
      </c>
      <c r="M139">
        <v>58.680000000000007</v>
      </c>
      <c r="N139">
        <v>50.889166666666675</v>
      </c>
      <c r="O139">
        <v>27.248333333333335</v>
      </c>
      <c r="P139">
        <v>50.886666666666663</v>
      </c>
      <c r="Q139">
        <v>2.7233333333333332</v>
      </c>
    </row>
    <row r="140" spans="1:17" x14ac:dyDescent="0.25">
      <c r="B140">
        <v>60.793333333333329</v>
      </c>
      <c r="C140">
        <v>61.661666666666662</v>
      </c>
      <c r="D140">
        <v>68.673333333333332</v>
      </c>
      <c r="E140">
        <v>57.19</v>
      </c>
      <c r="F140">
        <v>56.77000000000001</v>
      </c>
      <c r="G140">
        <v>67.408333333333346</v>
      </c>
      <c r="H140">
        <v>61.441666666666663</v>
      </c>
      <c r="I140">
        <v>45.56</v>
      </c>
      <c r="J140">
        <v>52.241666666666667</v>
      </c>
      <c r="K140">
        <v>54.918333333333329</v>
      </c>
      <c r="L140">
        <v>68.673333333333332</v>
      </c>
      <c r="M140">
        <v>35.811666666666667</v>
      </c>
      <c r="N140">
        <v>52.242500000000007</v>
      </c>
      <c r="O140">
        <v>32.86</v>
      </c>
      <c r="P140">
        <v>52.241666666666667</v>
      </c>
      <c r="Q140">
        <v>4.6399999999999997</v>
      </c>
    </row>
    <row r="141" spans="1:17" x14ac:dyDescent="0.25">
      <c r="B141" s="2">
        <f>AVERAGE(B138:B140)</f>
        <v>60.503888888888888</v>
      </c>
      <c r="C141" s="2">
        <f t="shared" ref="C141:Q141" si="58">AVERAGE(C138:C140)</f>
        <v>63.274444444444441</v>
      </c>
      <c r="D141" s="2">
        <f t="shared" si="58"/>
        <v>59.574444444444453</v>
      </c>
      <c r="E141" s="2">
        <f t="shared" si="58"/>
        <v>48.756666666666661</v>
      </c>
      <c r="F141" s="2">
        <f t="shared" si="58"/>
        <v>57.027777777777793</v>
      </c>
      <c r="G141" s="2">
        <f t="shared" si="58"/>
        <v>58.495000000000005</v>
      </c>
      <c r="H141" s="2">
        <f t="shared" si="58"/>
        <v>56.218333333333334</v>
      </c>
      <c r="I141" s="2">
        <f t="shared" si="58"/>
        <v>41.990555555555552</v>
      </c>
      <c r="J141" s="2">
        <f t="shared" si="58"/>
        <v>51.617222222222217</v>
      </c>
      <c r="K141" s="2">
        <f t="shared" si="58"/>
        <v>54.548888888888889</v>
      </c>
      <c r="L141" s="2">
        <f t="shared" si="58"/>
        <v>59.574444444444453</v>
      </c>
      <c r="M141" s="2">
        <f t="shared" si="58"/>
        <v>43.664444444444449</v>
      </c>
      <c r="N141" s="2">
        <f t="shared" si="58"/>
        <v>51.619444444444447</v>
      </c>
      <c r="O141" s="2">
        <f t="shared" si="58"/>
        <v>30.185555555555556</v>
      </c>
      <c r="P141" s="2">
        <f t="shared" si="58"/>
        <v>51.617222222222217</v>
      </c>
      <c r="Q141" s="2">
        <f t="shared" si="58"/>
        <v>3.9261111111111107</v>
      </c>
    </row>
    <row r="142" spans="1:17" x14ac:dyDescent="0.25">
      <c r="B142" s="2">
        <f>_xlfn.STDEV.S(B138:B140)</f>
        <v>0.51729084161119088</v>
      </c>
      <c r="C142" s="2">
        <f t="shared" ref="C142:Q142" si="59">_xlfn.STDEV.S(C138:C140)</f>
        <v>3.8125510318381797</v>
      </c>
      <c r="D142" s="2">
        <f t="shared" si="59"/>
        <v>14.294674254317064</v>
      </c>
      <c r="E142" s="2">
        <f t="shared" si="59"/>
        <v>12.047786910650638</v>
      </c>
      <c r="F142" s="2">
        <f t="shared" si="59"/>
        <v>2.0604626862628392</v>
      </c>
      <c r="G142" s="2">
        <f t="shared" si="59"/>
        <v>12.866170543112048</v>
      </c>
      <c r="H142" s="2">
        <f t="shared" si="59"/>
        <v>7.1961855250619413</v>
      </c>
      <c r="I142" s="2">
        <f t="shared" si="59"/>
        <v>4.1512910753875856</v>
      </c>
      <c r="J142" s="2">
        <f t="shared" si="59"/>
        <v>0.68370382909994665</v>
      </c>
      <c r="K142" s="2">
        <f t="shared" si="59"/>
        <v>0.32920077179154028</v>
      </c>
      <c r="L142" s="2">
        <f t="shared" si="59"/>
        <v>14.294674254317064</v>
      </c>
      <c r="M142" s="2">
        <f t="shared" si="59"/>
        <v>13.008428286364257</v>
      </c>
      <c r="N142" s="2">
        <f t="shared" si="59"/>
        <v>0.68300822211850387</v>
      </c>
      <c r="O142" s="2">
        <f t="shared" si="59"/>
        <v>2.815047035986221</v>
      </c>
      <c r="P142" s="2">
        <f t="shared" si="59"/>
        <v>0.68370382909994665</v>
      </c>
      <c r="Q142" s="2">
        <f t="shared" si="59"/>
        <v>1.0476936751918628</v>
      </c>
    </row>
    <row r="144" spans="1:17" x14ac:dyDescent="0.25">
      <c r="A144" s="1" t="s">
        <v>17</v>
      </c>
      <c r="B144">
        <v>61.741666666666667</v>
      </c>
      <c r="C144">
        <v>66.646666666666661</v>
      </c>
      <c r="D144">
        <v>37.771666666666668</v>
      </c>
      <c r="E144">
        <v>37.741666666666667</v>
      </c>
      <c r="F144">
        <v>56.87833333333333</v>
      </c>
      <c r="G144">
        <v>34.865000000000002</v>
      </c>
      <c r="H144">
        <v>42.071666666666665</v>
      </c>
      <c r="I144">
        <v>42.481666666666676</v>
      </c>
      <c r="J144">
        <v>53.068333333333328</v>
      </c>
      <c r="K144">
        <v>55.925000000000004</v>
      </c>
      <c r="L144">
        <v>37.771666666666668</v>
      </c>
      <c r="M144">
        <v>68.364999999999995</v>
      </c>
      <c r="N144">
        <v>53.068333333333328</v>
      </c>
      <c r="O144">
        <v>30.594999999999999</v>
      </c>
      <c r="P144">
        <v>53.068333333333328</v>
      </c>
      <c r="Q144">
        <v>6.6099999999999994</v>
      </c>
    </row>
    <row r="145" spans="1:17" x14ac:dyDescent="0.25">
      <c r="B145">
        <v>61.441666666666663</v>
      </c>
      <c r="C145">
        <v>71.228333333333339</v>
      </c>
      <c r="D145">
        <v>52.216666666666669</v>
      </c>
      <c r="E145">
        <v>47.543333333333329</v>
      </c>
      <c r="F145">
        <v>61.211666666666673</v>
      </c>
      <c r="G145">
        <v>56.185000000000002</v>
      </c>
      <c r="H145">
        <v>58.49666666666667</v>
      </c>
      <c r="I145">
        <v>44.776666666666671</v>
      </c>
      <c r="J145">
        <v>51.743333333333339</v>
      </c>
      <c r="K145">
        <v>55.669999999999995</v>
      </c>
      <c r="L145">
        <v>52.216666666666669</v>
      </c>
      <c r="M145">
        <v>51.271666666666668</v>
      </c>
      <c r="N145">
        <v>51.744166666666665</v>
      </c>
      <c r="O145">
        <v>4.6533333333333333</v>
      </c>
      <c r="P145">
        <v>51.743333333333339</v>
      </c>
      <c r="Q145">
        <v>4.0949999999999998</v>
      </c>
    </row>
    <row r="146" spans="1:17" x14ac:dyDescent="0.25">
      <c r="B146">
        <v>61.831666666666671</v>
      </c>
      <c r="C146">
        <v>65.646666666666661</v>
      </c>
      <c r="D146">
        <v>55.418333333333344</v>
      </c>
      <c r="E146">
        <v>50.333333333333336</v>
      </c>
      <c r="F146">
        <v>56.404999999999994</v>
      </c>
      <c r="G146">
        <v>52.318333333333328</v>
      </c>
      <c r="H146">
        <v>54.155000000000001</v>
      </c>
      <c r="I146">
        <v>46.968333333333334</v>
      </c>
      <c r="J146">
        <v>54.449999999999996</v>
      </c>
      <c r="K146">
        <v>57.478333333333332</v>
      </c>
      <c r="L146">
        <v>55.418333333333344</v>
      </c>
      <c r="M146">
        <v>53.48</v>
      </c>
      <c r="N146">
        <v>54.449166666666663</v>
      </c>
      <c r="O146">
        <v>6.3299999999999992</v>
      </c>
      <c r="P146">
        <v>54.449999999999996</v>
      </c>
      <c r="Q146">
        <v>9.4583333333333339</v>
      </c>
    </row>
    <row r="147" spans="1:17" x14ac:dyDescent="0.25">
      <c r="B147" s="2">
        <f>AVERAGE(B144:B146)</f>
        <v>61.671666666666674</v>
      </c>
      <c r="C147" s="2">
        <f t="shared" ref="C147:Q147" si="60">AVERAGE(C144:C146)</f>
        <v>67.840555555555554</v>
      </c>
      <c r="D147" s="2">
        <f t="shared" si="60"/>
        <v>48.468888888888898</v>
      </c>
      <c r="E147" s="2">
        <f t="shared" si="60"/>
        <v>45.206111111111113</v>
      </c>
      <c r="F147" s="2">
        <f t="shared" si="60"/>
        <v>58.164999999999999</v>
      </c>
      <c r="G147" s="2">
        <f t="shared" si="60"/>
        <v>47.789444444444449</v>
      </c>
      <c r="H147" s="2">
        <f t="shared" si="60"/>
        <v>51.574444444444445</v>
      </c>
      <c r="I147" s="2">
        <f t="shared" si="60"/>
        <v>44.742222222222232</v>
      </c>
      <c r="J147" s="2">
        <f t="shared" si="60"/>
        <v>53.087222222222216</v>
      </c>
      <c r="K147" s="2">
        <f t="shared" si="60"/>
        <v>56.357777777777777</v>
      </c>
      <c r="L147" s="2">
        <f t="shared" si="60"/>
        <v>48.468888888888898</v>
      </c>
      <c r="M147" s="2">
        <f t="shared" si="60"/>
        <v>57.705555555555549</v>
      </c>
      <c r="N147" s="2">
        <f t="shared" si="60"/>
        <v>53.087222222222216</v>
      </c>
      <c r="O147" s="2">
        <f t="shared" si="60"/>
        <v>13.859444444444444</v>
      </c>
      <c r="P147" s="2">
        <f t="shared" si="60"/>
        <v>53.087222222222216</v>
      </c>
      <c r="Q147" s="2">
        <f t="shared" si="60"/>
        <v>6.721111111111111</v>
      </c>
    </row>
    <row r="148" spans="1:17" x14ac:dyDescent="0.25">
      <c r="B148" s="2">
        <f>_xlfn.STDEV.S(B144:B146)</f>
        <v>0.20420577856662511</v>
      </c>
      <c r="C148" s="2">
        <f t="shared" ref="C148:Q148" si="61">_xlfn.STDEV.S(C144:C146)</f>
        <v>2.9762020602949222</v>
      </c>
      <c r="D148" s="2">
        <f t="shared" si="61"/>
        <v>9.4013610618258063</v>
      </c>
      <c r="E148" s="2">
        <f t="shared" si="61"/>
        <v>6.6132044538292911</v>
      </c>
      <c r="F148" s="2">
        <f t="shared" si="61"/>
        <v>2.6490836990258497</v>
      </c>
      <c r="G148" s="2">
        <f t="shared" si="61"/>
        <v>11.358641024608797</v>
      </c>
      <c r="H148" s="2">
        <f t="shared" si="61"/>
        <v>8.5111460145788485</v>
      </c>
      <c r="I148" s="2">
        <f t="shared" si="61"/>
        <v>2.2435316488205017</v>
      </c>
      <c r="J148" s="2">
        <f t="shared" si="61"/>
        <v>1.3534321939808029</v>
      </c>
      <c r="K148" s="2">
        <f t="shared" si="61"/>
        <v>0.97876954121734638</v>
      </c>
      <c r="L148" s="2">
        <f t="shared" si="61"/>
        <v>9.4013610618258063</v>
      </c>
      <c r="M148" s="2">
        <f t="shared" si="61"/>
        <v>9.2971501507680543</v>
      </c>
      <c r="N148" s="2">
        <f t="shared" si="61"/>
        <v>1.3525989215553109</v>
      </c>
      <c r="O148" s="2">
        <f t="shared" si="61"/>
        <v>14.517641598847678</v>
      </c>
      <c r="P148" s="2">
        <f t="shared" si="61"/>
        <v>1.3534321939808029</v>
      </c>
      <c r="Q148" s="2">
        <f t="shared" si="61"/>
        <v>2.6833925114247386</v>
      </c>
    </row>
    <row r="150" spans="1:17" x14ac:dyDescent="0.25">
      <c r="A150" s="1" t="s">
        <v>18</v>
      </c>
      <c r="B150">
        <v>58.093333333333334</v>
      </c>
      <c r="C150">
        <v>60.241666666666674</v>
      </c>
      <c r="D150">
        <v>54.038333333333334</v>
      </c>
      <c r="E150">
        <v>50.096666666666671</v>
      </c>
      <c r="F150">
        <v>55.593333333333334</v>
      </c>
      <c r="G150">
        <v>52.13</v>
      </c>
      <c r="H150">
        <v>53.603333333333332</v>
      </c>
      <c r="I150">
        <v>45.221666666666664</v>
      </c>
      <c r="J150">
        <v>52.278333333333336</v>
      </c>
      <c r="K150">
        <v>51.18333333333333</v>
      </c>
      <c r="L150">
        <v>54.038333333333334</v>
      </c>
      <c r="M150">
        <v>50.516666666666673</v>
      </c>
      <c r="N150">
        <v>52.277500000000003</v>
      </c>
      <c r="O150">
        <v>8.4683333333333319</v>
      </c>
      <c r="P150">
        <v>52.278333333333336</v>
      </c>
      <c r="Q150">
        <v>4.3083333333333336</v>
      </c>
    </row>
    <row r="151" spans="1:17" x14ac:dyDescent="0.25">
      <c r="B151">
        <v>59.60499999999999</v>
      </c>
      <c r="C151">
        <v>61.79</v>
      </c>
      <c r="D151">
        <v>74.846666666666678</v>
      </c>
      <c r="E151">
        <v>59.506666666666668</v>
      </c>
      <c r="F151">
        <v>55.68</v>
      </c>
      <c r="G151">
        <v>71.410000000000011</v>
      </c>
      <c r="H151">
        <v>62.531666666666666</v>
      </c>
      <c r="I151">
        <v>45.151666666666671</v>
      </c>
      <c r="J151">
        <v>54.161666666666669</v>
      </c>
      <c r="K151">
        <v>55.314999999999998</v>
      </c>
      <c r="L151">
        <v>74.846666666666678</v>
      </c>
      <c r="M151">
        <v>33.476666666666667</v>
      </c>
      <c r="N151">
        <v>54.161666666666669</v>
      </c>
      <c r="O151">
        <v>41.373333333333328</v>
      </c>
      <c r="P151">
        <v>54.161666666666669</v>
      </c>
      <c r="Q151">
        <v>8.8683333333333323</v>
      </c>
    </row>
    <row r="152" spans="1:17" x14ac:dyDescent="0.25">
      <c r="B152">
        <v>62.703333333333326</v>
      </c>
      <c r="C152">
        <v>70.501666666666665</v>
      </c>
      <c r="D152">
        <v>41.550000000000004</v>
      </c>
      <c r="E152">
        <v>41.120000000000005</v>
      </c>
      <c r="F152">
        <v>57.381666666666668</v>
      </c>
      <c r="G152">
        <v>39.443333333333335</v>
      </c>
      <c r="H152">
        <v>46.44</v>
      </c>
      <c r="I152">
        <v>44.696666666666658</v>
      </c>
      <c r="J152">
        <v>53.268333333333338</v>
      </c>
      <c r="K152">
        <v>55.914999999999999</v>
      </c>
      <c r="L152">
        <v>41.550000000000004</v>
      </c>
      <c r="M152">
        <v>64.986666666666665</v>
      </c>
      <c r="N152">
        <v>53.268333333333338</v>
      </c>
      <c r="O152">
        <v>23.431666666666668</v>
      </c>
      <c r="P152">
        <v>53.268333333333338</v>
      </c>
      <c r="Q152">
        <v>7.451666666666668</v>
      </c>
    </row>
    <row r="153" spans="1:17" x14ac:dyDescent="0.25">
      <c r="B153" s="2">
        <f>AVERAGE(B150:B152)</f>
        <v>60.133888888888883</v>
      </c>
      <c r="C153" s="2">
        <f t="shared" ref="C153:Q153" si="62">AVERAGE(C150:C152)</f>
        <v>64.177777777777777</v>
      </c>
      <c r="D153" s="2">
        <f t="shared" si="62"/>
        <v>56.811666666666675</v>
      </c>
      <c r="E153" s="2">
        <f t="shared" si="62"/>
        <v>50.241111111111117</v>
      </c>
      <c r="F153" s="2">
        <f t="shared" si="62"/>
        <v>56.218333333333334</v>
      </c>
      <c r="G153" s="2">
        <f t="shared" si="62"/>
        <v>54.327777777777783</v>
      </c>
      <c r="H153" s="2">
        <f t="shared" si="62"/>
        <v>54.191666666666663</v>
      </c>
      <c r="I153" s="2">
        <f t="shared" si="62"/>
        <v>45.023333333333333</v>
      </c>
      <c r="J153" s="2">
        <f t="shared" si="62"/>
        <v>53.236111111111114</v>
      </c>
      <c r="K153" s="2">
        <f t="shared" si="62"/>
        <v>54.137777777777778</v>
      </c>
      <c r="L153" s="2">
        <f t="shared" si="62"/>
        <v>56.811666666666675</v>
      </c>
      <c r="M153" s="2">
        <f t="shared" si="62"/>
        <v>49.660000000000004</v>
      </c>
      <c r="N153" s="2">
        <f t="shared" si="62"/>
        <v>53.235833333333339</v>
      </c>
      <c r="O153" s="2">
        <f t="shared" si="62"/>
        <v>24.424444444444443</v>
      </c>
      <c r="P153" s="2">
        <f t="shared" si="62"/>
        <v>53.236111111111114</v>
      </c>
      <c r="Q153" s="2">
        <f t="shared" si="62"/>
        <v>6.8761111111111113</v>
      </c>
    </row>
    <row r="154" spans="1:17" x14ac:dyDescent="0.25">
      <c r="B154" s="2">
        <f>_xlfn.STDEV.S(B150:B152)</f>
        <v>2.3500675719205564</v>
      </c>
      <c r="C154" s="2">
        <f t="shared" ref="C154:Q154" si="63">_xlfn.STDEV.S(C150:C152)</f>
        <v>5.5310950124760101</v>
      </c>
      <c r="D154" s="2">
        <f t="shared" si="63"/>
        <v>16.820687741917993</v>
      </c>
      <c r="E154" s="2">
        <f t="shared" si="63"/>
        <v>9.1941843534880974</v>
      </c>
      <c r="F154" s="2">
        <f t="shared" si="63"/>
        <v>1.0084077107554823</v>
      </c>
      <c r="G154" s="2">
        <f t="shared" si="63"/>
        <v>16.096260895463111</v>
      </c>
      <c r="H154" s="2">
        <f t="shared" si="63"/>
        <v>8.0619498951005273</v>
      </c>
      <c r="I154" s="2">
        <f t="shared" si="63"/>
        <v>0.28505847353365249</v>
      </c>
      <c r="J154" s="2">
        <f t="shared" si="63"/>
        <v>0.94208004692532066</v>
      </c>
      <c r="K154" s="2">
        <f t="shared" si="63"/>
        <v>2.5761514865165611</v>
      </c>
      <c r="L154" s="2">
        <f t="shared" si="63"/>
        <v>16.820687741917993</v>
      </c>
      <c r="M154" s="2">
        <f t="shared" si="63"/>
        <v>15.772458062500363</v>
      </c>
      <c r="N154" s="2">
        <f t="shared" si="63"/>
        <v>0.9425036840482075</v>
      </c>
      <c r="O154" s="2">
        <f t="shared" si="63"/>
        <v>16.474949530637016</v>
      </c>
      <c r="P154" s="2">
        <f t="shared" si="63"/>
        <v>0.94208004692532066</v>
      </c>
      <c r="Q154" s="2">
        <f t="shared" si="63"/>
        <v>2.3338483558595122</v>
      </c>
    </row>
    <row r="156" spans="1:17" x14ac:dyDescent="0.25">
      <c r="A156" s="1" t="s">
        <v>21</v>
      </c>
      <c r="B156">
        <v>57.866666666666674</v>
      </c>
      <c r="C156">
        <v>53.980000000000011</v>
      </c>
      <c r="D156">
        <v>80.23833333333333</v>
      </c>
      <c r="E156">
        <v>67.44</v>
      </c>
      <c r="F156">
        <v>57.941666666666663</v>
      </c>
      <c r="G156">
        <v>82.821666666666673</v>
      </c>
      <c r="H156">
        <v>67.495000000000005</v>
      </c>
      <c r="I156">
        <v>39.738333333333337</v>
      </c>
      <c r="J156">
        <v>49.951666666666661</v>
      </c>
      <c r="K156">
        <v>51.076666666666661</v>
      </c>
      <c r="L156">
        <v>80.23833333333333</v>
      </c>
      <c r="M156">
        <v>19.663333333333334</v>
      </c>
      <c r="N156">
        <v>49.950833333333343</v>
      </c>
      <c r="O156">
        <v>60.824999999999996</v>
      </c>
      <c r="P156">
        <v>49.951666666666661</v>
      </c>
      <c r="Q156">
        <v>8.3333333333333481E-2</v>
      </c>
    </row>
    <row r="157" spans="1:17" x14ac:dyDescent="0.25">
      <c r="B157">
        <v>57.860000000000007</v>
      </c>
      <c r="C157">
        <v>57.815000000000005</v>
      </c>
      <c r="D157">
        <v>87.62</v>
      </c>
      <c r="E157">
        <v>65.278333333333322</v>
      </c>
      <c r="F157">
        <v>56.57</v>
      </c>
      <c r="G157">
        <v>87.855000000000004</v>
      </c>
      <c r="H157">
        <v>68.77</v>
      </c>
      <c r="I157">
        <v>39.61</v>
      </c>
      <c r="J157">
        <v>50.71</v>
      </c>
      <c r="K157">
        <v>52.876666666666665</v>
      </c>
      <c r="L157">
        <v>87.62</v>
      </c>
      <c r="M157">
        <v>13.795000000000002</v>
      </c>
      <c r="N157">
        <v>50.707500000000003</v>
      </c>
      <c r="O157">
        <v>73.823333333333323</v>
      </c>
      <c r="P157">
        <v>50.71</v>
      </c>
      <c r="Q157">
        <v>1.7766666666666664</v>
      </c>
    </row>
    <row r="158" spans="1:17" x14ac:dyDescent="0.25">
      <c r="B158">
        <v>56.966666666666669</v>
      </c>
      <c r="C158">
        <v>55.831666666666671</v>
      </c>
      <c r="D158">
        <v>100</v>
      </c>
      <c r="E158">
        <v>70.183333333333323</v>
      </c>
      <c r="F158">
        <v>55.638333333333343</v>
      </c>
      <c r="G158">
        <v>100</v>
      </c>
      <c r="H158">
        <v>71.323333333333338</v>
      </c>
      <c r="I158">
        <v>35.093333333333327</v>
      </c>
      <c r="J158">
        <v>50</v>
      </c>
      <c r="K158">
        <v>50</v>
      </c>
      <c r="L158">
        <v>100</v>
      </c>
      <c r="M158">
        <v>0</v>
      </c>
      <c r="N158">
        <v>50</v>
      </c>
      <c r="O158">
        <v>100</v>
      </c>
      <c r="P158">
        <v>50</v>
      </c>
      <c r="Q158">
        <v>0</v>
      </c>
    </row>
    <row r="159" spans="1:17" x14ac:dyDescent="0.25">
      <c r="B159" s="2">
        <f>AVERAGE(B156:B158)</f>
        <v>57.564444444444455</v>
      </c>
      <c r="C159" s="2">
        <f t="shared" ref="C159:Q159" si="64">AVERAGE(C156:C158)</f>
        <v>55.875555555555565</v>
      </c>
      <c r="D159" s="2">
        <f t="shared" si="64"/>
        <v>89.286111111111111</v>
      </c>
      <c r="E159" s="2">
        <f t="shared" si="64"/>
        <v>67.633888888888876</v>
      </c>
      <c r="F159" s="2">
        <f t="shared" si="64"/>
        <v>56.716666666666669</v>
      </c>
      <c r="G159" s="2">
        <f t="shared" si="64"/>
        <v>90.225555555555559</v>
      </c>
      <c r="H159" s="2">
        <f t="shared" si="64"/>
        <v>69.196111111111108</v>
      </c>
      <c r="I159" s="2">
        <f t="shared" si="64"/>
        <v>38.147222222222219</v>
      </c>
      <c r="J159" s="2">
        <f t="shared" si="64"/>
        <v>50.220555555555556</v>
      </c>
      <c r="K159" s="2">
        <f t="shared" si="64"/>
        <v>51.317777777777771</v>
      </c>
      <c r="L159" s="2">
        <f t="shared" si="64"/>
        <v>89.286111111111111</v>
      </c>
      <c r="M159" s="2">
        <f t="shared" si="64"/>
        <v>11.152777777777779</v>
      </c>
      <c r="N159" s="2">
        <f t="shared" si="64"/>
        <v>50.219444444444456</v>
      </c>
      <c r="O159" s="2">
        <f t="shared" si="64"/>
        <v>78.216111111111104</v>
      </c>
      <c r="P159" s="2">
        <f t="shared" si="64"/>
        <v>50.220555555555556</v>
      </c>
      <c r="Q159" s="2">
        <f t="shared" si="64"/>
        <v>0.62</v>
      </c>
    </row>
    <row r="160" spans="1:17" x14ac:dyDescent="0.25">
      <c r="B160" s="2">
        <f>_xlfn.STDEV.S(B156:B158)</f>
        <v>0.51770147267978472</v>
      </c>
      <c r="C160" s="2">
        <f t="shared" ref="C160:Q160" si="65">_xlfn.STDEV.S(C156:C158)</f>
        <v>1.9178766711981026</v>
      </c>
      <c r="D160" s="2">
        <f t="shared" si="65"/>
        <v>9.9856302774054804</v>
      </c>
      <c r="E160" s="2">
        <f t="shared" si="65"/>
        <v>2.4582414295438775</v>
      </c>
      <c r="F160" s="2">
        <f t="shared" si="65"/>
        <v>1.1586498368551346</v>
      </c>
      <c r="G160" s="2">
        <f t="shared" si="65"/>
        <v>8.8311060609223357</v>
      </c>
      <c r="H160" s="2">
        <f t="shared" si="65"/>
        <v>1.9494132545555958</v>
      </c>
      <c r="I160" s="2">
        <f t="shared" si="65"/>
        <v>2.6455236476679613</v>
      </c>
      <c r="J160" s="2">
        <f t="shared" si="65"/>
        <v>0.42455968476284683</v>
      </c>
      <c r="K160" s="2">
        <f t="shared" si="65"/>
        <v>1.4534110580643396</v>
      </c>
      <c r="L160" s="2">
        <f t="shared" si="65"/>
        <v>9.9856302774054804</v>
      </c>
      <c r="M160" s="2">
        <f t="shared" si="65"/>
        <v>10.09443773313542</v>
      </c>
      <c r="N160" s="2">
        <f t="shared" si="65"/>
        <v>0.42338281644306053</v>
      </c>
      <c r="O160" s="2">
        <f t="shared" si="65"/>
        <v>19.953509182690283</v>
      </c>
      <c r="P160" s="2">
        <f t="shared" si="65"/>
        <v>0.42455968476284683</v>
      </c>
      <c r="Q160" s="2">
        <f t="shared" si="65"/>
        <v>1.0025689225407119</v>
      </c>
    </row>
    <row r="162" spans="1:17" x14ac:dyDescent="0.25">
      <c r="A162" s="1" t="s">
        <v>22</v>
      </c>
      <c r="B162">
        <v>64.911666666666676</v>
      </c>
      <c r="C162">
        <v>67.260000000000005</v>
      </c>
      <c r="D162">
        <v>46.07</v>
      </c>
      <c r="E162">
        <v>49.84</v>
      </c>
      <c r="F162">
        <v>64.548333333333332</v>
      </c>
      <c r="G162">
        <v>48.945</v>
      </c>
      <c r="H162">
        <v>53.938333333333333</v>
      </c>
      <c r="I162">
        <v>47.403333333333329</v>
      </c>
      <c r="J162">
        <v>54.853333333333332</v>
      </c>
      <c r="K162">
        <v>60.176666666666677</v>
      </c>
      <c r="L162">
        <v>46.07</v>
      </c>
      <c r="M162">
        <v>63.633333333333326</v>
      </c>
      <c r="N162">
        <v>54.851666666666659</v>
      </c>
      <c r="O162">
        <v>28.723333333333333</v>
      </c>
      <c r="P162">
        <v>54.853333333333332</v>
      </c>
      <c r="Q162">
        <v>10.173333333333332</v>
      </c>
    </row>
    <row r="163" spans="1:17" x14ac:dyDescent="0.25">
      <c r="B163">
        <v>64.179999999999993</v>
      </c>
      <c r="C163">
        <v>66.094999999999999</v>
      </c>
      <c r="D163">
        <v>63.163333333333327</v>
      </c>
      <c r="E163">
        <v>53.69166666666667</v>
      </c>
      <c r="F163">
        <v>60.778333333333343</v>
      </c>
      <c r="G163">
        <v>66.121666666666655</v>
      </c>
      <c r="H163">
        <v>62.973333333333329</v>
      </c>
      <c r="I163">
        <v>47.175000000000004</v>
      </c>
      <c r="J163">
        <v>53.524999999999999</v>
      </c>
      <c r="K163">
        <v>58.348333333333336</v>
      </c>
      <c r="L163">
        <v>63.163333333333327</v>
      </c>
      <c r="M163">
        <v>43.888333333333328</v>
      </c>
      <c r="N163">
        <v>53.525833333333331</v>
      </c>
      <c r="O163">
        <v>27.778333333333336</v>
      </c>
      <c r="P163">
        <v>53.524999999999999</v>
      </c>
      <c r="Q163">
        <v>10.76</v>
      </c>
    </row>
    <row r="164" spans="1:17" x14ac:dyDescent="0.25">
      <c r="B164">
        <v>68.054999999999993</v>
      </c>
      <c r="C164">
        <v>67.50833333333334</v>
      </c>
      <c r="D164">
        <v>46.493333333333339</v>
      </c>
      <c r="E164">
        <v>44.251666666666665</v>
      </c>
      <c r="F164">
        <v>56.748333333333335</v>
      </c>
      <c r="G164">
        <v>41.736666666666665</v>
      </c>
      <c r="H164">
        <v>47.134999999999998</v>
      </c>
      <c r="I164">
        <v>46.388333333333328</v>
      </c>
      <c r="J164">
        <v>56.413333333333334</v>
      </c>
      <c r="K164">
        <v>64.99166666666666</v>
      </c>
      <c r="L164">
        <v>46.493333333333339</v>
      </c>
      <c r="M164">
        <v>66.334999999999994</v>
      </c>
      <c r="N164">
        <v>56.414166666666667</v>
      </c>
      <c r="O164">
        <v>22.284999999999997</v>
      </c>
      <c r="P164">
        <v>56.413333333333334</v>
      </c>
      <c r="Q164">
        <v>14.176666666666668</v>
      </c>
    </row>
    <row r="165" spans="1:17" x14ac:dyDescent="0.25">
      <c r="B165" s="2">
        <f>AVERAGE(B162:B164)</f>
        <v>65.715555555555554</v>
      </c>
      <c r="C165" s="2">
        <f t="shared" ref="C165:Q165" si="66">AVERAGE(C162:C164)</f>
        <v>66.954444444444448</v>
      </c>
      <c r="D165" s="2">
        <f t="shared" si="66"/>
        <v>51.908888888888889</v>
      </c>
      <c r="E165" s="2">
        <f t="shared" si="66"/>
        <v>49.261111111111113</v>
      </c>
      <c r="F165" s="2">
        <f t="shared" si="66"/>
        <v>60.69166666666667</v>
      </c>
      <c r="G165" s="2">
        <f t="shared" si="66"/>
        <v>52.267777777777781</v>
      </c>
      <c r="H165" s="2">
        <f t="shared" si="66"/>
        <v>54.682222222222215</v>
      </c>
      <c r="I165" s="2">
        <f t="shared" si="66"/>
        <v>46.988888888888887</v>
      </c>
      <c r="J165" s="2">
        <f t="shared" si="66"/>
        <v>54.93055555555555</v>
      </c>
      <c r="K165" s="2">
        <f t="shared" si="66"/>
        <v>61.172222222222217</v>
      </c>
      <c r="L165" s="2">
        <f t="shared" si="66"/>
        <v>51.908888888888889</v>
      </c>
      <c r="M165" s="2">
        <f t="shared" si="66"/>
        <v>57.952222222222211</v>
      </c>
      <c r="N165" s="2">
        <f t="shared" si="66"/>
        <v>54.93055555555555</v>
      </c>
      <c r="O165" s="2">
        <f t="shared" si="66"/>
        <v>26.262222222222221</v>
      </c>
      <c r="P165" s="2">
        <f t="shared" si="66"/>
        <v>54.93055555555555</v>
      </c>
      <c r="Q165" s="2">
        <f t="shared" si="66"/>
        <v>11.703333333333333</v>
      </c>
    </row>
    <row r="166" spans="1:17" x14ac:dyDescent="0.25">
      <c r="B166" s="2">
        <f>_xlfn.STDEV.S(B162:B164)</f>
        <v>2.0587822272545595</v>
      </c>
      <c r="C166" s="2">
        <f t="shared" ref="C166:Q166" si="67">_xlfn.STDEV.S(C162:C164)</f>
        <v>0.75458659272871542</v>
      </c>
      <c r="D166" s="2">
        <f t="shared" si="67"/>
        <v>9.7489328950707659</v>
      </c>
      <c r="E166" s="2">
        <f t="shared" si="67"/>
        <v>4.7465497215618928</v>
      </c>
      <c r="F166" s="2">
        <f t="shared" si="67"/>
        <v>3.9007221553621738</v>
      </c>
      <c r="G166" s="2">
        <f t="shared" si="67"/>
        <v>12.527477614043839</v>
      </c>
      <c r="H166" s="2">
        <f t="shared" si="67"/>
        <v>7.9453274761777273</v>
      </c>
      <c r="I166" s="2">
        <f t="shared" si="67"/>
        <v>0.53247935101678945</v>
      </c>
      <c r="J166" s="2">
        <f t="shared" si="67"/>
        <v>1.4457142922496196</v>
      </c>
      <c r="K166" s="2">
        <f t="shared" si="67"/>
        <v>3.4317368186666863</v>
      </c>
      <c r="L166" s="2">
        <f t="shared" si="67"/>
        <v>9.7489328950707659</v>
      </c>
      <c r="M166" s="2">
        <f t="shared" si="67"/>
        <v>12.254365699770187</v>
      </c>
      <c r="N166" s="2">
        <f t="shared" si="67"/>
        <v>1.4457817794202925</v>
      </c>
      <c r="O166" s="2">
        <f t="shared" si="67"/>
        <v>3.476633242621924</v>
      </c>
      <c r="P166" s="2">
        <f t="shared" si="67"/>
        <v>1.4457142922496196</v>
      </c>
      <c r="Q166" s="2">
        <f t="shared" si="67"/>
        <v>2.1619615578862166</v>
      </c>
    </row>
    <row r="168" spans="1:17" x14ac:dyDescent="0.25">
      <c r="A168" s="1" t="s">
        <v>23</v>
      </c>
      <c r="B168">
        <v>76.651666666666657</v>
      </c>
      <c r="C168">
        <v>74.565000000000012</v>
      </c>
      <c r="D168">
        <v>61.858333333333327</v>
      </c>
      <c r="E168">
        <v>65.523333333333326</v>
      </c>
      <c r="F168">
        <v>74.963333333333324</v>
      </c>
      <c r="G168">
        <v>61.375</v>
      </c>
      <c r="H168">
        <v>67.243333333333325</v>
      </c>
      <c r="I168">
        <v>65.035000000000011</v>
      </c>
      <c r="J168">
        <v>67.760000000000005</v>
      </c>
      <c r="K168">
        <v>74.793333333333322</v>
      </c>
      <c r="L168">
        <v>61.858333333333327</v>
      </c>
      <c r="M168">
        <v>73.656666666666652</v>
      </c>
      <c r="N168">
        <v>67.757499999999993</v>
      </c>
      <c r="O168">
        <v>13.920000000000002</v>
      </c>
      <c r="P168">
        <v>67.760000000000005</v>
      </c>
      <c r="Q168">
        <v>35.016666666666673</v>
      </c>
    </row>
    <row r="169" spans="1:17" x14ac:dyDescent="0.25">
      <c r="B169">
        <v>76.445000000000007</v>
      </c>
      <c r="C169">
        <v>74.741666666666674</v>
      </c>
      <c r="D169">
        <v>62.995000000000005</v>
      </c>
      <c r="E169">
        <v>67.373333333333321</v>
      </c>
      <c r="F169">
        <v>76.703333333333333</v>
      </c>
      <c r="G169">
        <v>64.143333333333331</v>
      </c>
      <c r="H169">
        <v>69.786666666666662</v>
      </c>
      <c r="I169">
        <v>66.406666666666666</v>
      </c>
      <c r="J169">
        <v>68.225000000000009</v>
      </c>
      <c r="K169">
        <v>75.161666666666676</v>
      </c>
      <c r="L169">
        <v>62.995000000000005</v>
      </c>
      <c r="M169">
        <v>73.453333333333333</v>
      </c>
      <c r="N169">
        <v>68.224166666666676</v>
      </c>
      <c r="O169">
        <v>13.508333333333333</v>
      </c>
      <c r="P169">
        <v>68.225000000000009</v>
      </c>
      <c r="Q169">
        <v>36.075000000000003</v>
      </c>
    </row>
    <row r="170" spans="1:17" x14ac:dyDescent="0.25">
      <c r="B170">
        <v>75.834999999999994</v>
      </c>
      <c r="C170">
        <v>74.321666666666658</v>
      </c>
      <c r="D170">
        <v>53.673333333333339</v>
      </c>
      <c r="E170">
        <v>60.06166666666666</v>
      </c>
      <c r="F170">
        <v>75.63666666666667</v>
      </c>
      <c r="G170">
        <v>54.455000000000005</v>
      </c>
      <c r="H170">
        <v>62.71</v>
      </c>
      <c r="I170">
        <v>62.123333333333335</v>
      </c>
      <c r="J170">
        <v>66.396666666666661</v>
      </c>
      <c r="K170">
        <v>74.56</v>
      </c>
      <c r="L170">
        <v>53.673333333333339</v>
      </c>
      <c r="M170">
        <v>79.125</v>
      </c>
      <c r="N170">
        <v>66.399166666666659</v>
      </c>
      <c r="O170">
        <v>25.453333333333333</v>
      </c>
      <c r="P170">
        <v>66.396666666666661</v>
      </c>
      <c r="Q170">
        <v>32.066666666666663</v>
      </c>
    </row>
    <row r="171" spans="1:17" x14ac:dyDescent="0.25">
      <c r="B171" s="2">
        <f>AVERAGE(B168:B170)</f>
        <v>76.310555555555553</v>
      </c>
      <c r="C171" s="2">
        <f t="shared" ref="C171:Q171" si="68">AVERAGE(C168:C170)</f>
        <v>74.542777777777772</v>
      </c>
      <c r="D171" s="2">
        <f t="shared" si="68"/>
        <v>59.50888888888889</v>
      </c>
      <c r="E171" s="2">
        <f t="shared" si="68"/>
        <v>64.319444444444443</v>
      </c>
      <c r="F171" s="2">
        <f t="shared" si="68"/>
        <v>75.767777777777781</v>
      </c>
      <c r="G171" s="2">
        <f t="shared" si="68"/>
        <v>59.99111111111111</v>
      </c>
      <c r="H171" s="2">
        <f t="shared" si="68"/>
        <v>66.58</v>
      </c>
      <c r="I171" s="2">
        <f t="shared" si="68"/>
        <v>64.521666666666661</v>
      </c>
      <c r="J171" s="2">
        <f t="shared" si="68"/>
        <v>67.460555555555558</v>
      </c>
      <c r="K171" s="2">
        <f t="shared" si="68"/>
        <v>74.838333333333324</v>
      </c>
      <c r="L171" s="2">
        <f t="shared" si="68"/>
        <v>59.50888888888889</v>
      </c>
      <c r="M171" s="2">
        <f t="shared" si="68"/>
        <v>75.411666666666662</v>
      </c>
      <c r="N171" s="2">
        <f t="shared" si="68"/>
        <v>67.460277777777776</v>
      </c>
      <c r="O171" s="2">
        <f t="shared" si="68"/>
        <v>17.627222222222223</v>
      </c>
      <c r="P171" s="2">
        <f t="shared" si="68"/>
        <v>67.460555555555558</v>
      </c>
      <c r="Q171" s="2">
        <f t="shared" si="68"/>
        <v>34.386111111111113</v>
      </c>
    </row>
    <row r="172" spans="1:17" x14ac:dyDescent="0.25">
      <c r="B172" s="2">
        <f>_xlfn.STDEV.S(B168:B170)</f>
        <v>0.42460875237398615</v>
      </c>
      <c r="C172" s="2">
        <f t="shared" ref="C172:Q172" si="69">_xlfn.STDEV.S(C168:C170)</f>
        <v>0.21087999044568922</v>
      </c>
      <c r="D172" s="2">
        <f t="shared" si="69"/>
        <v>5.0855957624706294</v>
      </c>
      <c r="E172" s="2">
        <f t="shared" si="69"/>
        <v>3.8015955470964666</v>
      </c>
      <c r="F172" s="2">
        <f t="shared" si="69"/>
        <v>0.87737824944125409</v>
      </c>
      <c r="G172" s="2">
        <f t="shared" si="69"/>
        <v>4.9902216420753289</v>
      </c>
      <c r="H172" s="2">
        <f t="shared" si="69"/>
        <v>3.5846633190735062</v>
      </c>
      <c r="I172" s="2">
        <f t="shared" si="69"/>
        <v>2.1873201513368925</v>
      </c>
      <c r="J172" s="2">
        <f t="shared" si="69"/>
        <v>0.95023729979723481</v>
      </c>
      <c r="K172" s="2">
        <f t="shared" si="69"/>
        <v>0.3033470692860693</v>
      </c>
      <c r="L172" s="2">
        <f t="shared" si="69"/>
        <v>5.0855957624706294</v>
      </c>
      <c r="M172" s="2">
        <f t="shared" si="69"/>
        <v>3.2174476599386153</v>
      </c>
      <c r="N172" s="2">
        <f t="shared" si="69"/>
        <v>0.94810971782650255</v>
      </c>
      <c r="O172" s="2">
        <f t="shared" si="69"/>
        <v>6.7807358526714347</v>
      </c>
      <c r="P172" s="2">
        <f t="shared" si="69"/>
        <v>0.95023729979723481</v>
      </c>
      <c r="Q172" s="2">
        <f t="shared" si="69"/>
        <v>2.0772299485755727</v>
      </c>
    </row>
    <row r="174" spans="1:17" x14ac:dyDescent="0.25">
      <c r="A174" s="1" t="s">
        <v>24</v>
      </c>
      <c r="B174">
        <v>69.39</v>
      </c>
      <c r="C174">
        <v>63.52</v>
      </c>
      <c r="D174">
        <v>72.95</v>
      </c>
      <c r="E174">
        <v>66.101666666666659</v>
      </c>
      <c r="F174">
        <v>63.111666666666672</v>
      </c>
      <c r="G174">
        <v>71.183333333333337</v>
      </c>
      <c r="H174">
        <v>66.768333333333331</v>
      </c>
      <c r="I174">
        <v>57.506666666666661</v>
      </c>
      <c r="J174">
        <v>59.961666666666666</v>
      </c>
      <c r="K174">
        <v>64.146666666666661</v>
      </c>
      <c r="L174">
        <v>72.95</v>
      </c>
      <c r="M174">
        <v>46.978333333333332</v>
      </c>
      <c r="N174">
        <v>59.964166666666678</v>
      </c>
      <c r="O174">
        <v>25.973333333333333</v>
      </c>
      <c r="P174">
        <v>59.961666666666666</v>
      </c>
      <c r="Q174">
        <v>19.62833333333333</v>
      </c>
    </row>
    <row r="175" spans="1:17" x14ac:dyDescent="0.25">
      <c r="A175" s="1"/>
      <c r="B175">
        <v>67.74499999999999</v>
      </c>
      <c r="C175">
        <v>65.853333333333339</v>
      </c>
      <c r="D175">
        <v>61.774999999999999</v>
      </c>
      <c r="E175">
        <v>61.81</v>
      </c>
      <c r="F175">
        <v>65.328333333333333</v>
      </c>
      <c r="G175">
        <v>60.94666666666668</v>
      </c>
      <c r="H175">
        <v>62.901666666666664</v>
      </c>
      <c r="I175">
        <v>58.568333333333328</v>
      </c>
      <c r="J175">
        <v>61.324999999999996</v>
      </c>
      <c r="K175">
        <v>64.62</v>
      </c>
      <c r="L175">
        <v>61.774999999999999</v>
      </c>
      <c r="M175">
        <v>60.879999999999995</v>
      </c>
      <c r="N175">
        <v>61.327500000000008</v>
      </c>
      <c r="O175">
        <v>3.438333333333333</v>
      </c>
      <c r="P175">
        <v>61.324999999999996</v>
      </c>
      <c r="Q175">
        <v>21.653333333333332</v>
      </c>
    </row>
    <row r="176" spans="1:17" x14ac:dyDescent="0.25">
      <c r="A176" s="1"/>
      <c r="B176">
        <v>69.575000000000003</v>
      </c>
      <c r="C176">
        <v>70.843333333333334</v>
      </c>
      <c r="D176">
        <v>36.091666666666669</v>
      </c>
      <c r="E176">
        <v>48.718333333333334</v>
      </c>
      <c r="F176">
        <v>70.92</v>
      </c>
      <c r="G176">
        <v>35.338333333333331</v>
      </c>
      <c r="H176">
        <v>46.190000000000005</v>
      </c>
      <c r="I176">
        <v>52.524999999999999</v>
      </c>
      <c r="J176">
        <v>58.613333333333337</v>
      </c>
      <c r="K176">
        <v>64.413333333333341</v>
      </c>
      <c r="L176">
        <v>36.091666666666669</v>
      </c>
      <c r="M176">
        <v>81.13</v>
      </c>
      <c r="N176">
        <v>58.610833333333339</v>
      </c>
      <c r="O176">
        <v>45.57833333333334</v>
      </c>
      <c r="P176">
        <v>58.613333333333337</v>
      </c>
      <c r="Q176">
        <v>18.958333333333336</v>
      </c>
    </row>
    <row r="177" spans="1:17" x14ac:dyDescent="0.25">
      <c r="A177" s="1"/>
      <c r="B177" s="2">
        <f>AVERAGE(B174:B176)</f>
        <v>68.903333333333322</v>
      </c>
      <c r="C177" s="2">
        <f t="shared" ref="C177:Q177" si="70">AVERAGE(C174:C176)</f>
        <v>66.738888888888894</v>
      </c>
      <c r="D177" s="2">
        <f t="shared" si="70"/>
        <v>56.93888888888889</v>
      </c>
      <c r="E177" s="2">
        <f t="shared" si="70"/>
        <v>58.876666666666665</v>
      </c>
      <c r="F177" s="2">
        <f t="shared" si="70"/>
        <v>66.453333333333333</v>
      </c>
      <c r="G177" s="2">
        <f t="shared" si="70"/>
        <v>55.822777777777787</v>
      </c>
      <c r="H177" s="2">
        <f t="shared" si="70"/>
        <v>58.62</v>
      </c>
      <c r="I177" s="2">
        <f t="shared" si="70"/>
        <v>56.199999999999996</v>
      </c>
      <c r="J177" s="2">
        <f t="shared" si="70"/>
        <v>59.966666666666669</v>
      </c>
      <c r="K177" s="2">
        <f t="shared" si="70"/>
        <v>64.393333333333331</v>
      </c>
      <c r="L177" s="2">
        <f t="shared" si="70"/>
        <v>56.93888888888889</v>
      </c>
      <c r="M177" s="2">
        <f t="shared" si="70"/>
        <v>62.996111111111105</v>
      </c>
      <c r="N177" s="2">
        <f t="shared" si="70"/>
        <v>59.967500000000008</v>
      </c>
      <c r="O177" s="2">
        <f t="shared" si="70"/>
        <v>24.99666666666667</v>
      </c>
      <c r="P177" s="2">
        <f t="shared" si="70"/>
        <v>59.966666666666669</v>
      </c>
      <c r="Q177" s="2">
        <f t="shared" si="70"/>
        <v>20.080000000000002</v>
      </c>
    </row>
    <row r="178" spans="1:17" x14ac:dyDescent="0.25">
      <c r="A178" s="1"/>
      <c r="B178" s="2">
        <f>_xlfn.STDEV.S(B174:B176)</f>
        <v>1.007401773540898</v>
      </c>
      <c r="C178" s="2">
        <f t="shared" ref="C178:Q178" si="71">_xlfn.STDEV.S(C174:C176)</f>
        <v>3.741117381112125</v>
      </c>
      <c r="D178" s="2">
        <f t="shared" si="71"/>
        <v>18.899078338295677</v>
      </c>
      <c r="E178" s="2">
        <f t="shared" si="71"/>
        <v>9.055296945864189</v>
      </c>
      <c r="F178" s="2">
        <f t="shared" si="71"/>
        <v>4.023895638695306</v>
      </c>
      <c r="G178" s="2">
        <f t="shared" si="71"/>
        <v>18.463658474399335</v>
      </c>
      <c r="H178" s="2">
        <f t="shared" si="71"/>
        <v>10.936930683595794</v>
      </c>
      <c r="I178" s="2">
        <f t="shared" si="71"/>
        <v>3.2266085566392713</v>
      </c>
      <c r="J178" s="2">
        <f t="shared" si="71"/>
        <v>1.355840247882385</v>
      </c>
      <c r="K178" s="2">
        <f t="shared" si="71"/>
        <v>0.23729962307410785</v>
      </c>
      <c r="L178" s="2">
        <f t="shared" si="71"/>
        <v>18.899078338295677</v>
      </c>
      <c r="M178" s="2">
        <f t="shared" si="71"/>
        <v>17.173890901706134</v>
      </c>
      <c r="N178" s="2">
        <f t="shared" si="71"/>
        <v>1.3583364008145333</v>
      </c>
      <c r="O178" s="2">
        <f t="shared" si="71"/>
        <v>21.086970107944229</v>
      </c>
      <c r="P178" s="2">
        <f t="shared" si="71"/>
        <v>1.355840247882385</v>
      </c>
      <c r="Q178" s="2">
        <f t="shared" si="71"/>
        <v>1.4031244896064392</v>
      </c>
    </row>
    <row r="179" spans="1:17" x14ac:dyDescent="0.25">
      <c r="A179" s="1"/>
    </row>
    <row r="180" spans="1:17" x14ac:dyDescent="0.25">
      <c r="A180" s="1" t="s">
        <v>25</v>
      </c>
      <c r="B180">
        <v>58.491666666666674</v>
      </c>
      <c r="C180">
        <v>54.818333333333335</v>
      </c>
      <c r="D180">
        <v>61.013333333333328</v>
      </c>
      <c r="E180">
        <v>55.411666666666669</v>
      </c>
      <c r="F180">
        <v>55.786666666666669</v>
      </c>
      <c r="G180">
        <v>60.936666666666667</v>
      </c>
      <c r="H180">
        <v>56.786666666666662</v>
      </c>
      <c r="I180">
        <v>44.016666666666659</v>
      </c>
      <c r="J180">
        <v>49.633333333333326</v>
      </c>
      <c r="K180">
        <v>50.156666666666666</v>
      </c>
      <c r="L180">
        <v>61.013333333333328</v>
      </c>
      <c r="M180">
        <v>38.255000000000003</v>
      </c>
      <c r="N180">
        <v>49.634166666666658</v>
      </c>
      <c r="O180">
        <v>31.429999999999996</v>
      </c>
      <c r="P180">
        <v>49.633333333333326</v>
      </c>
      <c r="Q180">
        <v>-1.0966666666666667</v>
      </c>
    </row>
    <row r="181" spans="1:17" x14ac:dyDescent="0.25">
      <c r="A181" s="1"/>
      <c r="B181">
        <v>55.97</v>
      </c>
      <c r="C181">
        <v>54.981666666666662</v>
      </c>
      <c r="D181">
        <v>31.04666666666667</v>
      </c>
      <c r="E181">
        <v>39.268333333333338</v>
      </c>
      <c r="F181">
        <v>51.155000000000001</v>
      </c>
      <c r="G181">
        <v>29.408333333333331</v>
      </c>
      <c r="H181">
        <v>36.57833333333334</v>
      </c>
      <c r="I181">
        <v>40.553333333333335</v>
      </c>
      <c r="J181">
        <v>48.835000000000001</v>
      </c>
      <c r="K181">
        <v>48.201666666666661</v>
      </c>
      <c r="L181">
        <v>31.04666666666667</v>
      </c>
      <c r="M181">
        <v>66.625</v>
      </c>
      <c r="N181">
        <v>48.835833333333333</v>
      </c>
      <c r="O181">
        <v>35.576666666666668</v>
      </c>
      <c r="P181">
        <v>48.835000000000001</v>
      </c>
      <c r="Q181">
        <v>-3.0783333333333331</v>
      </c>
    </row>
    <row r="182" spans="1:17" x14ac:dyDescent="0.25">
      <c r="A182" s="1"/>
      <c r="B182">
        <v>57.668333333333322</v>
      </c>
      <c r="C182">
        <v>57.246666666666663</v>
      </c>
      <c r="D182">
        <v>42.426666666666669</v>
      </c>
      <c r="E182">
        <v>43.819999999999993</v>
      </c>
      <c r="F182">
        <v>53.843333333333334</v>
      </c>
      <c r="G182">
        <v>40.906666666666673</v>
      </c>
      <c r="H182">
        <v>45.82</v>
      </c>
      <c r="I182">
        <v>43.660000000000004</v>
      </c>
      <c r="J182">
        <v>50.204999999999991</v>
      </c>
      <c r="K182">
        <v>50.610000000000007</v>
      </c>
      <c r="L182">
        <v>42.426666666666669</v>
      </c>
      <c r="M182">
        <v>57.984999999999992</v>
      </c>
      <c r="N182">
        <v>50.205833333333338</v>
      </c>
      <c r="O182">
        <v>17.346666666666668</v>
      </c>
      <c r="P182">
        <v>50.204999999999991</v>
      </c>
      <c r="Q182">
        <v>2.4999999999999949E-2</v>
      </c>
    </row>
    <row r="183" spans="1:17" x14ac:dyDescent="0.25">
      <c r="A183" s="1"/>
      <c r="B183" s="2">
        <f>AVERAGE(B180:B182)</f>
        <v>57.376666666666665</v>
      </c>
      <c r="C183" s="2">
        <f t="shared" ref="C183:Q183" si="72">AVERAGE(C180:C182)</f>
        <v>55.682222222222215</v>
      </c>
      <c r="D183" s="2">
        <f t="shared" si="72"/>
        <v>44.828888888888891</v>
      </c>
      <c r="E183" s="2">
        <f t="shared" si="72"/>
        <v>46.166666666666664</v>
      </c>
      <c r="F183" s="2">
        <f t="shared" si="72"/>
        <v>53.594999999999999</v>
      </c>
      <c r="G183" s="2">
        <f t="shared" si="72"/>
        <v>43.750555555555557</v>
      </c>
      <c r="H183" s="2">
        <f t="shared" si="72"/>
        <v>46.395000000000003</v>
      </c>
      <c r="I183" s="2">
        <f t="shared" si="72"/>
        <v>42.743333333333332</v>
      </c>
      <c r="J183" s="2">
        <f t="shared" si="72"/>
        <v>49.557777777777773</v>
      </c>
      <c r="K183" s="2">
        <f t="shared" si="72"/>
        <v>49.656111111111109</v>
      </c>
      <c r="L183" s="2">
        <f t="shared" si="72"/>
        <v>44.828888888888891</v>
      </c>
      <c r="M183" s="2">
        <f t="shared" si="72"/>
        <v>54.288333333333327</v>
      </c>
      <c r="N183" s="2">
        <f t="shared" si="72"/>
        <v>49.558611111111112</v>
      </c>
      <c r="O183" s="2">
        <f t="shared" si="72"/>
        <v>28.117777777777775</v>
      </c>
      <c r="P183" s="2">
        <f t="shared" si="72"/>
        <v>49.557777777777773</v>
      </c>
      <c r="Q183" s="2">
        <f t="shared" si="72"/>
        <v>-1.3833333333333331</v>
      </c>
    </row>
    <row r="184" spans="1:17" x14ac:dyDescent="0.25">
      <c r="A184" s="1"/>
      <c r="B184" s="2">
        <f>_xlfn.STDEV.S(B180:B182)</f>
        <v>1.285885989416552</v>
      </c>
      <c r="C184" s="2">
        <f t="shared" ref="C184:Q184" si="73">_xlfn.STDEV.S(C180:C182)</f>
        <v>1.3573077246001566</v>
      </c>
      <c r="D184" s="2">
        <f t="shared" si="73"/>
        <v>15.127071146837418</v>
      </c>
      <c r="E184" s="2">
        <f t="shared" si="73"/>
        <v>8.3235771223141199</v>
      </c>
      <c r="F184" s="2">
        <f t="shared" si="73"/>
        <v>2.3257979514805482</v>
      </c>
      <c r="G184" s="2">
        <f t="shared" si="73"/>
        <v>15.955398105459601</v>
      </c>
      <c r="H184" s="2">
        <f t="shared" si="73"/>
        <v>10.116429843466408</v>
      </c>
      <c r="I184" s="2">
        <f t="shared" si="73"/>
        <v>1.9049613586048848</v>
      </c>
      <c r="J184" s="2">
        <f t="shared" si="73"/>
        <v>0.68811807234040478</v>
      </c>
      <c r="K184" s="2">
        <f t="shared" si="73"/>
        <v>1.279818057092208</v>
      </c>
      <c r="L184" s="2">
        <f t="shared" si="73"/>
        <v>15.127071146837418</v>
      </c>
      <c r="M184" s="2">
        <f t="shared" si="73"/>
        <v>14.541775453270272</v>
      </c>
      <c r="N184" s="2">
        <f t="shared" si="73"/>
        <v>0.68811807234041145</v>
      </c>
      <c r="O184" s="2">
        <f t="shared" si="73"/>
        <v>9.555696575186813</v>
      </c>
      <c r="P184" s="2">
        <f t="shared" si="73"/>
        <v>0.68811807234040478</v>
      </c>
      <c r="Q184" s="2">
        <f t="shared" si="73"/>
        <v>1.571401532956417</v>
      </c>
    </row>
    <row r="185" spans="1:17" x14ac:dyDescent="0.25">
      <c r="A185" s="1"/>
    </row>
    <row r="186" spans="1:17" x14ac:dyDescent="0.25">
      <c r="A186" s="1" t="s">
        <v>26</v>
      </c>
      <c r="B186">
        <v>71.168333333333337</v>
      </c>
      <c r="C186">
        <v>67.568333333333328</v>
      </c>
      <c r="D186">
        <v>65.94</v>
      </c>
      <c r="E186">
        <v>57.678333333333335</v>
      </c>
      <c r="F186">
        <v>63.456666666666671</v>
      </c>
      <c r="G186">
        <v>69.62833333333333</v>
      </c>
      <c r="H186">
        <v>66.271666666666661</v>
      </c>
      <c r="I186">
        <v>46.448333333333331</v>
      </c>
      <c r="J186">
        <v>54.651666666666664</v>
      </c>
      <c r="K186">
        <v>68.36</v>
      </c>
      <c r="L186">
        <v>65.94</v>
      </c>
      <c r="M186">
        <v>43.366666666666667</v>
      </c>
      <c r="N186">
        <v>54.653333333333336</v>
      </c>
      <c r="O186">
        <v>22.613333333333333</v>
      </c>
      <c r="P186">
        <v>54.651666666666664</v>
      </c>
      <c r="Q186">
        <v>12.556666666666667</v>
      </c>
    </row>
    <row r="187" spans="1:17" x14ac:dyDescent="0.25">
      <c r="B187">
        <v>70.75</v>
      </c>
      <c r="C187">
        <v>61.744999999999997</v>
      </c>
      <c r="D187">
        <v>70.056666666666658</v>
      </c>
      <c r="E187">
        <v>60.771666666666668</v>
      </c>
      <c r="F187">
        <v>60.879999999999995</v>
      </c>
      <c r="G187">
        <v>71.206666666666663</v>
      </c>
      <c r="H187">
        <v>65.424999999999997</v>
      </c>
      <c r="I187">
        <v>48.414999999999999</v>
      </c>
      <c r="J187">
        <v>56.12</v>
      </c>
      <c r="K187">
        <v>66.911666666666676</v>
      </c>
      <c r="L187">
        <v>70.056666666666658</v>
      </c>
      <c r="M187">
        <v>42.178333333333335</v>
      </c>
      <c r="N187">
        <v>56.1175</v>
      </c>
      <c r="O187">
        <v>27.87833333333333</v>
      </c>
      <c r="P187">
        <v>56.12</v>
      </c>
      <c r="Q187">
        <v>16.59333333333333</v>
      </c>
    </row>
    <row r="188" spans="1:17" x14ac:dyDescent="0.25">
      <c r="B188">
        <v>71.040000000000006</v>
      </c>
      <c r="C188">
        <v>64.191666666666663</v>
      </c>
      <c r="D188">
        <v>74.441666666666663</v>
      </c>
      <c r="E188">
        <v>61.791666666666664</v>
      </c>
      <c r="F188">
        <v>61.338333333333338</v>
      </c>
      <c r="G188">
        <v>76.766666666666666</v>
      </c>
      <c r="H188">
        <v>67.353333333333339</v>
      </c>
      <c r="I188">
        <v>47.384999999999998</v>
      </c>
      <c r="J188">
        <v>55.268333333333338</v>
      </c>
      <c r="K188">
        <v>65.541666666666657</v>
      </c>
      <c r="L188">
        <v>74.441666666666663</v>
      </c>
      <c r="M188">
        <v>36.089999999999996</v>
      </c>
      <c r="N188">
        <v>55.265833333333326</v>
      </c>
      <c r="O188">
        <v>42.333333333333336</v>
      </c>
      <c r="P188">
        <v>55.268333333333338</v>
      </c>
      <c r="Q188">
        <v>14.694999999999999</v>
      </c>
    </row>
    <row r="189" spans="1:17" x14ac:dyDescent="0.25">
      <c r="B189" s="2">
        <f>AVERAGE(B186:B188)</f>
        <v>70.986111111111128</v>
      </c>
      <c r="C189" s="2">
        <f t="shared" ref="C189:Q189" si="74">AVERAGE(C186:C188)</f>
        <v>64.501666666666665</v>
      </c>
      <c r="D189" s="2">
        <f t="shared" si="74"/>
        <v>70.146111111111111</v>
      </c>
      <c r="E189" s="2">
        <f t="shared" si="74"/>
        <v>60.080555555555556</v>
      </c>
      <c r="F189" s="2">
        <f t="shared" si="74"/>
        <v>61.891666666666673</v>
      </c>
      <c r="G189" s="2">
        <f t="shared" si="74"/>
        <v>72.533888888888882</v>
      </c>
      <c r="H189" s="2">
        <f t="shared" si="74"/>
        <v>66.350000000000009</v>
      </c>
      <c r="I189" s="2">
        <f t="shared" si="74"/>
        <v>47.416111111111114</v>
      </c>
      <c r="J189" s="2">
        <f t="shared" si="74"/>
        <v>55.346666666666664</v>
      </c>
      <c r="K189" s="2">
        <f t="shared" si="74"/>
        <v>66.937777777777782</v>
      </c>
      <c r="L189" s="2">
        <f t="shared" si="74"/>
        <v>70.146111111111111</v>
      </c>
      <c r="M189" s="2">
        <f t="shared" si="74"/>
        <v>40.544999999999995</v>
      </c>
      <c r="N189" s="2">
        <f t="shared" si="74"/>
        <v>55.345555555555556</v>
      </c>
      <c r="O189" s="2">
        <f t="shared" si="74"/>
        <v>30.941666666666663</v>
      </c>
      <c r="P189" s="2">
        <f t="shared" si="74"/>
        <v>55.346666666666664</v>
      </c>
      <c r="Q189" s="2">
        <f t="shared" si="74"/>
        <v>14.615</v>
      </c>
    </row>
    <row r="190" spans="1:17" x14ac:dyDescent="0.25">
      <c r="B190" s="2">
        <f>_xlfn.STDEV.S(B186:B188)</f>
        <v>0.21430983109438687</v>
      </c>
      <c r="C190" s="2">
        <f t="shared" ref="C190:Q190" si="75">_xlfn.STDEV.S(C186:C188)</f>
        <v>2.9240174038089735</v>
      </c>
      <c r="D190" s="2">
        <f t="shared" si="75"/>
        <v>4.2515390459525655</v>
      </c>
      <c r="E190" s="2">
        <f t="shared" si="75"/>
        <v>2.141985925188048</v>
      </c>
      <c r="F190" s="2">
        <f t="shared" si="75"/>
        <v>1.3745676087814376</v>
      </c>
      <c r="G190" s="2">
        <f t="shared" si="75"/>
        <v>3.7496786282046655</v>
      </c>
      <c r="H190" s="2">
        <f t="shared" si="75"/>
        <v>0.9665502803498911</v>
      </c>
      <c r="I190" s="2">
        <f t="shared" si="75"/>
        <v>0.98370237895939461</v>
      </c>
      <c r="J190" s="2">
        <f t="shared" si="75"/>
        <v>0.73729422741384432</v>
      </c>
      <c r="K190" s="2">
        <f t="shared" si="75"/>
        <v>1.409348089379288</v>
      </c>
      <c r="L190" s="2">
        <f t="shared" si="75"/>
        <v>4.2515390459525655</v>
      </c>
      <c r="M190" s="2">
        <f t="shared" si="75"/>
        <v>3.9036268748149836</v>
      </c>
      <c r="N190" s="2">
        <f t="shared" si="75"/>
        <v>0.73533171526970065</v>
      </c>
      <c r="O190" s="2">
        <f t="shared" si="75"/>
        <v>10.210661503219738</v>
      </c>
      <c r="P190" s="2">
        <f t="shared" si="75"/>
        <v>0.73729422741384432</v>
      </c>
      <c r="Q190" s="2">
        <f t="shared" si="75"/>
        <v>2.0195220831781837</v>
      </c>
    </row>
    <row r="192" spans="1:17" x14ac:dyDescent="0.25">
      <c r="A192" s="1" t="s">
        <v>70</v>
      </c>
      <c r="B192">
        <v>77.688333333333347</v>
      </c>
      <c r="C192">
        <v>71.720000000000013</v>
      </c>
      <c r="D192">
        <v>77.371666666666655</v>
      </c>
      <c r="E192">
        <v>73.736666666666665</v>
      </c>
      <c r="F192">
        <v>73.726666666666645</v>
      </c>
      <c r="G192">
        <v>78.898333333333326</v>
      </c>
      <c r="H192">
        <v>76.196666666666673</v>
      </c>
      <c r="I192">
        <v>69.394999999999996</v>
      </c>
      <c r="J192">
        <v>70.318333333333328</v>
      </c>
      <c r="K192">
        <v>77.015000000000001</v>
      </c>
      <c r="L192">
        <v>77.371666666666655</v>
      </c>
      <c r="M192">
        <v>63.265000000000008</v>
      </c>
      <c r="N192">
        <v>70.318333333333328</v>
      </c>
      <c r="O192">
        <v>14.108333333333333</v>
      </c>
      <c r="P192">
        <v>70.318333333333328</v>
      </c>
      <c r="Q192">
        <v>40.656666666666666</v>
      </c>
    </row>
    <row r="193" spans="2:17" x14ac:dyDescent="0.25">
      <c r="B193">
        <v>80.063333333333333</v>
      </c>
      <c r="C193">
        <v>78.425000000000011</v>
      </c>
      <c r="D193">
        <v>66.703333333333333</v>
      </c>
      <c r="E193">
        <v>70.416666666666671</v>
      </c>
      <c r="F193">
        <v>79.376666666666665</v>
      </c>
      <c r="G193">
        <v>67.818333333333342</v>
      </c>
      <c r="H193">
        <v>72.99166666666666</v>
      </c>
      <c r="I193">
        <v>69.433333333333323</v>
      </c>
      <c r="J193">
        <v>71.33</v>
      </c>
      <c r="K193">
        <v>80.295000000000002</v>
      </c>
      <c r="L193">
        <v>66.703333333333333</v>
      </c>
      <c r="M193">
        <v>75.958333333333329</v>
      </c>
      <c r="N193">
        <v>71.330833333333331</v>
      </c>
      <c r="O193">
        <v>12.386666666666665</v>
      </c>
      <c r="P193">
        <v>71.33</v>
      </c>
      <c r="Q193">
        <v>42.555</v>
      </c>
    </row>
    <row r="194" spans="2:17" x14ac:dyDescent="0.25">
      <c r="B194">
        <v>80.341666666666654</v>
      </c>
      <c r="C194">
        <v>72.678333333333327</v>
      </c>
      <c r="D194">
        <v>76.105000000000004</v>
      </c>
      <c r="E194">
        <v>73.320000000000007</v>
      </c>
      <c r="F194">
        <v>74.33</v>
      </c>
      <c r="G194">
        <v>77.016666666666666</v>
      </c>
      <c r="H194">
        <v>75.569999999999993</v>
      </c>
      <c r="I194">
        <v>69.648333333333326</v>
      </c>
      <c r="J194">
        <v>71.153333333333322</v>
      </c>
      <c r="K194">
        <v>78.74666666666667</v>
      </c>
      <c r="L194">
        <v>76.105000000000004</v>
      </c>
      <c r="M194">
        <v>66.203333333333333</v>
      </c>
      <c r="N194">
        <v>71.154166666666654</v>
      </c>
      <c r="O194">
        <v>9.8983333333333334</v>
      </c>
      <c r="P194">
        <v>71.153333333333322</v>
      </c>
      <c r="Q194">
        <v>41.508333333333333</v>
      </c>
    </row>
    <row r="195" spans="2:17" x14ac:dyDescent="0.25">
      <c r="B195" s="2">
        <f>AVERAGE(B192:B194)</f>
        <v>79.36444444444443</v>
      </c>
      <c r="C195" s="2">
        <f t="shared" ref="C195:Q195" si="76">AVERAGE(C192:C194)</f>
        <v>74.274444444444455</v>
      </c>
      <c r="D195" s="2">
        <f t="shared" si="76"/>
        <v>73.393333333333331</v>
      </c>
      <c r="E195" s="2">
        <f t="shared" si="76"/>
        <v>72.491111111111124</v>
      </c>
      <c r="F195" s="2">
        <f t="shared" si="76"/>
        <v>75.811111111111089</v>
      </c>
      <c r="G195" s="2">
        <f t="shared" si="76"/>
        <v>74.577777777777783</v>
      </c>
      <c r="H195" s="2">
        <f t="shared" si="76"/>
        <v>74.919444444444437</v>
      </c>
      <c r="I195" s="2">
        <f t="shared" si="76"/>
        <v>69.49222222222221</v>
      </c>
      <c r="J195" s="2">
        <f t="shared" si="76"/>
        <v>70.933888888888873</v>
      </c>
      <c r="K195" s="2">
        <f t="shared" si="76"/>
        <v>78.685555555555553</v>
      </c>
      <c r="L195" s="2">
        <f t="shared" si="76"/>
        <v>73.393333333333331</v>
      </c>
      <c r="M195" s="2">
        <f t="shared" si="76"/>
        <v>68.475555555555559</v>
      </c>
      <c r="N195" s="2">
        <f t="shared" si="76"/>
        <v>70.934444444444424</v>
      </c>
      <c r="O195" s="2">
        <f t="shared" si="76"/>
        <v>12.13111111111111</v>
      </c>
      <c r="P195" s="2">
        <f t="shared" si="76"/>
        <v>70.933888888888873</v>
      </c>
      <c r="Q195" s="2">
        <f t="shared" si="76"/>
        <v>41.573333333333331</v>
      </c>
    </row>
    <row r="196" spans="2:17" x14ac:dyDescent="0.25">
      <c r="B196" s="2">
        <f>_xlfn.STDEV.S(B192:B194)</f>
        <v>1.458210788502015</v>
      </c>
      <c r="C196" s="2">
        <f t="shared" ref="C196:Q196" si="77">_xlfn.STDEV.S(C192:C194)</f>
        <v>3.6262838084269249</v>
      </c>
      <c r="D196" s="2">
        <f t="shared" si="77"/>
        <v>5.8282232379268963</v>
      </c>
      <c r="E196" s="2">
        <f t="shared" si="77"/>
        <v>1.8085609175785553</v>
      </c>
      <c r="F196" s="2">
        <f t="shared" si="77"/>
        <v>3.1025622624844509</v>
      </c>
      <c r="G196" s="2">
        <f t="shared" si="77"/>
        <v>5.9289741321124989</v>
      </c>
      <c r="H196" s="2">
        <f t="shared" si="77"/>
        <v>1.6986533337170842</v>
      </c>
      <c r="I196" s="2">
        <f t="shared" si="77"/>
        <v>0.13654805150704377</v>
      </c>
      <c r="J196" s="2">
        <f t="shared" si="77"/>
        <v>0.54035567847415034</v>
      </c>
      <c r="K196" s="2">
        <f t="shared" si="77"/>
        <v>1.6408537186251333</v>
      </c>
      <c r="L196" s="2">
        <f t="shared" si="77"/>
        <v>5.8282232379268963</v>
      </c>
      <c r="M196" s="2">
        <f t="shared" si="77"/>
        <v>6.6447289747700076</v>
      </c>
      <c r="N196" s="2">
        <f t="shared" si="77"/>
        <v>0.54083033726271612</v>
      </c>
      <c r="O196" s="2">
        <f t="shared" si="77"/>
        <v>2.1166025799571981</v>
      </c>
      <c r="P196" s="2">
        <f t="shared" si="77"/>
        <v>0.54035567847415034</v>
      </c>
      <c r="Q196" s="2">
        <f t="shared" si="77"/>
        <v>0.9508344288629389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A9C27-FE3C-4946-B57C-0476C2E05BC2}">
  <dimension ref="A1:AH149"/>
  <sheetViews>
    <sheetView topLeftCell="A7" zoomScale="40" zoomScaleNormal="40" workbookViewId="0">
      <selection activeCell="AA38" sqref="AA38"/>
    </sheetView>
  </sheetViews>
  <sheetFormatPr defaultRowHeight="14.4" x14ac:dyDescent="0.25"/>
  <cols>
    <col min="33" max="33" width="9.77734375" customWidth="1"/>
  </cols>
  <sheetData>
    <row r="1" spans="1:34" x14ac:dyDescent="0.25">
      <c r="A1" s="1" t="s">
        <v>101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t="s">
        <v>14</v>
      </c>
      <c r="Q1" s="2" t="s">
        <v>15</v>
      </c>
      <c r="R1" s="2" t="s">
        <v>72</v>
      </c>
      <c r="S1" t="s">
        <v>0</v>
      </c>
      <c r="T1" t="s">
        <v>1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Z1" t="s">
        <v>7</v>
      </c>
      <c r="AA1" t="s">
        <v>8</v>
      </c>
      <c r="AB1" t="s">
        <v>9</v>
      </c>
      <c r="AC1" s="2" t="s">
        <v>10</v>
      </c>
      <c r="AD1" s="2" t="s">
        <v>11</v>
      </c>
      <c r="AE1" s="2" t="s">
        <v>12</v>
      </c>
      <c r="AF1" s="2" t="s">
        <v>13</v>
      </c>
      <c r="AG1" t="s">
        <v>14</v>
      </c>
      <c r="AH1" s="2" t="s">
        <v>15</v>
      </c>
    </row>
    <row r="2" spans="1:34" x14ac:dyDescent="0.25">
      <c r="A2" s="1" t="s">
        <v>80</v>
      </c>
      <c r="B2">
        <v>82.87</v>
      </c>
      <c r="C2">
        <v>77.709999999999994</v>
      </c>
      <c r="D2">
        <v>72.37</v>
      </c>
      <c r="E2">
        <v>74.709999999999994</v>
      </c>
      <c r="F2">
        <v>79.819999999999993</v>
      </c>
      <c r="G2">
        <v>74.59</v>
      </c>
      <c r="H2">
        <v>77.12</v>
      </c>
      <c r="I2">
        <v>62.77</v>
      </c>
      <c r="J2">
        <v>65.06</v>
      </c>
      <c r="K2">
        <v>70.37</v>
      </c>
      <c r="L2">
        <v>72.37</v>
      </c>
      <c r="M2">
        <v>57.75</v>
      </c>
      <c r="N2">
        <f>(L2+M2)/2</f>
        <v>65.06</v>
      </c>
      <c r="O2">
        <v>14.62</v>
      </c>
      <c r="P2">
        <v>65.06</v>
      </c>
      <c r="Q2">
        <v>27.14</v>
      </c>
    </row>
    <row r="3" spans="1:34" x14ac:dyDescent="0.25">
      <c r="B3">
        <v>81.63</v>
      </c>
      <c r="C3">
        <v>81.14</v>
      </c>
      <c r="D3">
        <v>82.2</v>
      </c>
      <c r="E3">
        <v>81.489999999999995</v>
      </c>
      <c r="F3">
        <v>82.93</v>
      </c>
      <c r="G3">
        <v>83.61</v>
      </c>
      <c r="H3">
        <v>83.27</v>
      </c>
      <c r="I3">
        <v>70.53</v>
      </c>
      <c r="J3">
        <v>71.2</v>
      </c>
      <c r="K3">
        <v>72.25</v>
      </c>
      <c r="L3">
        <v>82.2</v>
      </c>
      <c r="M3">
        <v>60.2</v>
      </c>
      <c r="N3">
        <f t="shared" ref="N3:N11" si="0">(L3+M3)/2</f>
        <v>71.2</v>
      </c>
      <c r="O3">
        <v>22</v>
      </c>
      <c r="P3">
        <v>71.2</v>
      </c>
      <c r="Q3">
        <v>41.97</v>
      </c>
    </row>
    <row r="4" spans="1:34" x14ac:dyDescent="0.25">
      <c r="B4">
        <v>65.77</v>
      </c>
      <c r="C4">
        <v>69.14</v>
      </c>
      <c r="D4">
        <v>58.83</v>
      </c>
      <c r="E4">
        <v>61.99</v>
      </c>
      <c r="F4">
        <v>77.209999999999994</v>
      </c>
      <c r="G4">
        <v>66.88</v>
      </c>
      <c r="H4">
        <v>71.67</v>
      </c>
      <c r="I4">
        <v>62.52</v>
      </c>
      <c r="J4">
        <v>63.94</v>
      </c>
      <c r="K4">
        <v>68.63</v>
      </c>
      <c r="L4">
        <v>58.83</v>
      </c>
      <c r="M4">
        <v>69.05</v>
      </c>
      <c r="N4">
        <f t="shared" si="0"/>
        <v>63.94</v>
      </c>
      <c r="O4">
        <v>10.220000000000001</v>
      </c>
      <c r="P4">
        <v>63.94</v>
      </c>
      <c r="Q4">
        <v>28.68</v>
      </c>
    </row>
    <row r="5" spans="1:34" x14ac:dyDescent="0.25">
      <c r="B5">
        <v>85.96</v>
      </c>
      <c r="C5">
        <v>76.180000000000007</v>
      </c>
      <c r="D5">
        <v>78.53</v>
      </c>
      <c r="E5">
        <v>74.760000000000005</v>
      </c>
      <c r="F5">
        <v>74.400000000000006</v>
      </c>
      <c r="G5">
        <v>76.23</v>
      </c>
      <c r="H5">
        <v>75.3</v>
      </c>
      <c r="I5">
        <v>59.86</v>
      </c>
      <c r="J5">
        <v>64.59</v>
      </c>
      <c r="K5">
        <v>77.06</v>
      </c>
      <c r="L5">
        <v>78.53</v>
      </c>
      <c r="M5">
        <v>50.64</v>
      </c>
      <c r="N5">
        <f t="shared" si="0"/>
        <v>64.585000000000008</v>
      </c>
      <c r="O5">
        <v>27.89</v>
      </c>
      <c r="P5">
        <v>64.59</v>
      </c>
      <c r="Q5">
        <v>28.1</v>
      </c>
    </row>
    <row r="6" spans="1:34" x14ac:dyDescent="0.25">
      <c r="B6">
        <v>71.430000000000007</v>
      </c>
      <c r="C6">
        <v>68.349999999999994</v>
      </c>
      <c r="D6">
        <v>69.47</v>
      </c>
      <c r="E6">
        <v>64.36</v>
      </c>
      <c r="F6">
        <v>69.87</v>
      </c>
      <c r="G6">
        <v>69.430000000000007</v>
      </c>
      <c r="H6">
        <v>69.650000000000006</v>
      </c>
      <c r="I6">
        <v>60.84</v>
      </c>
      <c r="J6">
        <v>65.319999999999993</v>
      </c>
      <c r="K6">
        <v>72.59</v>
      </c>
      <c r="L6">
        <v>69.47</v>
      </c>
      <c r="M6">
        <v>61.17</v>
      </c>
      <c r="N6">
        <f t="shared" si="0"/>
        <v>65.319999999999993</v>
      </c>
      <c r="O6">
        <v>8.3000000000000007</v>
      </c>
      <c r="P6">
        <v>65.319999999999993</v>
      </c>
      <c r="Q6">
        <v>28.77</v>
      </c>
      <c r="S6">
        <v>76.45</v>
      </c>
      <c r="T6">
        <v>72.91</v>
      </c>
      <c r="U6">
        <v>71.48</v>
      </c>
      <c r="V6">
        <v>71.64</v>
      </c>
      <c r="W6">
        <v>73.52</v>
      </c>
      <c r="X6">
        <v>72.849999999999994</v>
      </c>
      <c r="Y6">
        <v>73.180000000000007</v>
      </c>
      <c r="Z6">
        <v>62.44</v>
      </c>
      <c r="AA6">
        <v>62.77</v>
      </c>
      <c r="AB6">
        <v>68.680000000000007</v>
      </c>
      <c r="AC6">
        <v>71.48</v>
      </c>
      <c r="AD6">
        <v>54.06</v>
      </c>
      <c r="AE6">
        <f>(AC6+AD6)/2</f>
        <v>62.77</v>
      </c>
      <c r="AF6">
        <v>17.420000000000002</v>
      </c>
      <c r="AG6">
        <v>62.77</v>
      </c>
      <c r="AH6">
        <v>25.94</v>
      </c>
    </row>
    <row r="7" spans="1:34" x14ac:dyDescent="0.25">
      <c r="B7">
        <v>59.31</v>
      </c>
      <c r="C7">
        <v>51.61</v>
      </c>
      <c r="D7">
        <v>57.95</v>
      </c>
      <c r="E7">
        <v>65.39</v>
      </c>
      <c r="F7">
        <v>60.58</v>
      </c>
      <c r="G7">
        <v>68.03</v>
      </c>
      <c r="H7">
        <v>64.09</v>
      </c>
      <c r="I7">
        <v>55.15</v>
      </c>
      <c r="J7">
        <v>55.46</v>
      </c>
      <c r="K7">
        <v>60.83</v>
      </c>
      <c r="L7">
        <v>57.95</v>
      </c>
      <c r="M7">
        <v>52.98</v>
      </c>
      <c r="N7">
        <f t="shared" si="0"/>
        <v>55.465000000000003</v>
      </c>
      <c r="O7">
        <v>4.97</v>
      </c>
      <c r="P7">
        <v>55.46</v>
      </c>
      <c r="Q7">
        <v>11.76</v>
      </c>
      <c r="S7">
        <v>82.57</v>
      </c>
      <c r="T7">
        <v>78.61</v>
      </c>
      <c r="U7">
        <v>71.739999999999995</v>
      </c>
      <c r="V7">
        <v>73.67</v>
      </c>
      <c r="W7">
        <v>78.099999999999994</v>
      </c>
      <c r="X7">
        <v>74.209999999999994</v>
      </c>
      <c r="Y7">
        <v>76.099999999999994</v>
      </c>
      <c r="Z7">
        <v>67.569999999999993</v>
      </c>
      <c r="AA7">
        <v>68.17</v>
      </c>
      <c r="AB7">
        <v>76.59</v>
      </c>
      <c r="AC7">
        <v>71.739999999999995</v>
      </c>
      <c r="AD7">
        <v>64.59</v>
      </c>
      <c r="AE7">
        <f t="shared" ref="AE7:AE11" si="1">(AC7+AD7)/2</f>
        <v>68.164999999999992</v>
      </c>
      <c r="AF7">
        <v>7.15</v>
      </c>
      <c r="AG7">
        <v>68.17</v>
      </c>
      <c r="AH7">
        <v>37.82</v>
      </c>
    </row>
    <row r="8" spans="1:34" x14ac:dyDescent="0.25">
      <c r="B8">
        <v>87.67</v>
      </c>
      <c r="C8">
        <v>80.349999999999994</v>
      </c>
      <c r="D8">
        <v>84.19</v>
      </c>
      <c r="E8">
        <v>80.790000000000006</v>
      </c>
      <c r="F8">
        <v>80.16</v>
      </c>
      <c r="G8">
        <v>82.79</v>
      </c>
      <c r="H8">
        <v>81.45</v>
      </c>
      <c r="I8">
        <v>69.05</v>
      </c>
      <c r="J8">
        <v>72.61</v>
      </c>
      <c r="K8">
        <v>80.41</v>
      </c>
      <c r="L8">
        <v>84.19</v>
      </c>
      <c r="M8">
        <v>61.03</v>
      </c>
      <c r="N8">
        <f t="shared" si="0"/>
        <v>72.61</v>
      </c>
      <c r="O8">
        <v>23.16</v>
      </c>
      <c r="P8">
        <v>72.61</v>
      </c>
      <c r="Q8">
        <v>42.72</v>
      </c>
      <c r="S8">
        <v>67</v>
      </c>
      <c r="T8">
        <v>62.99</v>
      </c>
      <c r="U8">
        <v>68.64</v>
      </c>
      <c r="V8">
        <v>62.66</v>
      </c>
      <c r="W8">
        <v>62.72</v>
      </c>
      <c r="X8">
        <v>69.28</v>
      </c>
      <c r="Y8">
        <v>65.84</v>
      </c>
      <c r="Z8">
        <v>60.92</v>
      </c>
      <c r="AA8">
        <v>63.2</v>
      </c>
      <c r="AB8">
        <v>68.06</v>
      </c>
      <c r="AC8">
        <v>68.64</v>
      </c>
      <c r="AD8">
        <v>57.76</v>
      </c>
      <c r="AE8">
        <f t="shared" si="1"/>
        <v>63.2</v>
      </c>
      <c r="AF8">
        <v>10.87</v>
      </c>
      <c r="AG8">
        <v>63.2</v>
      </c>
      <c r="AH8">
        <v>27.15</v>
      </c>
    </row>
    <row r="9" spans="1:34" x14ac:dyDescent="0.25">
      <c r="B9">
        <v>64.41</v>
      </c>
      <c r="C9">
        <v>67.27</v>
      </c>
      <c r="D9">
        <v>66.33</v>
      </c>
      <c r="E9">
        <v>63.65</v>
      </c>
      <c r="F9">
        <v>71.05</v>
      </c>
      <c r="G9">
        <v>68.790000000000006</v>
      </c>
      <c r="H9">
        <v>69.900000000000006</v>
      </c>
      <c r="I9">
        <v>60.72</v>
      </c>
      <c r="J9">
        <v>64.010000000000005</v>
      </c>
      <c r="K9">
        <v>72.569999999999993</v>
      </c>
      <c r="L9">
        <v>66.33</v>
      </c>
      <c r="M9">
        <v>61.69</v>
      </c>
      <c r="N9">
        <f t="shared" si="0"/>
        <v>64.009999999999991</v>
      </c>
      <c r="O9">
        <v>4.6399999999999997</v>
      </c>
      <c r="P9">
        <v>64.010000000000005</v>
      </c>
      <c r="Q9">
        <v>27.43</v>
      </c>
      <c r="S9">
        <v>84.1</v>
      </c>
      <c r="T9">
        <v>80.75</v>
      </c>
      <c r="U9">
        <v>70.28</v>
      </c>
      <c r="V9">
        <v>74.59</v>
      </c>
      <c r="W9">
        <v>80.510000000000005</v>
      </c>
      <c r="X9">
        <v>71.040000000000006</v>
      </c>
      <c r="Y9">
        <v>75.48</v>
      </c>
      <c r="Z9">
        <v>68.97</v>
      </c>
      <c r="AA9">
        <v>70.010000000000005</v>
      </c>
      <c r="AB9">
        <v>79.22</v>
      </c>
      <c r="AC9">
        <v>70.28</v>
      </c>
      <c r="AD9">
        <v>69.739999999999995</v>
      </c>
      <c r="AE9">
        <f t="shared" si="1"/>
        <v>70.009999999999991</v>
      </c>
      <c r="AF9">
        <v>0.54</v>
      </c>
      <c r="AG9">
        <v>70.010000000000005</v>
      </c>
      <c r="AH9">
        <v>39.659999999999997</v>
      </c>
    </row>
    <row r="10" spans="1:34" x14ac:dyDescent="0.25">
      <c r="B10">
        <v>63.36</v>
      </c>
      <c r="C10">
        <v>60.86</v>
      </c>
      <c r="D10">
        <v>62.64</v>
      </c>
      <c r="E10">
        <v>61.19</v>
      </c>
      <c r="F10">
        <v>65.87</v>
      </c>
      <c r="G10">
        <v>68.03</v>
      </c>
      <c r="H10">
        <v>66.94</v>
      </c>
      <c r="I10">
        <v>61.86</v>
      </c>
      <c r="J10">
        <v>62.1</v>
      </c>
      <c r="K10">
        <v>68.53</v>
      </c>
      <c r="L10">
        <v>62.64</v>
      </c>
      <c r="M10">
        <v>61.56</v>
      </c>
      <c r="N10">
        <f t="shared" si="0"/>
        <v>62.1</v>
      </c>
      <c r="O10">
        <v>1.08</v>
      </c>
      <c r="P10">
        <v>62.1</v>
      </c>
      <c r="Q10">
        <v>24.61</v>
      </c>
      <c r="S10">
        <v>71.680000000000007</v>
      </c>
      <c r="T10">
        <v>65.22</v>
      </c>
      <c r="U10">
        <v>59.85</v>
      </c>
      <c r="V10">
        <v>61.45</v>
      </c>
      <c r="W10">
        <v>68.12</v>
      </c>
      <c r="X10">
        <v>61.44</v>
      </c>
      <c r="Y10">
        <v>64.599999999999994</v>
      </c>
      <c r="Z10">
        <v>63.56</v>
      </c>
      <c r="AA10">
        <v>65.12</v>
      </c>
      <c r="AB10">
        <v>75.23</v>
      </c>
      <c r="AC10">
        <v>59.85</v>
      </c>
      <c r="AD10">
        <v>70.39</v>
      </c>
      <c r="AE10">
        <f t="shared" si="1"/>
        <v>65.12</v>
      </c>
      <c r="AF10">
        <v>10.54</v>
      </c>
      <c r="AG10">
        <v>65.12</v>
      </c>
      <c r="AH10">
        <v>29.2</v>
      </c>
    </row>
    <row r="11" spans="1:34" x14ac:dyDescent="0.25">
      <c r="B11">
        <v>65.02</v>
      </c>
      <c r="C11">
        <v>59.58</v>
      </c>
      <c r="D11">
        <v>72.930000000000007</v>
      </c>
      <c r="E11">
        <v>64.77</v>
      </c>
      <c r="F11">
        <v>64.33</v>
      </c>
      <c r="G11">
        <v>76.28</v>
      </c>
      <c r="H11">
        <v>69.8</v>
      </c>
      <c r="I11">
        <v>63.37</v>
      </c>
      <c r="J11">
        <v>64.94</v>
      </c>
      <c r="K11">
        <v>69.84</v>
      </c>
      <c r="L11">
        <v>72.930000000000007</v>
      </c>
      <c r="M11">
        <v>56.94</v>
      </c>
      <c r="N11">
        <f t="shared" si="0"/>
        <v>64.935000000000002</v>
      </c>
      <c r="O11">
        <v>16</v>
      </c>
      <c r="P11">
        <v>64.94</v>
      </c>
      <c r="Q11">
        <v>30.16</v>
      </c>
      <c r="S11">
        <v>67.099999999999994</v>
      </c>
      <c r="T11">
        <v>64.48</v>
      </c>
      <c r="U11">
        <v>66.31</v>
      </c>
      <c r="V11">
        <v>63.43</v>
      </c>
      <c r="W11">
        <v>66.87</v>
      </c>
      <c r="X11">
        <v>67.88</v>
      </c>
      <c r="Y11">
        <v>67.37</v>
      </c>
      <c r="Z11">
        <v>63.32</v>
      </c>
      <c r="AA11">
        <v>65.11</v>
      </c>
      <c r="AB11">
        <v>68.84</v>
      </c>
      <c r="AC11">
        <v>66.31</v>
      </c>
      <c r="AD11">
        <v>63.92</v>
      </c>
      <c r="AE11">
        <f t="shared" si="1"/>
        <v>65.115000000000009</v>
      </c>
      <c r="AF11">
        <v>2.4</v>
      </c>
      <c r="AG11">
        <v>65.11</v>
      </c>
      <c r="AH11">
        <v>29.17</v>
      </c>
    </row>
    <row r="12" spans="1:34" x14ac:dyDescent="0.25">
      <c r="B12" s="2">
        <f>AVERAGE(B2:B11)</f>
        <v>72.742999999999995</v>
      </c>
      <c r="C12" s="2">
        <f t="shared" ref="C12:Q12" si="2">AVERAGE(C2:C11)</f>
        <v>69.219000000000008</v>
      </c>
      <c r="D12" s="2">
        <f t="shared" si="2"/>
        <v>70.544000000000011</v>
      </c>
      <c r="E12" s="2">
        <f t="shared" si="2"/>
        <v>69.309999999999988</v>
      </c>
      <c r="F12" s="2">
        <f t="shared" si="2"/>
        <v>72.622</v>
      </c>
      <c r="G12" s="2">
        <f t="shared" si="2"/>
        <v>73.46599999999998</v>
      </c>
      <c r="H12" s="2">
        <f t="shared" si="2"/>
        <v>72.919000000000011</v>
      </c>
      <c r="I12" s="2">
        <f t="shared" si="2"/>
        <v>62.666999999999994</v>
      </c>
      <c r="J12" s="2">
        <f t="shared" si="2"/>
        <v>64.923000000000002</v>
      </c>
      <c r="K12" s="2">
        <f t="shared" si="2"/>
        <v>71.308000000000007</v>
      </c>
      <c r="L12" s="2">
        <f t="shared" si="2"/>
        <v>70.544000000000011</v>
      </c>
      <c r="M12" s="2">
        <f t="shared" si="2"/>
        <v>59.301000000000002</v>
      </c>
      <c r="N12" s="2">
        <f t="shared" si="2"/>
        <v>64.922499999999985</v>
      </c>
      <c r="O12" s="2">
        <f t="shared" si="2"/>
        <v>13.288</v>
      </c>
      <c r="P12" s="2">
        <f t="shared" si="2"/>
        <v>64.923000000000002</v>
      </c>
      <c r="Q12" s="2">
        <f t="shared" si="2"/>
        <v>29.134000000000004</v>
      </c>
      <c r="S12" s="2">
        <f>AVERAGE(S6:S11)</f>
        <v>74.816666666666663</v>
      </c>
      <c r="T12" s="2">
        <f t="shared" ref="T12:AH12" si="3">AVERAGE(T6:T11)</f>
        <v>70.826666666666668</v>
      </c>
      <c r="U12" s="2">
        <f t="shared" si="3"/>
        <v>68.05</v>
      </c>
      <c r="V12" s="2">
        <f t="shared" si="3"/>
        <v>67.906666666666666</v>
      </c>
      <c r="W12" s="2">
        <f t="shared" si="3"/>
        <v>71.64</v>
      </c>
      <c r="X12" s="2">
        <f t="shared" si="3"/>
        <v>69.45</v>
      </c>
      <c r="Y12" s="2">
        <f t="shared" si="3"/>
        <v>70.428333333333342</v>
      </c>
      <c r="Z12" s="2">
        <f t="shared" si="3"/>
        <v>64.463333333333324</v>
      </c>
      <c r="AA12" s="2">
        <f t="shared" si="3"/>
        <v>65.73</v>
      </c>
      <c r="AB12" s="2">
        <f t="shared" si="3"/>
        <v>72.77</v>
      </c>
      <c r="AC12" s="2">
        <f t="shared" si="3"/>
        <v>68.05</v>
      </c>
      <c r="AD12" s="2">
        <f t="shared" si="3"/>
        <v>63.41</v>
      </c>
      <c r="AE12" s="2">
        <f t="shared" si="3"/>
        <v>65.73</v>
      </c>
      <c r="AF12" s="2">
        <f t="shared" si="3"/>
        <v>8.1533333333333324</v>
      </c>
      <c r="AG12" s="2">
        <f t="shared" si="3"/>
        <v>65.73</v>
      </c>
      <c r="AH12" s="2">
        <f t="shared" si="3"/>
        <v>31.49</v>
      </c>
    </row>
    <row r="13" spans="1:34" x14ac:dyDescent="0.25">
      <c r="A13" s="1" t="s">
        <v>81</v>
      </c>
      <c r="B13">
        <v>78.59</v>
      </c>
      <c r="C13">
        <v>76.37</v>
      </c>
      <c r="D13">
        <v>74.099999999999994</v>
      </c>
      <c r="E13">
        <v>74.709999999999994</v>
      </c>
      <c r="F13">
        <v>77.97</v>
      </c>
      <c r="G13">
        <v>75.41</v>
      </c>
      <c r="H13">
        <v>76.67</v>
      </c>
      <c r="I13">
        <v>61.87</v>
      </c>
      <c r="J13">
        <v>63.74</v>
      </c>
      <c r="K13">
        <v>66.37</v>
      </c>
      <c r="L13">
        <v>74.099999999999994</v>
      </c>
      <c r="M13">
        <v>53.38</v>
      </c>
      <c r="N13">
        <f>(L13+M13)/2</f>
        <v>63.739999999999995</v>
      </c>
      <c r="O13">
        <v>20.72</v>
      </c>
      <c r="P13">
        <v>63.74</v>
      </c>
      <c r="Q13">
        <v>25.66</v>
      </c>
    </row>
    <row r="14" spans="1:34" x14ac:dyDescent="0.25">
      <c r="B14">
        <v>86.19</v>
      </c>
      <c r="C14">
        <v>78.98</v>
      </c>
      <c r="D14">
        <v>84.66</v>
      </c>
      <c r="E14">
        <v>81.599999999999994</v>
      </c>
      <c r="F14">
        <v>81.06</v>
      </c>
      <c r="G14">
        <v>87.7</v>
      </c>
      <c r="H14">
        <v>84.25</v>
      </c>
      <c r="I14">
        <v>65.81</v>
      </c>
      <c r="J14">
        <v>66.099999999999994</v>
      </c>
      <c r="K14">
        <v>79.48</v>
      </c>
      <c r="L14">
        <v>84.66</v>
      </c>
      <c r="M14">
        <v>47.53</v>
      </c>
      <c r="N14">
        <f t="shared" ref="N14:N22" si="4">(L14+M14)/2</f>
        <v>66.094999999999999</v>
      </c>
      <c r="O14">
        <v>37.130000000000003</v>
      </c>
      <c r="P14">
        <v>66.099999999999994</v>
      </c>
      <c r="Q14">
        <v>33.89</v>
      </c>
    </row>
    <row r="15" spans="1:34" x14ac:dyDescent="0.25">
      <c r="B15">
        <v>68.09</v>
      </c>
      <c r="C15">
        <v>69.680000000000007</v>
      </c>
      <c r="D15">
        <v>63.37</v>
      </c>
      <c r="E15">
        <v>64.489999999999995</v>
      </c>
      <c r="F15">
        <v>74.650000000000006</v>
      </c>
      <c r="G15">
        <v>67.52</v>
      </c>
      <c r="H15">
        <v>70.900000000000006</v>
      </c>
      <c r="I15">
        <v>62.57</v>
      </c>
      <c r="J15">
        <v>64.83</v>
      </c>
      <c r="K15">
        <v>70.849999999999994</v>
      </c>
      <c r="L15">
        <v>63.37</v>
      </c>
      <c r="M15">
        <v>66.3</v>
      </c>
      <c r="N15">
        <f t="shared" si="4"/>
        <v>64.834999999999994</v>
      </c>
      <c r="O15">
        <v>2.93</v>
      </c>
      <c r="P15">
        <v>64.83</v>
      </c>
      <c r="Q15">
        <v>28.54</v>
      </c>
    </row>
    <row r="16" spans="1:34" x14ac:dyDescent="0.25">
      <c r="B16">
        <v>85.45</v>
      </c>
      <c r="C16">
        <v>77.400000000000006</v>
      </c>
      <c r="D16">
        <v>78.33</v>
      </c>
      <c r="E16">
        <v>76.739999999999995</v>
      </c>
      <c r="F16">
        <v>77.87</v>
      </c>
      <c r="G16">
        <v>77.87</v>
      </c>
      <c r="H16">
        <v>77.87</v>
      </c>
      <c r="I16">
        <v>63.73</v>
      </c>
      <c r="J16">
        <v>66.23</v>
      </c>
      <c r="K16">
        <v>75.86</v>
      </c>
      <c r="L16">
        <v>78.33</v>
      </c>
      <c r="M16">
        <v>54.14</v>
      </c>
      <c r="N16">
        <f t="shared" si="4"/>
        <v>66.234999999999999</v>
      </c>
      <c r="O16">
        <v>24.19</v>
      </c>
      <c r="P16">
        <v>66.23</v>
      </c>
      <c r="Q16">
        <v>30.84</v>
      </c>
    </row>
    <row r="17" spans="1:34" x14ac:dyDescent="0.25">
      <c r="B17">
        <v>66.39</v>
      </c>
      <c r="C17">
        <v>66.62</v>
      </c>
      <c r="D17">
        <v>68.47</v>
      </c>
      <c r="E17">
        <v>63.63</v>
      </c>
      <c r="F17">
        <v>67.3</v>
      </c>
      <c r="G17">
        <v>68.150000000000006</v>
      </c>
      <c r="H17">
        <v>67.72</v>
      </c>
      <c r="I17">
        <v>59.55</v>
      </c>
      <c r="J17">
        <v>64.540000000000006</v>
      </c>
      <c r="K17">
        <v>70.12</v>
      </c>
      <c r="L17">
        <v>68.47</v>
      </c>
      <c r="M17">
        <v>60.61</v>
      </c>
      <c r="N17">
        <f t="shared" si="4"/>
        <v>64.539999999999992</v>
      </c>
      <c r="O17">
        <v>7.86</v>
      </c>
      <c r="P17">
        <v>64.540000000000006</v>
      </c>
      <c r="Q17">
        <v>26.72</v>
      </c>
      <c r="S17">
        <v>76.81</v>
      </c>
      <c r="T17">
        <v>71.819999999999993</v>
      </c>
      <c r="U17">
        <v>73.83</v>
      </c>
      <c r="V17">
        <v>72.180000000000007</v>
      </c>
      <c r="W17">
        <v>71.62</v>
      </c>
      <c r="X17">
        <v>74.209999999999994</v>
      </c>
      <c r="Y17">
        <v>72.89</v>
      </c>
      <c r="Z17">
        <v>61.26</v>
      </c>
      <c r="AA17">
        <v>62.31</v>
      </c>
      <c r="AB17">
        <v>67.25</v>
      </c>
      <c r="AC17">
        <v>73.83</v>
      </c>
      <c r="AD17">
        <v>50.79</v>
      </c>
      <c r="AE17">
        <f>(AC17+AD17)/2</f>
        <v>62.31</v>
      </c>
      <c r="AF17">
        <v>23.04</v>
      </c>
      <c r="AG17">
        <v>62.31</v>
      </c>
      <c r="AH17">
        <v>24.33</v>
      </c>
    </row>
    <row r="18" spans="1:34" x14ac:dyDescent="0.25">
      <c r="B18">
        <v>63.65</v>
      </c>
      <c r="C18">
        <v>55.85</v>
      </c>
      <c r="D18">
        <v>61.4</v>
      </c>
      <c r="E18">
        <v>69.12</v>
      </c>
      <c r="F18">
        <v>61.76</v>
      </c>
      <c r="G18">
        <v>68.849999999999994</v>
      </c>
      <c r="H18">
        <v>65.12</v>
      </c>
      <c r="I18">
        <v>58.52</v>
      </c>
      <c r="J18">
        <v>58.8</v>
      </c>
      <c r="K18">
        <v>63.55</v>
      </c>
      <c r="L18">
        <v>61.4</v>
      </c>
      <c r="M18">
        <v>56.21</v>
      </c>
      <c r="N18">
        <f t="shared" si="4"/>
        <v>58.805</v>
      </c>
      <c r="O18">
        <v>5.19</v>
      </c>
      <c r="P18">
        <v>58.8</v>
      </c>
      <c r="Q18">
        <v>18.52</v>
      </c>
      <c r="S18">
        <v>76.040000000000006</v>
      </c>
      <c r="T18">
        <v>72.92</v>
      </c>
      <c r="U18">
        <v>55.43</v>
      </c>
      <c r="V18">
        <v>62.12</v>
      </c>
      <c r="W18">
        <v>73.099999999999994</v>
      </c>
      <c r="X18">
        <v>56.56</v>
      </c>
      <c r="Y18">
        <v>63.78</v>
      </c>
      <c r="Z18">
        <v>57.8</v>
      </c>
      <c r="AA18">
        <v>59.24</v>
      </c>
      <c r="AB18">
        <v>65.930000000000007</v>
      </c>
      <c r="AC18">
        <v>55.43</v>
      </c>
      <c r="AD18">
        <v>63.05</v>
      </c>
      <c r="AE18">
        <f t="shared" ref="AE18:AE22" si="5">(AC18+AD18)/2</f>
        <v>59.239999999999995</v>
      </c>
      <c r="AF18">
        <v>7.62</v>
      </c>
      <c r="AG18">
        <v>59.24</v>
      </c>
      <c r="AH18">
        <v>19.149999999999999</v>
      </c>
    </row>
    <row r="19" spans="1:34" x14ac:dyDescent="0.25">
      <c r="B19">
        <v>86.25</v>
      </c>
      <c r="C19">
        <v>80.62</v>
      </c>
      <c r="D19">
        <v>79.5</v>
      </c>
      <c r="E19">
        <v>78.55</v>
      </c>
      <c r="F19">
        <v>80.510000000000005</v>
      </c>
      <c r="G19">
        <v>77.87</v>
      </c>
      <c r="H19">
        <v>79.17</v>
      </c>
      <c r="I19">
        <v>68</v>
      </c>
      <c r="J19">
        <v>72.27</v>
      </c>
      <c r="K19">
        <v>80.010000000000005</v>
      </c>
      <c r="L19">
        <v>79.5</v>
      </c>
      <c r="M19">
        <v>65.03</v>
      </c>
      <c r="N19">
        <f t="shared" si="4"/>
        <v>72.265000000000001</v>
      </c>
      <c r="O19">
        <v>14.46</v>
      </c>
      <c r="P19">
        <v>72.27</v>
      </c>
      <c r="Q19">
        <v>40.98</v>
      </c>
      <c r="S19">
        <v>66.790000000000006</v>
      </c>
      <c r="T19">
        <v>60.8</v>
      </c>
      <c r="U19">
        <v>59.47</v>
      </c>
      <c r="V19">
        <v>56.8</v>
      </c>
      <c r="W19">
        <v>59.21</v>
      </c>
      <c r="X19">
        <v>58.82</v>
      </c>
      <c r="Y19">
        <v>59.02</v>
      </c>
      <c r="Z19">
        <v>57.27</v>
      </c>
      <c r="AA19">
        <v>59.84</v>
      </c>
      <c r="AB19">
        <v>67.28</v>
      </c>
      <c r="AC19">
        <v>59.47</v>
      </c>
      <c r="AD19">
        <v>60.21</v>
      </c>
      <c r="AE19">
        <f t="shared" si="5"/>
        <v>59.84</v>
      </c>
      <c r="AF19">
        <v>0.74</v>
      </c>
      <c r="AG19">
        <v>59.84</v>
      </c>
      <c r="AH19">
        <v>20.3</v>
      </c>
    </row>
    <row r="20" spans="1:34" x14ac:dyDescent="0.25">
      <c r="B20">
        <v>67.680000000000007</v>
      </c>
      <c r="C20">
        <v>67.48</v>
      </c>
      <c r="D20">
        <v>71.5</v>
      </c>
      <c r="E20">
        <v>64.39</v>
      </c>
      <c r="F20">
        <v>67.52</v>
      </c>
      <c r="G20">
        <v>67.52</v>
      </c>
      <c r="H20">
        <v>67.52</v>
      </c>
      <c r="I20">
        <v>60.28</v>
      </c>
      <c r="J20">
        <v>67.69</v>
      </c>
      <c r="K20">
        <v>71.03</v>
      </c>
      <c r="L20">
        <v>71.5</v>
      </c>
      <c r="M20">
        <v>63.89</v>
      </c>
      <c r="N20">
        <f t="shared" si="4"/>
        <v>67.694999999999993</v>
      </c>
      <c r="O20">
        <v>7.61</v>
      </c>
      <c r="P20">
        <v>67.69</v>
      </c>
      <c r="Q20">
        <v>29.48</v>
      </c>
      <c r="S20">
        <v>81.62</v>
      </c>
      <c r="T20">
        <v>79.8</v>
      </c>
      <c r="U20">
        <v>67.14</v>
      </c>
      <c r="V20">
        <v>71.78</v>
      </c>
      <c r="W20">
        <v>80</v>
      </c>
      <c r="X20">
        <v>66.97</v>
      </c>
      <c r="Y20">
        <v>72.91</v>
      </c>
      <c r="Z20">
        <v>68.05</v>
      </c>
      <c r="AA20">
        <v>70.7</v>
      </c>
      <c r="AB20">
        <v>75.900000000000006</v>
      </c>
      <c r="AC20">
        <v>67.14</v>
      </c>
      <c r="AD20">
        <v>74.260000000000005</v>
      </c>
      <c r="AE20">
        <f t="shared" si="5"/>
        <v>70.7</v>
      </c>
      <c r="AF20">
        <v>7.13</v>
      </c>
      <c r="AG20">
        <v>70.7</v>
      </c>
      <c r="AH20">
        <v>40.17</v>
      </c>
    </row>
    <row r="21" spans="1:34" x14ac:dyDescent="0.25">
      <c r="B21">
        <v>60.77</v>
      </c>
      <c r="C21">
        <v>55.72</v>
      </c>
      <c r="D21">
        <v>60.34</v>
      </c>
      <c r="E21">
        <v>68.94</v>
      </c>
      <c r="F21">
        <v>63.64</v>
      </c>
      <c r="G21">
        <v>68.849999999999994</v>
      </c>
      <c r="H21">
        <v>66.14</v>
      </c>
      <c r="I21">
        <v>58.74</v>
      </c>
      <c r="J21">
        <v>58.77</v>
      </c>
      <c r="K21">
        <v>64.569999999999993</v>
      </c>
      <c r="L21">
        <v>60.34</v>
      </c>
      <c r="M21">
        <v>57.2</v>
      </c>
      <c r="N21">
        <f t="shared" si="4"/>
        <v>58.77</v>
      </c>
      <c r="O21">
        <v>3.14</v>
      </c>
      <c r="P21">
        <v>58.77</v>
      </c>
      <c r="Q21">
        <v>18.059999999999999</v>
      </c>
      <c r="S21">
        <v>74.91</v>
      </c>
      <c r="T21">
        <v>71.89</v>
      </c>
      <c r="U21">
        <v>67.13</v>
      </c>
      <c r="V21">
        <v>67.03</v>
      </c>
      <c r="W21">
        <v>71.03</v>
      </c>
      <c r="X21">
        <v>67.319999999999993</v>
      </c>
      <c r="Y21">
        <v>69.13</v>
      </c>
      <c r="Z21">
        <v>68.290000000000006</v>
      </c>
      <c r="AA21">
        <v>71.47</v>
      </c>
      <c r="AB21">
        <v>80.540000000000006</v>
      </c>
      <c r="AC21">
        <v>67.13</v>
      </c>
      <c r="AD21">
        <v>75.819999999999993</v>
      </c>
      <c r="AE21">
        <f t="shared" si="5"/>
        <v>71.474999999999994</v>
      </c>
      <c r="AF21">
        <v>8.69</v>
      </c>
      <c r="AG21">
        <v>71.47</v>
      </c>
      <c r="AH21">
        <v>41.59</v>
      </c>
    </row>
    <row r="22" spans="1:34" x14ac:dyDescent="0.25">
      <c r="B22">
        <v>67.099999999999994</v>
      </c>
      <c r="C22">
        <v>60.98</v>
      </c>
      <c r="D22">
        <v>71.94</v>
      </c>
      <c r="E22">
        <v>65.069999999999993</v>
      </c>
      <c r="F22">
        <v>63.82</v>
      </c>
      <c r="G22">
        <v>73.91</v>
      </c>
      <c r="H22">
        <v>68.5</v>
      </c>
      <c r="I22">
        <v>63.18</v>
      </c>
      <c r="J22">
        <v>64.53</v>
      </c>
      <c r="K22">
        <v>71.19</v>
      </c>
      <c r="L22">
        <v>71.94</v>
      </c>
      <c r="M22">
        <v>57.12</v>
      </c>
      <c r="N22">
        <f t="shared" si="4"/>
        <v>64.53</v>
      </c>
      <c r="O22">
        <v>14.82</v>
      </c>
      <c r="P22">
        <v>64.53</v>
      </c>
      <c r="Q22">
        <v>28.83</v>
      </c>
      <c r="S22">
        <v>68.069999999999993</v>
      </c>
      <c r="T22">
        <v>61.18</v>
      </c>
      <c r="U22">
        <v>65.22</v>
      </c>
      <c r="V22">
        <v>60.19</v>
      </c>
      <c r="W22">
        <v>63.69</v>
      </c>
      <c r="X22">
        <v>64.849999999999994</v>
      </c>
      <c r="Y22">
        <v>64.260000000000005</v>
      </c>
      <c r="Z22">
        <v>60.59</v>
      </c>
      <c r="AA22">
        <v>63.51</v>
      </c>
      <c r="AB22">
        <v>68.430000000000007</v>
      </c>
      <c r="AC22">
        <v>65.22</v>
      </c>
      <c r="AD22">
        <v>61.79</v>
      </c>
      <c r="AE22">
        <f t="shared" si="5"/>
        <v>63.504999999999995</v>
      </c>
      <c r="AF22">
        <v>3.42</v>
      </c>
      <c r="AG22">
        <v>63.51</v>
      </c>
      <c r="AH22">
        <v>25.52</v>
      </c>
    </row>
    <row r="23" spans="1:34" x14ac:dyDescent="0.25">
      <c r="B23" s="2">
        <f>AVERAGE(B13:B22)</f>
        <v>73.015999999999991</v>
      </c>
      <c r="C23" s="2">
        <f t="shared" ref="C23:Q23" si="6">AVERAGE(C13:C22)</f>
        <v>68.970000000000013</v>
      </c>
      <c r="D23" s="2">
        <f t="shared" si="6"/>
        <v>71.36099999999999</v>
      </c>
      <c r="E23" s="2">
        <f t="shared" si="6"/>
        <v>70.724000000000004</v>
      </c>
      <c r="F23" s="2">
        <f t="shared" si="6"/>
        <v>71.61</v>
      </c>
      <c r="G23" s="2">
        <f t="shared" si="6"/>
        <v>73.364999999999995</v>
      </c>
      <c r="H23" s="2">
        <f t="shared" si="6"/>
        <v>72.385999999999996</v>
      </c>
      <c r="I23" s="2">
        <f t="shared" si="6"/>
        <v>62.224999999999987</v>
      </c>
      <c r="J23" s="2">
        <f t="shared" si="6"/>
        <v>64.75</v>
      </c>
      <c r="K23" s="2">
        <f t="shared" si="6"/>
        <v>71.302999999999997</v>
      </c>
      <c r="L23" s="2">
        <f t="shared" si="6"/>
        <v>71.36099999999999</v>
      </c>
      <c r="M23" s="2">
        <f t="shared" si="6"/>
        <v>58.140999999999998</v>
      </c>
      <c r="N23" s="2">
        <f t="shared" si="6"/>
        <v>64.750999999999991</v>
      </c>
      <c r="O23" s="2">
        <f t="shared" si="6"/>
        <v>13.804999999999998</v>
      </c>
      <c r="P23" s="2">
        <f t="shared" si="6"/>
        <v>64.75</v>
      </c>
      <c r="Q23" s="2">
        <f t="shared" si="6"/>
        <v>28.151999999999997</v>
      </c>
      <c r="S23" s="2">
        <f>AVERAGE(S17:S22)</f>
        <v>74.040000000000006</v>
      </c>
      <c r="T23" s="2">
        <f t="shared" ref="T23:AH23" si="7">AVERAGE(T17:T22)</f>
        <v>69.734999999999999</v>
      </c>
      <c r="U23" s="2">
        <f t="shared" si="7"/>
        <v>64.703333333333333</v>
      </c>
      <c r="V23" s="2">
        <f t="shared" si="7"/>
        <v>65.016666666666666</v>
      </c>
      <c r="W23" s="2">
        <f t="shared" si="7"/>
        <v>69.775000000000006</v>
      </c>
      <c r="X23" s="2">
        <f t="shared" si="7"/>
        <v>64.788333333333313</v>
      </c>
      <c r="Y23" s="2">
        <f t="shared" si="7"/>
        <v>66.998333333333335</v>
      </c>
      <c r="Z23" s="2">
        <f t="shared" si="7"/>
        <v>62.21</v>
      </c>
      <c r="AA23" s="2">
        <f t="shared" si="7"/>
        <v>64.51166666666667</v>
      </c>
      <c r="AB23" s="2">
        <f t="shared" si="7"/>
        <v>70.888333333333335</v>
      </c>
      <c r="AC23" s="2">
        <f t="shared" si="7"/>
        <v>64.703333333333333</v>
      </c>
      <c r="AD23" s="2">
        <f t="shared" si="7"/>
        <v>64.320000000000007</v>
      </c>
      <c r="AE23" s="2">
        <f t="shared" si="7"/>
        <v>64.511666666666656</v>
      </c>
      <c r="AF23" s="2">
        <f t="shared" si="7"/>
        <v>8.44</v>
      </c>
      <c r="AG23" s="2">
        <f t="shared" si="7"/>
        <v>64.51166666666667</v>
      </c>
      <c r="AH23" s="2">
        <f t="shared" si="7"/>
        <v>28.510000000000005</v>
      </c>
    </row>
    <row r="24" spans="1:34" x14ac:dyDescent="0.25">
      <c r="A24" s="1" t="s">
        <v>82</v>
      </c>
      <c r="B24">
        <v>88.71</v>
      </c>
      <c r="C24">
        <v>82.73</v>
      </c>
      <c r="D24">
        <v>78.73</v>
      </c>
      <c r="E24">
        <v>80.290000000000006</v>
      </c>
      <c r="F24">
        <v>84.35</v>
      </c>
      <c r="G24">
        <v>79.510000000000005</v>
      </c>
      <c r="H24">
        <v>81.86</v>
      </c>
      <c r="I24">
        <v>71.930000000000007</v>
      </c>
      <c r="J24">
        <v>75.180000000000007</v>
      </c>
      <c r="K24">
        <v>83.69</v>
      </c>
      <c r="L24">
        <v>78.73</v>
      </c>
      <c r="M24">
        <v>71.64</v>
      </c>
      <c r="N24">
        <f>(L24+M24)/2</f>
        <v>75.185000000000002</v>
      </c>
      <c r="O24">
        <v>7.09</v>
      </c>
      <c r="P24">
        <v>75.180000000000007</v>
      </c>
      <c r="Q24">
        <v>45.78</v>
      </c>
    </row>
    <row r="25" spans="1:34" x14ac:dyDescent="0.25">
      <c r="B25">
        <v>87.76</v>
      </c>
      <c r="C25">
        <v>81.94</v>
      </c>
      <c r="D25">
        <v>82.78</v>
      </c>
      <c r="E25">
        <v>82.22</v>
      </c>
      <c r="F25">
        <v>83.61</v>
      </c>
      <c r="G25">
        <v>83.61</v>
      </c>
      <c r="H25">
        <v>83.61</v>
      </c>
      <c r="I25">
        <v>71.88</v>
      </c>
      <c r="J25">
        <v>72.88</v>
      </c>
      <c r="K25">
        <v>79.7</v>
      </c>
      <c r="L25">
        <v>82.78</v>
      </c>
      <c r="M25">
        <v>62.98</v>
      </c>
      <c r="N25">
        <f t="shared" ref="N25:N33" si="8">(L25+M25)/2</f>
        <v>72.88</v>
      </c>
      <c r="O25">
        <v>19.809999999999999</v>
      </c>
      <c r="P25">
        <v>72.88</v>
      </c>
      <c r="Q25">
        <v>44.17</v>
      </c>
    </row>
    <row r="26" spans="1:34" x14ac:dyDescent="0.25">
      <c r="B26">
        <v>69.94</v>
      </c>
      <c r="C26">
        <v>68.78</v>
      </c>
      <c r="D26">
        <v>60.49</v>
      </c>
      <c r="E26">
        <v>62.91</v>
      </c>
      <c r="F26">
        <v>73.760000000000005</v>
      </c>
      <c r="G26">
        <v>66.239999999999995</v>
      </c>
      <c r="H26">
        <v>69.8</v>
      </c>
      <c r="I26">
        <v>62.25</v>
      </c>
      <c r="J26">
        <v>64.62</v>
      </c>
      <c r="K26">
        <v>72.62</v>
      </c>
      <c r="L26">
        <v>60.49</v>
      </c>
      <c r="M26">
        <v>68.75</v>
      </c>
      <c r="N26">
        <f t="shared" si="8"/>
        <v>64.62</v>
      </c>
      <c r="O26">
        <v>8.26</v>
      </c>
      <c r="P26">
        <v>64.62</v>
      </c>
      <c r="Q26">
        <v>27.89</v>
      </c>
    </row>
    <row r="27" spans="1:34" x14ac:dyDescent="0.25">
      <c r="B27">
        <v>86.2</v>
      </c>
      <c r="C27">
        <v>80.08</v>
      </c>
      <c r="D27">
        <v>71.180000000000007</v>
      </c>
      <c r="E27">
        <v>74.86</v>
      </c>
      <c r="F27">
        <v>81.31</v>
      </c>
      <c r="G27">
        <v>71.31</v>
      </c>
      <c r="H27">
        <v>75.98</v>
      </c>
      <c r="I27">
        <v>65.14</v>
      </c>
      <c r="J27">
        <v>68.849999999999994</v>
      </c>
      <c r="K27">
        <v>78.08</v>
      </c>
      <c r="L27">
        <v>71.180000000000007</v>
      </c>
      <c r="M27">
        <v>66.510000000000005</v>
      </c>
      <c r="N27">
        <f t="shared" si="8"/>
        <v>68.844999999999999</v>
      </c>
      <c r="O27">
        <v>4.67</v>
      </c>
      <c r="P27">
        <v>68.849999999999994</v>
      </c>
      <c r="Q27">
        <v>33.51</v>
      </c>
    </row>
    <row r="28" spans="1:34" x14ac:dyDescent="0.25">
      <c r="B28">
        <v>72.849999999999994</v>
      </c>
      <c r="C28">
        <v>70.83</v>
      </c>
      <c r="D28">
        <v>65.63</v>
      </c>
      <c r="E28">
        <v>63.65</v>
      </c>
      <c r="F28">
        <v>70.83</v>
      </c>
      <c r="G28">
        <v>64.97</v>
      </c>
      <c r="H28">
        <v>67.77</v>
      </c>
      <c r="I28">
        <v>62.36</v>
      </c>
      <c r="J28">
        <v>69.540000000000006</v>
      </c>
      <c r="K28">
        <v>78.3</v>
      </c>
      <c r="L28">
        <v>65.63</v>
      </c>
      <c r="M28">
        <v>73.44</v>
      </c>
      <c r="N28">
        <f t="shared" si="8"/>
        <v>69.534999999999997</v>
      </c>
      <c r="O28">
        <v>7.82</v>
      </c>
      <c r="P28">
        <v>69.540000000000006</v>
      </c>
      <c r="Q28">
        <v>33.880000000000003</v>
      </c>
      <c r="S28">
        <v>74.900000000000006</v>
      </c>
      <c r="T28">
        <v>71.989999999999995</v>
      </c>
      <c r="U28">
        <v>64.739999999999995</v>
      </c>
      <c r="V28">
        <v>67.959999999999994</v>
      </c>
      <c r="W28">
        <v>73.87</v>
      </c>
      <c r="X28">
        <v>66.52</v>
      </c>
      <c r="Y28">
        <v>70</v>
      </c>
      <c r="Z28">
        <v>61.96</v>
      </c>
      <c r="AA28">
        <v>62.87</v>
      </c>
      <c r="AB28">
        <v>68.91</v>
      </c>
      <c r="AC28">
        <v>64.739999999999995</v>
      </c>
      <c r="AD28">
        <v>60.99</v>
      </c>
      <c r="AE28">
        <f>(AC28+AD28)/2</f>
        <v>62.864999999999995</v>
      </c>
      <c r="AF28">
        <v>3.75</v>
      </c>
      <c r="AG28">
        <v>62.87</v>
      </c>
      <c r="AH28">
        <v>25.11</v>
      </c>
    </row>
    <row r="29" spans="1:34" x14ac:dyDescent="0.25">
      <c r="B29">
        <v>56.02</v>
      </c>
      <c r="C29">
        <v>53.74</v>
      </c>
      <c r="D29">
        <v>55.06</v>
      </c>
      <c r="E29">
        <v>65.14</v>
      </c>
      <c r="F29">
        <v>59.23</v>
      </c>
      <c r="G29">
        <v>63.11</v>
      </c>
      <c r="H29">
        <v>61.11</v>
      </c>
      <c r="I29">
        <v>55.93</v>
      </c>
      <c r="J29">
        <v>56.25</v>
      </c>
      <c r="K29">
        <v>59.61</v>
      </c>
      <c r="L29">
        <v>55.06</v>
      </c>
      <c r="M29">
        <v>57.45</v>
      </c>
      <c r="N29">
        <f t="shared" si="8"/>
        <v>56.255000000000003</v>
      </c>
      <c r="O29">
        <v>2.38</v>
      </c>
      <c r="P29">
        <v>56.25</v>
      </c>
      <c r="Q29">
        <v>12.85</v>
      </c>
      <c r="S29">
        <v>76.239999999999995</v>
      </c>
      <c r="T29">
        <v>69.069999999999993</v>
      </c>
      <c r="U29">
        <v>75.25</v>
      </c>
      <c r="V29">
        <v>71.45</v>
      </c>
      <c r="W29">
        <v>71.489999999999995</v>
      </c>
      <c r="X29">
        <v>78.28</v>
      </c>
      <c r="Y29">
        <v>74.73</v>
      </c>
      <c r="Z29">
        <v>59.92</v>
      </c>
      <c r="AA29">
        <v>60.87</v>
      </c>
      <c r="AB29">
        <v>70.400000000000006</v>
      </c>
      <c r="AC29">
        <v>75.25</v>
      </c>
      <c r="AD29">
        <v>46.5</v>
      </c>
      <c r="AE29">
        <f t="shared" ref="AE29:AE33" si="9">(AC29+AD29)/2</f>
        <v>60.875</v>
      </c>
      <c r="AF29">
        <v>28.75</v>
      </c>
      <c r="AG29">
        <v>60.87</v>
      </c>
      <c r="AH29">
        <v>22.75</v>
      </c>
    </row>
    <row r="30" spans="1:34" x14ac:dyDescent="0.25">
      <c r="B30">
        <v>81.819999999999993</v>
      </c>
      <c r="C30">
        <v>79.86</v>
      </c>
      <c r="D30">
        <v>72.790000000000006</v>
      </c>
      <c r="E30">
        <v>74.45</v>
      </c>
      <c r="F30">
        <v>79.09</v>
      </c>
      <c r="G30">
        <v>71.31</v>
      </c>
      <c r="H30">
        <v>75</v>
      </c>
      <c r="I30">
        <v>64.16</v>
      </c>
      <c r="J30">
        <v>69.69</v>
      </c>
      <c r="K30">
        <v>76.45</v>
      </c>
      <c r="L30">
        <v>72.790000000000006</v>
      </c>
      <c r="M30">
        <v>66.59</v>
      </c>
      <c r="N30">
        <f t="shared" si="8"/>
        <v>69.69</v>
      </c>
      <c r="O30">
        <v>6.2</v>
      </c>
      <c r="P30">
        <v>69.69</v>
      </c>
      <c r="Q30">
        <v>34.76</v>
      </c>
      <c r="S30">
        <v>65.709999999999994</v>
      </c>
      <c r="T30">
        <v>64.66</v>
      </c>
      <c r="U30">
        <v>68.56</v>
      </c>
      <c r="V30">
        <v>64.930000000000007</v>
      </c>
      <c r="W30">
        <v>66.459999999999994</v>
      </c>
      <c r="X30">
        <v>69.930000000000007</v>
      </c>
      <c r="Y30">
        <v>68.150000000000006</v>
      </c>
      <c r="Z30">
        <v>63.02</v>
      </c>
      <c r="AA30">
        <v>64.709999999999994</v>
      </c>
      <c r="AB30">
        <v>67.94</v>
      </c>
      <c r="AC30">
        <v>68.56</v>
      </c>
      <c r="AD30">
        <v>60.87</v>
      </c>
      <c r="AE30">
        <f t="shared" si="9"/>
        <v>64.715000000000003</v>
      </c>
      <c r="AF30">
        <v>7.69</v>
      </c>
      <c r="AG30">
        <v>64.709999999999994</v>
      </c>
      <c r="AH30">
        <v>30.11</v>
      </c>
    </row>
    <row r="31" spans="1:34" x14ac:dyDescent="0.25">
      <c r="B31">
        <v>72.03</v>
      </c>
      <c r="C31">
        <v>68.239999999999995</v>
      </c>
      <c r="D31">
        <v>68.78</v>
      </c>
      <c r="E31">
        <v>64.3</v>
      </c>
      <c r="F31">
        <v>67.97</v>
      </c>
      <c r="G31">
        <v>66.239999999999995</v>
      </c>
      <c r="H31">
        <v>67.099999999999994</v>
      </c>
      <c r="I31">
        <v>60.64</v>
      </c>
      <c r="J31">
        <v>67.099999999999994</v>
      </c>
      <c r="K31">
        <v>74.42</v>
      </c>
      <c r="L31">
        <v>68.78</v>
      </c>
      <c r="M31">
        <v>65.42</v>
      </c>
      <c r="N31">
        <f t="shared" si="8"/>
        <v>67.099999999999994</v>
      </c>
      <c r="O31">
        <v>3.36</v>
      </c>
      <c r="P31">
        <v>67.099999999999994</v>
      </c>
      <c r="Q31">
        <v>29.09</v>
      </c>
      <c r="S31">
        <v>82.9</v>
      </c>
      <c r="T31">
        <v>72.790000000000006</v>
      </c>
      <c r="U31">
        <v>82.5</v>
      </c>
      <c r="V31">
        <v>76.02</v>
      </c>
      <c r="W31">
        <v>72</v>
      </c>
      <c r="X31">
        <v>81.45</v>
      </c>
      <c r="Y31">
        <v>76.430000000000007</v>
      </c>
      <c r="Z31">
        <v>65.400000000000006</v>
      </c>
      <c r="AA31">
        <v>67.569999999999993</v>
      </c>
      <c r="AB31">
        <v>78.989999999999995</v>
      </c>
      <c r="AC31">
        <v>82.5</v>
      </c>
      <c r="AD31">
        <v>52.64</v>
      </c>
      <c r="AE31">
        <f t="shared" si="9"/>
        <v>67.569999999999993</v>
      </c>
      <c r="AF31">
        <v>29.86</v>
      </c>
      <c r="AG31">
        <v>67.569999999999993</v>
      </c>
      <c r="AH31">
        <v>37.270000000000003</v>
      </c>
    </row>
    <row r="32" spans="1:34" x14ac:dyDescent="0.25">
      <c r="B32">
        <v>59.27</v>
      </c>
      <c r="C32">
        <v>57.37</v>
      </c>
      <c r="D32">
        <v>63.11</v>
      </c>
      <c r="E32">
        <v>59.79</v>
      </c>
      <c r="F32">
        <v>64.930000000000007</v>
      </c>
      <c r="G32">
        <v>71.31</v>
      </c>
      <c r="H32">
        <v>67.97</v>
      </c>
      <c r="I32">
        <v>61.99</v>
      </c>
      <c r="J32">
        <v>62.34</v>
      </c>
      <c r="K32">
        <v>65.09</v>
      </c>
      <c r="L32">
        <v>63.11</v>
      </c>
      <c r="M32">
        <v>61.56</v>
      </c>
      <c r="N32">
        <f t="shared" si="8"/>
        <v>62.335000000000001</v>
      </c>
      <c r="O32">
        <v>1.55</v>
      </c>
      <c r="P32">
        <v>62.34</v>
      </c>
      <c r="Q32">
        <v>24.96</v>
      </c>
      <c r="S32">
        <v>72.92</v>
      </c>
      <c r="T32">
        <v>66.11</v>
      </c>
      <c r="U32">
        <v>80.790000000000006</v>
      </c>
      <c r="V32">
        <v>71.599999999999994</v>
      </c>
      <c r="W32">
        <v>66.67</v>
      </c>
      <c r="X32">
        <v>82.35</v>
      </c>
      <c r="Y32">
        <v>73.680000000000007</v>
      </c>
      <c r="Z32">
        <v>65.87</v>
      </c>
      <c r="AA32">
        <v>68.03</v>
      </c>
      <c r="AB32">
        <v>75.12</v>
      </c>
      <c r="AC32">
        <v>80.790000000000006</v>
      </c>
      <c r="AD32">
        <v>55.26</v>
      </c>
      <c r="AE32">
        <f t="shared" si="9"/>
        <v>68.025000000000006</v>
      </c>
      <c r="AF32">
        <v>25.53</v>
      </c>
      <c r="AG32">
        <v>68.03</v>
      </c>
      <c r="AH32">
        <v>37.32</v>
      </c>
    </row>
    <row r="33" spans="1:34" x14ac:dyDescent="0.25">
      <c r="B33">
        <v>66.39</v>
      </c>
      <c r="C33">
        <v>61.73</v>
      </c>
      <c r="D33">
        <v>72.8</v>
      </c>
      <c r="E33">
        <v>65.680000000000007</v>
      </c>
      <c r="F33">
        <v>64.38</v>
      </c>
      <c r="G33">
        <v>74.31</v>
      </c>
      <c r="H33">
        <v>68.989999999999995</v>
      </c>
      <c r="I33">
        <v>64.400000000000006</v>
      </c>
      <c r="J33">
        <v>66.209999999999994</v>
      </c>
      <c r="K33">
        <v>70.58</v>
      </c>
      <c r="L33">
        <v>72.8</v>
      </c>
      <c r="M33">
        <v>59.62</v>
      </c>
      <c r="N33">
        <f t="shared" si="8"/>
        <v>66.209999999999994</v>
      </c>
      <c r="O33">
        <v>13.18</v>
      </c>
      <c r="P33">
        <v>66.209999999999994</v>
      </c>
      <c r="Q33">
        <v>31.46</v>
      </c>
      <c r="S33">
        <v>72.42</v>
      </c>
      <c r="T33">
        <v>62.52</v>
      </c>
      <c r="U33">
        <v>72.8</v>
      </c>
      <c r="V33">
        <v>65.02</v>
      </c>
      <c r="W33">
        <v>65.5</v>
      </c>
      <c r="X33">
        <v>73.64</v>
      </c>
      <c r="Y33">
        <v>69.33</v>
      </c>
      <c r="Z33">
        <v>62.91</v>
      </c>
      <c r="AA33">
        <v>65.73</v>
      </c>
      <c r="AB33">
        <v>74.16</v>
      </c>
      <c r="AC33">
        <v>72.8</v>
      </c>
      <c r="AD33">
        <v>58.65</v>
      </c>
      <c r="AE33">
        <f t="shared" si="9"/>
        <v>65.724999999999994</v>
      </c>
      <c r="AF33">
        <v>14.16</v>
      </c>
      <c r="AG33">
        <v>65.73</v>
      </c>
      <c r="AH33">
        <v>31.26</v>
      </c>
    </row>
    <row r="34" spans="1:34" x14ac:dyDescent="0.25">
      <c r="B34" s="2">
        <f>AVERAGE(B24:B33)</f>
        <v>74.09899999999999</v>
      </c>
      <c r="C34" s="2">
        <f t="shared" ref="C34:Q34" si="10">AVERAGE(C24:C33)</f>
        <v>70.53</v>
      </c>
      <c r="D34" s="2">
        <f t="shared" si="10"/>
        <v>69.135000000000005</v>
      </c>
      <c r="E34" s="2">
        <f t="shared" si="10"/>
        <v>69.328999999999994</v>
      </c>
      <c r="F34" s="2">
        <f t="shared" si="10"/>
        <v>72.945999999999998</v>
      </c>
      <c r="G34" s="2">
        <f t="shared" si="10"/>
        <v>71.191999999999979</v>
      </c>
      <c r="H34" s="2">
        <f t="shared" si="10"/>
        <v>71.919000000000011</v>
      </c>
      <c r="I34" s="2">
        <f t="shared" si="10"/>
        <v>64.067999999999998</v>
      </c>
      <c r="J34" s="2">
        <f t="shared" si="10"/>
        <v>67.266000000000005</v>
      </c>
      <c r="K34" s="2">
        <f t="shared" si="10"/>
        <v>73.854000000000013</v>
      </c>
      <c r="L34" s="2">
        <f t="shared" si="10"/>
        <v>69.135000000000005</v>
      </c>
      <c r="M34" s="2">
        <f t="shared" si="10"/>
        <v>65.395999999999987</v>
      </c>
      <c r="N34" s="2">
        <f t="shared" si="10"/>
        <v>67.265500000000003</v>
      </c>
      <c r="O34" s="2">
        <f t="shared" si="10"/>
        <v>7.4319999999999995</v>
      </c>
      <c r="P34" s="2">
        <f t="shared" si="10"/>
        <v>67.266000000000005</v>
      </c>
      <c r="Q34" s="2">
        <f t="shared" si="10"/>
        <v>31.83499999999999</v>
      </c>
      <c r="S34" s="2">
        <f>AVERAGE(S28:S33)</f>
        <v>74.181666666666672</v>
      </c>
      <c r="T34" s="2">
        <f t="shared" ref="T34:AH34" si="11">AVERAGE(T28:T33)</f>
        <v>67.856666666666669</v>
      </c>
      <c r="U34" s="2">
        <f t="shared" si="11"/>
        <v>74.106666666666669</v>
      </c>
      <c r="V34" s="2">
        <f t="shared" si="11"/>
        <v>69.49666666666667</v>
      </c>
      <c r="W34" s="2">
        <f t="shared" si="11"/>
        <v>69.331666666666663</v>
      </c>
      <c r="X34" s="2">
        <f t="shared" si="11"/>
        <v>75.361666666666665</v>
      </c>
      <c r="Y34" s="2">
        <f t="shared" si="11"/>
        <v>72.053333333333342</v>
      </c>
      <c r="Z34" s="2">
        <f t="shared" si="11"/>
        <v>63.180000000000007</v>
      </c>
      <c r="AA34" s="2">
        <f t="shared" si="11"/>
        <v>64.963333333333324</v>
      </c>
      <c r="AB34" s="2">
        <f t="shared" si="11"/>
        <v>72.586666666666659</v>
      </c>
      <c r="AC34" s="2">
        <f t="shared" si="11"/>
        <v>74.106666666666669</v>
      </c>
      <c r="AD34" s="2">
        <f t="shared" si="11"/>
        <v>55.818333333333328</v>
      </c>
      <c r="AE34" s="2">
        <f t="shared" si="11"/>
        <v>64.962499999999991</v>
      </c>
      <c r="AF34" s="2">
        <f t="shared" si="11"/>
        <v>18.29</v>
      </c>
      <c r="AG34" s="2">
        <f t="shared" si="11"/>
        <v>64.963333333333324</v>
      </c>
      <c r="AH34" s="2">
        <f t="shared" si="11"/>
        <v>30.636666666666667</v>
      </c>
    </row>
    <row r="36" spans="1:34" x14ac:dyDescent="0.25">
      <c r="B36" s="2">
        <f>AVERAGE(B12,B23,B34)</f>
        <v>73.285999999999987</v>
      </c>
      <c r="C36" s="2">
        <f t="shared" ref="C36:Q36" si="12">AVERAGE(C12,C23,C34)</f>
        <v>69.573000000000008</v>
      </c>
      <c r="D36" s="2">
        <f t="shared" si="12"/>
        <v>70.346666666666678</v>
      </c>
      <c r="E36" s="2">
        <f t="shared" si="12"/>
        <v>69.787666666666667</v>
      </c>
      <c r="F36" s="2">
        <f t="shared" si="12"/>
        <v>72.39266666666667</v>
      </c>
      <c r="G36" s="2">
        <f t="shared" si="12"/>
        <v>72.674333333333308</v>
      </c>
      <c r="H36" s="2">
        <f t="shared" si="12"/>
        <v>72.408000000000001</v>
      </c>
      <c r="I36" s="2">
        <f t="shared" si="12"/>
        <v>62.986666666666657</v>
      </c>
      <c r="J36" s="2">
        <f t="shared" si="12"/>
        <v>65.646333333333345</v>
      </c>
      <c r="K36" s="2">
        <f t="shared" si="12"/>
        <v>72.155000000000001</v>
      </c>
      <c r="L36" s="2">
        <f t="shared" si="12"/>
        <v>70.346666666666678</v>
      </c>
      <c r="M36" s="2">
        <f t="shared" si="12"/>
        <v>60.945999999999998</v>
      </c>
      <c r="N36" s="2">
        <f t="shared" si="12"/>
        <v>65.646333333333331</v>
      </c>
      <c r="O36" s="2">
        <f t="shared" si="12"/>
        <v>11.508333333333333</v>
      </c>
      <c r="P36" s="2">
        <f t="shared" si="12"/>
        <v>65.646333333333345</v>
      </c>
      <c r="Q36" s="2">
        <f t="shared" si="12"/>
        <v>29.706999999999997</v>
      </c>
      <c r="S36" s="2">
        <f t="shared" ref="S36:AH36" si="13">AVERAGE(S12,BA34,S34)</f>
        <v>74.499166666666667</v>
      </c>
      <c r="T36" s="2">
        <f t="shared" si="13"/>
        <v>69.341666666666669</v>
      </c>
      <c r="U36" s="2">
        <f t="shared" si="13"/>
        <v>71.078333333333333</v>
      </c>
      <c r="V36" s="2">
        <f t="shared" si="13"/>
        <v>68.701666666666668</v>
      </c>
      <c r="W36" s="2">
        <f t="shared" si="13"/>
        <v>70.485833333333332</v>
      </c>
      <c r="X36" s="2">
        <f t="shared" si="13"/>
        <v>72.405833333333334</v>
      </c>
      <c r="Y36" s="2">
        <f t="shared" si="13"/>
        <v>71.240833333333342</v>
      </c>
      <c r="Z36" s="2">
        <f t="shared" si="13"/>
        <v>63.821666666666665</v>
      </c>
      <c r="AA36" s="2">
        <f t="shared" si="13"/>
        <v>65.346666666666664</v>
      </c>
      <c r="AB36" s="2">
        <f t="shared" si="13"/>
        <v>72.678333333333327</v>
      </c>
      <c r="AC36" s="2">
        <f t="shared" si="13"/>
        <v>71.078333333333333</v>
      </c>
      <c r="AD36" s="2">
        <f t="shared" si="13"/>
        <v>59.614166666666662</v>
      </c>
      <c r="AE36" s="2">
        <f t="shared" si="13"/>
        <v>65.346249999999998</v>
      </c>
      <c r="AF36" s="2">
        <f t="shared" si="13"/>
        <v>13.221666666666666</v>
      </c>
      <c r="AG36" s="2">
        <f t="shared" si="13"/>
        <v>65.346666666666664</v>
      </c>
      <c r="AH36" s="2">
        <f t="shared" si="13"/>
        <v>31.063333333333333</v>
      </c>
    </row>
    <row r="37" spans="1:34" x14ac:dyDescent="0.25">
      <c r="B37" s="2">
        <f>_xlfn.STDEV.S(B12,B23,B34)</f>
        <v>0.71718825980351675</v>
      </c>
      <c r="C37" s="2">
        <f t="shared" ref="C37:Q37" si="14">_xlfn.STDEV.S(C12,C23,C34)</f>
        <v>0.83808531785253837</v>
      </c>
      <c r="D37" s="2">
        <f t="shared" si="14"/>
        <v>1.1260436640438591</v>
      </c>
      <c r="E37" s="2">
        <f t="shared" si="14"/>
        <v>0.81094410000526274</v>
      </c>
      <c r="F37" s="2">
        <f t="shared" si="14"/>
        <v>0.69689980150186059</v>
      </c>
      <c r="G37" s="2">
        <f t="shared" si="14"/>
        <v>1.2847312299984557</v>
      </c>
      <c r="H37" s="2">
        <f t="shared" si="14"/>
        <v>0.50036286832657795</v>
      </c>
      <c r="I37" s="2">
        <f t="shared" si="14"/>
        <v>0.96218622591125391</v>
      </c>
      <c r="J37" s="2">
        <f t="shared" si="14"/>
        <v>1.4053370888627899</v>
      </c>
      <c r="K37" s="2">
        <f t="shared" si="14"/>
        <v>1.4713792848888485</v>
      </c>
      <c r="L37" s="2">
        <f t="shared" si="14"/>
        <v>1.1260436640438591</v>
      </c>
      <c r="M37" s="2">
        <f t="shared" si="14"/>
        <v>3.8972137483078781</v>
      </c>
      <c r="N37" s="2">
        <f t="shared" si="14"/>
        <v>1.4048589193699692</v>
      </c>
      <c r="O37" s="2">
        <f t="shared" si="14"/>
        <v>3.5396599177510479</v>
      </c>
      <c r="P37" s="2">
        <f t="shared" si="14"/>
        <v>1.4053370888627899</v>
      </c>
      <c r="Q37" s="2">
        <f t="shared" si="14"/>
        <v>1.9071887688427649</v>
      </c>
      <c r="S37" s="2">
        <f t="shared" ref="S37:AH37" si="15">_xlfn.STDEV.S(S12,BA34,S34)</f>
        <v>0.44901280605345123</v>
      </c>
      <c r="T37" s="2">
        <f t="shared" si="15"/>
        <v>2.1001071401240452</v>
      </c>
      <c r="U37" s="2">
        <f t="shared" si="15"/>
        <v>4.2827100713865267</v>
      </c>
      <c r="V37" s="2">
        <f t="shared" si="15"/>
        <v>1.124299782086613</v>
      </c>
      <c r="W37" s="2">
        <f t="shared" si="15"/>
        <v>1.6322381532389498</v>
      </c>
      <c r="X37" s="2">
        <f t="shared" si="15"/>
        <v>4.1801795881144699</v>
      </c>
      <c r="Y37" s="2">
        <f t="shared" si="15"/>
        <v>1.1490485194281397</v>
      </c>
      <c r="Z37" s="2">
        <f t="shared" si="15"/>
        <v>0.90745370252272461</v>
      </c>
      <c r="AA37" s="2">
        <f t="shared" si="15"/>
        <v>0.54211519890969584</v>
      </c>
      <c r="AB37" s="2">
        <f t="shared" si="15"/>
        <v>0.12963624321753639</v>
      </c>
      <c r="AC37" s="2">
        <f t="shared" si="15"/>
        <v>4.2827100713865267</v>
      </c>
      <c r="AD37" s="2">
        <f t="shared" si="15"/>
        <v>5.3681189805078748</v>
      </c>
      <c r="AE37" s="2">
        <f t="shared" si="15"/>
        <v>0.54270445456068406</v>
      </c>
      <c r="AF37" s="2">
        <f t="shared" si="15"/>
        <v>7.1677057386276353</v>
      </c>
      <c r="AG37" s="2">
        <f t="shared" si="15"/>
        <v>0.54211519890969584</v>
      </c>
      <c r="AH37" s="2">
        <f t="shared" si="15"/>
        <v>0.60339778661251942</v>
      </c>
    </row>
    <row r="38" spans="1:34" x14ac:dyDescent="0.25">
      <c r="A38" s="1" t="s">
        <v>100</v>
      </c>
    </row>
    <row r="39" spans="1:34" x14ac:dyDescent="0.25">
      <c r="A39" s="1" t="s">
        <v>80</v>
      </c>
      <c r="B39">
        <v>77.81</v>
      </c>
      <c r="C39">
        <v>72.44</v>
      </c>
      <c r="D39">
        <v>84.95</v>
      </c>
      <c r="E39">
        <v>75.400000000000006</v>
      </c>
      <c r="F39">
        <v>70.55</v>
      </c>
      <c r="G39">
        <v>84.43</v>
      </c>
      <c r="H39">
        <v>76.87</v>
      </c>
      <c r="I39">
        <v>50.31</v>
      </c>
      <c r="J39">
        <v>57.82</v>
      </c>
      <c r="K39">
        <v>61.29</v>
      </c>
      <c r="L39">
        <v>84.95</v>
      </c>
      <c r="M39">
        <v>30.69</v>
      </c>
      <c r="N39">
        <f t="shared" ref="N39:N48" si="16">(L39+M39)/2</f>
        <v>57.82</v>
      </c>
      <c r="O39">
        <v>54.26</v>
      </c>
      <c r="P39">
        <v>57.82</v>
      </c>
      <c r="Q39">
        <v>13.85</v>
      </c>
    </row>
    <row r="40" spans="1:34" x14ac:dyDescent="0.25">
      <c r="B40">
        <v>77.849999999999994</v>
      </c>
      <c r="C40">
        <v>78.709999999999994</v>
      </c>
      <c r="D40">
        <v>47</v>
      </c>
      <c r="E40">
        <v>58.6</v>
      </c>
      <c r="F40">
        <v>80.28</v>
      </c>
      <c r="G40">
        <v>46.72</v>
      </c>
      <c r="H40">
        <v>59.07</v>
      </c>
      <c r="I40">
        <v>53.58</v>
      </c>
      <c r="J40">
        <v>58.8</v>
      </c>
      <c r="K40">
        <v>62.73</v>
      </c>
      <c r="L40">
        <v>47</v>
      </c>
      <c r="M40">
        <v>70.59</v>
      </c>
      <c r="N40">
        <f t="shared" si="16"/>
        <v>58.795000000000002</v>
      </c>
      <c r="O40">
        <v>23.59</v>
      </c>
      <c r="P40">
        <v>58.8</v>
      </c>
      <c r="Q40">
        <v>17.38</v>
      </c>
    </row>
    <row r="41" spans="1:34" x14ac:dyDescent="0.25">
      <c r="B41">
        <v>62.81</v>
      </c>
      <c r="C41">
        <v>67.66</v>
      </c>
      <c r="D41">
        <v>64</v>
      </c>
      <c r="E41">
        <v>61</v>
      </c>
      <c r="F41">
        <v>66.900000000000006</v>
      </c>
      <c r="G41">
        <v>60.51</v>
      </c>
      <c r="H41">
        <v>63.55</v>
      </c>
      <c r="I41">
        <v>56.34</v>
      </c>
      <c r="J41">
        <v>59.91</v>
      </c>
      <c r="K41">
        <v>60.12</v>
      </c>
      <c r="L41">
        <v>64</v>
      </c>
      <c r="M41">
        <v>55.82</v>
      </c>
      <c r="N41">
        <f t="shared" si="16"/>
        <v>59.91</v>
      </c>
      <c r="O41">
        <v>8.18</v>
      </c>
      <c r="P41">
        <v>59.91</v>
      </c>
      <c r="Q41">
        <v>20.92</v>
      </c>
    </row>
    <row r="42" spans="1:34" x14ac:dyDescent="0.25">
      <c r="B42">
        <v>77.95</v>
      </c>
      <c r="C42">
        <v>74.150000000000006</v>
      </c>
      <c r="D42">
        <v>52.84</v>
      </c>
      <c r="E42">
        <v>60.31</v>
      </c>
      <c r="F42">
        <v>80.23</v>
      </c>
      <c r="G42">
        <v>56.56</v>
      </c>
      <c r="H42">
        <v>66.349999999999994</v>
      </c>
      <c r="I42">
        <v>56.41</v>
      </c>
      <c r="J42">
        <v>60.42</v>
      </c>
      <c r="K42">
        <v>64.239999999999995</v>
      </c>
      <c r="L42">
        <v>52.84</v>
      </c>
      <c r="M42">
        <v>67.989999999999995</v>
      </c>
      <c r="N42">
        <f t="shared" si="16"/>
        <v>60.414999999999999</v>
      </c>
      <c r="O42">
        <v>15.14</v>
      </c>
      <c r="P42">
        <v>60.42</v>
      </c>
      <c r="Q42">
        <v>20.12</v>
      </c>
    </row>
    <row r="43" spans="1:34" x14ac:dyDescent="0.25">
      <c r="B43">
        <v>61.92</v>
      </c>
      <c r="C43">
        <v>68.760000000000005</v>
      </c>
      <c r="D43">
        <v>48.12</v>
      </c>
      <c r="E43">
        <v>51.59</v>
      </c>
      <c r="F43">
        <v>65.489999999999995</v>
      </c>
      <c r="G43">
        <v>47.13</v>
      </c>
      <c r="H43">
        <v>54.81</v>
      </c>
      <c r="I43">
        <v>53.79</v>
      </c>
      <c r="J43">
        <v>61.62</v>
      </c>
      <c r="K43">
        <v>64.099999999999994</v>
      </c>
      <c r="L43">
        <v>48.12</v>
      </c>
      <c r="M43">
        <v>75.12</v>
      </c>
      <c r="N43">
        <f t="shared" si="16"/>
        <v>61.620000000000005</v>
      </c>
      <c r="O43">
        <v>27.01</v>
      </c>
      <c r="P43">
        <v>61.62</v>
      </c>
      <c r="Q43">
        <v>21.3</v>
      </c>
      <c r="S43">
        <v>66.61</v>
      </c>
      <c r="T43">
        <v>63.89</v>
      </c>
      <c r="U43">
        <v>45.88</v>
      </c>
      <c r="V43">
        <v>52.79</v>
      </c>
      <c r="W43">
        <v>67.3</v>
      </c>
      <c r="X43">
        <v>48.42</v>
      </c>
      <c r="Y43">
        <v>56.32</v>
      </c>
      <c r="Z43">
        <v>51.86</v>
      </c>
      <c r="AA43">
        <v>54.57</v>
      </c>
      <c r="AB43">
        <v>57.6</v>
      </c>
      <c r="AC43">
        <v>45.88</v>
      </c>
      <c r="AD43">
        <v>63.27</v>
      </c>
      <c r="AE43">
        <f>(AC43+AD43)/2</f>
        <v>54.575000000000003</v>
      </c>
      <c r="AF43">
        <v>17.39</v>
      </c>
      <c r="AG43">
        <v>54.57</v>
      </c>
      <c r="AH43">
        <v>8.2799999999999994</v>
      </c>
    </row>
    <row r="44" spans="1:34" x14ac:dyDescent="0.25">
      <c r="B44">
        <v>56.44</v>
      </c>
      <c r="C44">
        <v>54.45</v>
      </c>
      <c r="D44">
        <v>49.04</v>
      </c>
      <c r="E44">
        <v>50.13</v>
      </c>
      <c r="F44">
        <v>56.41</v>
      </c>
      <c r="G44">
        <v>54.1</v>
      </c>
      <c r="H44">
        <v>55.23</v>
      </c>
      <c r="I44">
        <v>54.06</v>
      </c>
      <c r="J44">
        <v>55.41</v>
      </c>
      <c r="K44">
        <v>58.48</v>
      </c>
      <c r="L44">
        <v>49.04</v>
      </c>
      <c r="M44">
        <v>61.79</v>
      </c>
      <c r="N44">
        <f t="shared" si="16"/>
        <v>55.414999999999999</v>
      </c>
      <c r="O44">
        <v>12.75</v>
      </c>
      <c r="P44">
        <v>55.41</v>
      </c>
      <c r="Q44">
        <v>11.65</v>
      </c>
      <c r="S44">
        <v>68.2</v>
      </c>
      <c r="T44">
        <v>67</v>
      </c>
      <c r="U44">
        <v>29.77</v>
      </c>
      <c r="V44">
        <v>34.75</v>
      </c>
      <c r="W44">
        <v>62.96</v>
      </c>
      <c r="X44">
        <v>30.77</v>
      </c>
      <c r="Y44">
        <v>41.34</v>
      </c>
      <c r="Z44">
        <v>43.1</v>
      </c>
      <c r="AA44">
        <v>52.31</v>
      </c>
      <c r="AB44">
        <v>60.07</v>
      </c>
      <c r="AC44">
        <v>29.77</v>
      </c>
      <c r="AD44">
        <v>74.849999999999994</v>
      </c>
      <c r="AE44">
        <f t="shared" ref="AE44:AE48" si="17">(AC44+AD44)/2</f>
        <v>52.309999999999995</v>
      </c>
      <c r="AF44">
        <v>45.08</v>
      </c>
      <c r="AG44">
        <v>52.31</v>
      </c>
      <c r="AH44">
        <v>2.93</v>
      </c>
    </row>
    <row r="45" spans="1:34" x14ac:dyDescent="0.25">
      <c r="B45">
        <v>85.26</v>
      </c>
      <c r="C45">
        <v>85.96</v>
      </c>
      <c r="D45">
        <v>66.319999999999993</v>
      </c>
      <c r="E45">
        <v>74.42</v>
      </c>
      <c r="F45">
        <v>86.96</v>
      </c>
      <c r="G45">
        <v>65.569999999999993</v>
      </c>
      <c r="H45">
        <v>74.77</v>
      </c>
      <c r="I45">
        <v>66.849999999999994</v>
      </c>
      <c r="J45">
        <v>72.12</v>
      </c>
      <c r="K45">
        <v>76.650000000000006</v>
      </c>
      <c r="L45">
        <v>66.319999999999993</v>
      </c>
      <c r="M45">
        <v>77.91</v>
      </c>
      <c r="N45">
        <f t="shared" si="16"/>
        <v>72.114999999999995</v>
      </c>
      <c r="O45">
        <v>11.59</v>
      </c>
      <c r="P45">
        <v>72.12</v>
      </c>
      <c r="Q45">
        <v>39.799999999999997</v>
      </c>
      <c r="S45">
        <v>66.52</v>
      </c>
      <c r="T45">
        <v>67.89</v>
      </c>
      <c r="U45">
        <v>50.61</v>
      </c>
      <c r="V45">
        <v>44.46</v>
      </c>
      <c r="W45">
        <v>53.39</v>
      </c>
      <c r="X45">
        <v>41.18</v>
      </c>
      <c r="Y45">
        <v>46.49</v>
      </c>
      <c r="Z45">
        <v>51.07</v>
      </c>
      <c r="AA45">
        <v>61.44</v>
      </c>
      <c r="AB45">
        <v>69.47</v>
      </c>
      <c r="AC45">
        <v>50.61</v>
      </c>
      <c r="AD45">
        <v>72.27</v>
      </c>
      <c r="AE45">
        <f t="shared" si="17"/>
        <v>61.44</v>
      </c>
      <c r="AF45">
        <v>21.67</v>
      </c>
      <c r="AG45">
        <v>61.44</v>
      </c>
      <c r="AH45">
        <v>23.78</v>
      </c>
    </row>
    <row r="46" spans="1:34" x14ac:dyDescent="0.25">
      <c r="B46">
        <v>66.67</v>
      </c>
      <c r="C46">
        <v>71.28</v>
      </c>
      <c r="D46">
        <v>59.76</v>
      </c>
      <c r="E46">
        <v>61.38</v>
      </c>
      <c r="F46">
        <v>72.22</v>
      </c>
      <c r="G46">
        <v>57.96</v>
      </c>
      <c r="H46">
        <v>64.31</v>
      </c>
      <c r="I46">
        <v>60.13</v>
      </c>
      <c r="J46">
        <v>66.209999999999994</v>
      </c>
      <c r="K46">
        <v>74.47</v>
      </c>
      <c r="L46">
        <v>59.76</v>
      </c>
      <c r="M46">
        <v>72.650000000000006</v>
      </c>
      <c r="N46">
        <f t="shared" si="16"/>
        <v>66.204999999999998</v>
      </c>
      <c r="O46">
        <v>12.89</v>
      </c>
      <c r="P46">
        <v>66.209999999999994</v>
      </c>
      <c r="Q46">
        <v>28.45</v>
      </c>
      <c r="S46">
        <v>76.58</v>
      </c>
      <c r="T46">
        <v>76.7</v>
      </c>
      <c r="U46">
        <v>66.63</v>
      </c>
      <c r="V46">
        <v>70.459999999999994</v>
      </c>
      <c r="W46">
        <v>76.44</v>
      </c>
      <c r="X46">
        <v>66.06</v>
      </c>
      <c r="Y46">
        <v>70.87</v>
      </c>
      <c r="Z46">
        <v>65.22</v>
      </c>
      <c r="AA46">
        <v>67.709999999999994</v>
      </c>
      <c r="AB46">
        <v>71.97</v>
      </c>
      <c r="AC46">
        <v>66.63</v>
      </c>
      <c r="AD46">
        <v>68.790000000000006</v>
      </c>
      <c r="AE46">
        <f t="shared" si="17"/>
        <v>67.710000000000008</v>
      </c>
      <c r="AF46">
        <v>2.16</v>
      </c>
      <c r="AG46">
        <v>67.709999999999994</v>
      </c>
      <c r="AH46">
        <v>33.770000000000003</v>
      </c>
    </row>
    <row r="47" spans="1:34" x14ac:dyDescent="0.25">
      <c r="B47">
        <v>59.93</v>
      </c>
      <c r="C47">
        <v>59.48</v>
      </c>
      <c r="D47">
        <v>49.69</v>
      </c>
      <c r="E47">
        <v>65.010000000000005</v>
      </c>
      <c r="F47">
        <v>67.31</v>
      </c>
      <c r="G47">
        <v>57.38</v>
      </c>
      <c r="H47">
        <v>61.95</v>
      </c>
      <c r="I47">
        <v>59.2</v>
      </c>
      <c r="J47">
        <v>59.99</v>
      </c>
      <c r="K47">
        <v>61.93</v>
      </c>
      <c r="L47">
        <v>49.69</v>
      </c>
      <c r="M47">
        <v>70.3</v>
      </c>
      <c r="N47">
        <f t="shared" si="16"/>
        <v>59.994999999999997</v>
      </c>
      <c r="O47">
        <v>20.61</v>
      </c>
      <c r="P47">
        <v>59.99</v>
      </c>
      <c r="Q47">
        <v>19.91</v>
      </c>
      <c r="S47">
        <v>64.62</v>
      </c>
      <c r="T47">
        <v>58.31</v>
      </c>
      <c r="U47">
        <v>53.33</v>
      </c>
      <c r="V47">
        <v>54.9</v>
      </c>
      <c r="W47">
        <v>59.44</v>
      </c>
      <c r="X47">
        <v>55.56</v>
      </c>
      <c r="Y47">
        <v>57.43</v>
      </c>
      <c r="Z47">
        <v>55.91</v>
      </c>
      <c r="AA47">
        <v>57.05</v>
      </c>
      <c r="AB47">
        <v>64.81</v>
      </c>
      <c r="AC47">
        <v>53.33</v>
      </c>
      <c r="AD47">
        <v>60.77</v>
      </c>
      <c r="AE47">
        <f t="shared" si="17"/>
        <v>57.05</v>
      </c>
      <c r="AF47">
        <v>7.44</v>
      </c>
      <c r="AG47">
        <v>57.05</v>
      </c>
      <c r="AH47">
        <v>13.96</v>
      </c>
    </row>
    <row r="48" spans="1:34" x14ac:dyDescent="0.25">
      <c r="B48">
        <v>65.39</v>
      </c>
      <c r="C48">
        <v>63.76</v>
      </c>
      <c r="D48">
        <v>63.21</v>
      </c>
      <c r="E48">
        <v>62.2</v>
      </c>
      <c r="F48">
        <v>68.13</v>
      </c>
      <c r="G48">
        <v>67.59</v>
      </c>
      <c r="H48">
        <v>67.86</v>
      </c>
      <c r="I48">
        <v>64.63</v>
      </c>
      <c r="J48">
        <v>66.08</v>
      </c>
      <c r="K48">
        <v>69.55</v>
      </c>
      <c r="L48">
        <v>63.21</v>
      </c>
      <c r="M48">
        <v>68.959999999999994</v>
      </c>
      <c r="N48">
        <f t="shared" si="16"/>
        <v>66.084999999999994</v>
      </c>
      <c r="O48">
        <v>5.75</v>
      </c>
      <c r="P48">
        <v>66.08</v>
      </c>
      <c r="Q48">
        <v>31.76</v>
      </c>
      <c r="S48">
        <v>66.63</v>
      </c>
      <c r="T48">
        <v>60.34</v>
      </c>
      <c r="U48">
        <v>61.2</v>
      </c>
      <c r="V48">
        <v>59.08</v>
      </c>
      <c r="W48">
        <v>63.32</v>
      </c>
      <c r="X48">
        <v>61.21</v>
      </c>
      <c r="Y48">
        <v>62.25</v>
      </c>
      <c r="Z48">
        <v>59.27</v>
      </c>
      <c r="AA48">
        <v>61.38</v>
      </c>
      <c r="AB48">
        <v>66.14</v>
      </c>
      <c r="AC48">
        <v>61.2</v>
      </c>
      <c r="AD48">
        <v>61.56</v>
      </c>
      <c r="AE48">
        <f t="shared" si="17"/>
        <v>61.38</v>
      </c>
      <c r="AF48">
        <v>0.36</v>
      </c>
      <c r="AG48">
        <v>61.38</v>
      </c>
      <c r="AH48">
        <v>21.16</v>
      </c>
    </row>
    <row r="49" spans="1:34" x14ac:dyDescent="0.25">
      <c r="B49" s="2">
        <f>AVERAGE(B39:B48)</f>
        <v>69.203000000000003</v>
      </c>
      <c r="C49" s="2">
        <f t="shared" ref="C49" si="18">AVERAGE(C39:C48)</f>
        <v>69.664999999999992</v>
      </c>
      <c r="D49" s="2">
        <f t="shared" ref="D49" si="19">AVERAGE(D39:D48)</f>
        <v>58.493000000000009</v>
      </c>
      <c r="E49" s="2">
        <f t="shared" ref="E49" si="20">AVERAGE(E39:E48)</f>
        <v>62.004000000000005</v>
      </c>
      <c r="F49" s="2">
        <f t="shared" ref="F49" si="21">AVERAGE(F39:F48)</f>
        <v>71.447999999999993</v>
      </c>
      <c r="G49" s="2">
        <f t="shared" ref="G49" si="22">AVERAGE(G39:G48)</f>
        <v>59.795000000000002</v>
      </c>
      <c r="H49" s="2">
        <f t="shared" ref="H49" si="23">AVERAGE(H39:H48)</f>
        <v>64.477000000000004</v>
      </c>
      <c r="I49" s="2">
        <f t="shared" ref="I49" si="24">AVERAGE(I39:I48)</f>
        <v>57.529999999999994</v>
      </c>
      <c r="J49" s="2">
        <f t="shared" ref="J49" si="25">AVERAGE(J39:J48)</f>
        <v>61.838000000000001</v>
      </c>
      <c r="K49" s="2">
        <f t="shared" ref="K49" si="26">AVERAGE(K39:K48)</f>
        <v>65.355999999999995</v>
      </c>
      <c r="L49" s="2">
        <f t="shared" ref="L49" si="27">AVERAGE(L39:L48)</f>
        <v>58.493000000000009</v>
      </c>
      <c r="M49" s="2">
        <f t="shared" ref="M49" si="28">AVERAGE(M39:M48)</f>
        <v>65.181999999999988</v>
      </c>
      <c r="N49" s="2">
        <f t="shared" ref="N49" si="29">AVERAGE(N39:N48)</f>
        <v>61.837499999999999</v>
      </c>
      <c r="O49" s="2">
        <f t="shared" ref="O49" si="30">AVERAGE(O39:O48)</f>
        <v>19.177000000000003</v>
      </c>
      <c r="P49" s="2">
        <f t="shared" ref="P49" si="31">AVERAGE(P39:P48)</f>
        <v>61.838000000000001</v>
      </c>
      <c r="Q49" s="2">
        <f t="shared" ref="Q49" si="32">AVERAGE(Q39:Q48)</f>
        <v>22.513999999999996</v>
      </c>
      <c r="S49" s="2">
        <f>AVERAGE(S43:S48)</f>
        <v>68.193333333333328</v>
      </c>
      <c r="T49" s="2">
        <f t="shared" ref="T49:AH49" si="33">AVERAGE(T43:T48)</f>
        <v>65.688333333333333</v>
      </c>
      <c r="U49" s="2">
        <f t="shared" si="33"/>
        <v>51.236666666666657</v>
      </c>
      <c r="V49" s="2">
        <f t="shared" si="33"/>
        <v>52.739999999999988</v>
      </c>
      <c r="W49" s="2">
        <f t="shared" si="33"/>
        <v>63.80833333333333</v>
      </c>
      <c r="X49" s="2">
        <f t="shared" si="33"/>
        <v>50.533333333333331</v>
      </c>
      <c r="Y49" s="2">
        <f t="shared" si="33"/>
        <v>55.783333333333331</v>
      </c>
      <c r="Z49" s="2">
        <f t="shared" si="33"/>
        <v>54.404999999999994</v>
      </c>
      <c r="AA49" s="2">
        <f t="shared" si="33"/>
        <v>59.076666666666661</v>
      </c>
      <c r="AB49" s="2">
        <f t="shared" si="33"/>
        <v>65.010000000000005</v>
      </c>
      <c r="AC49" s="2">
        <f t="shared" si="33"/>
        <v>51.236666666666657</v>
      </c>
      <c r="AD49" s="2">
        <f t="shared" si="33"/>
        <v>66.918333333333337</v>
      </c>
      <c r="AE49" s="2">
        <f t="shared" si="33"/>
        <v>59.077499999999993</v>
      </c>
      <c r="AF49" s="2">
        <f t="shared" si="33"/>
        <v>15.683333333333332</v>
      </c>
      <c r="AG49" s="2">
        <f t="shared" si="33"/>
        <v>59.076666666666661</v>
      </c>
      <c r="AH49" s="2">
        <f t="shared" si="33"/>
        <v>17.313333333333333</v>
      </c>
    </row>
    <row r="50" spans="1:34" x14ac:dyDescent="0.25">
      <c r="A50" s="1" t="s">
        <v>81</v>
      </c>
      <c r="B50">
        <v>76.930000000000007</v>
      </c>
      <c r="C50">
        <v>76.739999999999995</v>
      </c>
      <c r="D50">
        <v>77.67</v>
      </c>
      <c r="E50">
        <v>77.08</v>
      </c>
      <c r="F50">
        <v>78.86</v>
      </c>
      <c r="G50">
        <v>79.510000000000005</v>
      </c>
      <c r="H50">
        <v>79.180000000000007</v>
      </c>
      <c r="I50">
        <v>63.8</v>
      </c>
      <c r="J50">
        <v>64.64</v>
      </c>
      <c r="K50">
        <v>66.52</v>
      </c>
      <c r="L50">
        <v>77.67</v>
      </c>
      <c r="M50">
        <v>51.61</v>
      </c>
      <c r="N50">
        <f t="shared" ref="N50:N59" si="34">(L50+M50)/2</f>
        <v>64.64</v>
      </c>
      <c r="O50">
        <v>26.06</v>
      </c>
      <c r="P50">
        <v>64.64</v>
      </c>
      <c r="Q50">
        <v>28.01</v>
      </c>
    </row>
    <row r="51" spans="1:34" x14ac:dyDescent="0.25">
      <c r="B51">
        <v>83.29</v>
      </c>
      <c r="C51">
        <v>79.38</v>
      </c>
      <c r="D51">
        <v>79.42</v>
      </c>
      <c r="E51">
        <v>79.3</v>
      </c>
      <c r="F51">
        <v>80.989999999999995</v>
      </c>
      <c r="G51">
        <v>80.33</v>
      </c>
      <c r="H51">
        <v>80.66</v>
      </c>
      <c r="I51">
        <v>66.53</v>
      </c>
      <c r="J51">
        <v>67.239999999999995</v>
      </c>
      <c r="K51">
        <v>75.33</v>
      </c>
      <c r="L51">
        <v>79.42</v>
      </c>
      <c r="M51">
        <v>55.07</v>
      </c>
      <c r="N51">
        <f t="shared" si="34"/>
        <v>67.245000000000005</v>
      </c>
      <c r="O51">
        <v>24.35</v>
      </c>
      <c r="P51">
        <v>67.239999999999995</v>
      </c>
      <c r="Q51">
        <v>33.380000000000003</v>
      </c>
    </row>
    <row r="52" spans="1:34" x14ac:dyDescent="0.25">
      <c r="B52">
        <v>67.790000000000006</v>
      </c>
      <c r="C52">
        <v>65.11</v>
      </c>
      <c r="D52">
        <v>70.58</v>
      </c>
      <c r="E52">
        <v>63.43</v>
      </c>
      <c r="F52">
        <v>62.86</v>
      </c>
      <c r="G52">
        <v>70.06</v>
      </c>
      <c r="H52">
        <v>66.27</v>
      </c>
      <c r="I52">
        <v>56.88</v>
      </c>
      <c r="J52">
        <v>61.71</v>
      </c>
      <c r="K52">
        <v>69.69</v>
      </c>
      <c r="L52">
        <v>70.58</v>
      </c>
      <c r="M52">
        <v>52.84</v>
      </c>
      <c r="N52">
        <f t="shared" si="34"/>
        <v>61.71</v>
      </c>
      <c r="O52">
        <v>17.739999999999998</v>
      </c>
      <c r="P52">
        <v>61.71</v>
      </c>
      <c r="Q52">
        <v>22.4</v>
      </c>
    </row>
    <row r="53" spans="1:34" x14ac:dyDescent="0.25">
      <c r="B53">
        <v>81.8</v>
      </c>
      <c r="C53">
        <v>77.290000000000006</v>
      </c>
      <c r="D53">
        <v>65.680000000000007</v>
      </c>
      <c r="E53">
        <v>70.349999999999994</v>
      </c>
      <c r="F53">
        <v>78.430000000000007</v>
      </c>
      <c r="G53">
        <v>65.569999999999993</v>
      </c>
      <c r="H53">
        <v>71.430000000000007</v>
      </c>
      <c r="I53">
        <v>60.08</v>
      </c>
      <c r="J53">
        <v>63.42</v>
      </c>
      <c r="K53">
        <v>71.92</v>
      </c>
      <c r="L53">
        <v>65.680000000000007</v>
      </c>
      <c r="M53">
        <v>61.17</v>
      </c>
      <c r="N53">
        <f t="shared" si="34"/>
        <v>63.425000000000004</v>
      </c>
      <c r="O53">
        <v>4.51</v>
      </c>
      <c r="P53">
        <v>63.42</v>
      </c>
      <c r="Q53">
        <v>24.12</v>
      </c>
    </row>
    <row r="54" spans="1:34" x14ac:dyDescent="0.25">
      <c r="B54">
        <v>69.58</v>
      </c>
      <c r="C54">
        <v>70.739999999999995</v>
      </c>
      <c r="D54">
        <v>62.92</v>
      </c>
      <c r="E54">
        <v>64.08</v>
      </c>
      <c r="F54">
        <v>74.069999999999993</v>
      </c>
      <c r="G54">
        <v>63.69</v>
      </c>
      <c r="H54">
        <v>68.489999999999995</v>
      </c>
      <c r="I54">
        <v>61.99</v>
      </c>
      <c r="J54">
        <v>66.150000000000006</v>
      </c>
      <c r="K54">
        <v>73.25</v>
      </c>
      <c r="L54">
        <v>62.92</v>
      </c>
      <c r="M54">
        <v>69.37</v>
      </c>
      <c r="N54">
        <f t="shared" si="34"/>
        <v>66.14500000000001</v>
      </c>
      <c r="O54">
        <v>6.45</v>
      </c>
      <c r="P54">
        <v>66.150000000000006</v>
      </c>
      <c r="Q54">
        <v>29.56</v>
      </c>
      <c r="S54">
        <v>82.4</v>
      </c>
      <c r="T54">
        <v>74.709999999999994</v>
      </c>
      <c r="U54">
        <v>74.22</v>
      </c>
      <c r="V54">
        <v>74.12</v>
      </c>
      <c r="W54">
        <v>75.8</v>
      </c>
      <c r="X54">
        <v>75.11</v>
      </c>
      <c r="Y54">
        <v>75.45</v>
      </c>
      <c r="Z54">
        <v>67.03</v>
      </c>
      <c r="AA54">
        <v>67.77</v>
      </c>
      <c r="AB54">
        <v>76.09</v>
      </c>
      <c r="AC54">
        <v>74.22</v>
      </c>
      <c r="AD54">
        <v>61.33</v>
      </c>
      <c r="AE54">
        <f>(AC54+AD54)/2</f>
        <v>67.775000000000006</v>
      </c>
      <c r="AF54">
        <v>12.89</v>
      </c>
      <c r="AG54">
        <v>67.77</v>
      </c>
      <c r="AH54">
        <v>35.15</v>
      </c>
    </row>
    <row r="55" spans="1:34" x14ac:dyDescent="0.25">
      <c r="B55">
        <v>56.07</v>
      </c>
      <c r="C55">
        <v>51.53</v>
      </c>
      <c r="D55">
        <v>49.9</v>
      </c>
      <c r="E55">
        <v>61.47</v>
      </c>
      <c r="F55">
        <v>61.34</v>
      </c>
      <c r="G55">
        <v>59.84</v>
      </c>
      <c r="H55">
        <v>60.58</v>
      </c>
      <c r="I55">
        <v>53.72</v>
      </c>
      <c r="J55">
        <v>54.11</v>
      </c>
      <c r="K55">
        <v>56.3</v>
      </c>
      <c r="L55">
        <v>49.9</v>
      </c>
      <c r="M55">
        <v>58.31</v>
      </c>
      <c r="N55">
        <f t="shared" si="34"/>
        <v>54.105000000000004</v>
      </c>
      <c r="O55">
        <v>8.41</v>
      </c>
      <c r="P55">
        <v>54.11</v>
      </c>
      <c r="Q55">
        <v>8.1</v>
      </c>
      <c r="S55">
        <v>79.849999999999994</v>
      </c>
      <c r="T55">
        <v>71.260000000000005</v>
      </c>
      <c r="U55">
        <v>81.400000000000006</v>
      </c>
      <c r="V55">
        <v>75.92</v>
      </c>
      <c r="W55">
        <v>72.62</v>
      </c>
      <c r="X55">
        <v>82.81</v>
      </c>
      <c r="Y55">
        <v>77.38</v>
      </c>
      <c r="Z55">
        <v>65.290000000000006</v>
      </c>
      <c r="AA55">
        <v>65.12</v>
      </c>
      <c r="AB55">
        <v>74.17</v>
      </c>
      <c r="AC55">
        <v>81.400000000000006</v>
      </c>
      <c r="AD55">
        <v>48.83</v>
      </c>
      <c r="AE55">
        <f t="shared" ref="AE55:AE59" si="35">(AC55+AD55)/2</f>
        <v>65.115000000000009</v>
      </c>
      <c r="AF55">
        <v>32.57</v>
      </c>
      <c r="AG55">
        <v>65.12</v>
      </c>
      <c r="AH55">
        <v>31.98</v>
      </c>
    </row>
    <row r="56" spans="1:34" x14ac:dyDescent="0.25">
      <c r="B56">
        <v>83.03</v>
      </c>
      <c r="C56">
        <v>80.09</v>
      </c>
      <c r="D56">
        <v>76.86</v>
      </c>
      <c r="E56">
        <v>77.599999999999994</v>
      </c>
      <c r="F56">
        <v>80.7</v>
      </c>
      <c r="G56">
        <v>75.41</v>
      </c>
      <c r="H56">
        <v>77.97</v>
      </c>
      <c r="I56">
        <v>66.02</v>
      </c>
      <c r="J56">
        <v>68.8</v>
      </c>
      <c r="K56">
        <v>74.650000000000006</v>
      </c>
      <c r="L56">
        <v>76.86</v>
      </c>
      <c r="M56">
        <v>60.74</v>
      </c>
      <c r="N56">
        <f t="shared" si="34"/>
        <v>68.8</v>
      </c>
      <c r="O56">
        <v>16.12</v>
      </c>
      <c r="P56">
        <v>68.8</v>
      </c>
      <c r="Q56">
        <v>34.96</v>
      </c>
      <c r="S56">
        <v>69.33</v>
      </c>
      <c r="T56">
        <v>63.96</v>
      </c>
      <c r="U56">
        <v>72.88</v>
      </c>
      <c r="V56">
        <v>67.510000000000005</v>
      </c>
      <c r="W56">
        <v>65.5</v>
      </c>
      <c r="X56">
        <v>73.2</v>
      </c>
      <c r="Y56">
        <v>69.14</v>
      </c>
      <c r="Z56">
        <v>63.28</v>
      </c>
      <c r="AA56">
        <v>64.5</v>
      </c>
      <c r="AB56">
        <v>69.52</v>
      </c>
      <c r="AC56">
        <v>72.88</v>
      </c>
      <c r="AD56">
        <v>56.12</v>
      </c>
      <c r="AE56">
        <f t="shared" si="35"/>
        <v>64.5</v>
      </c>
      <c r="AF56">
        <v>16.760000000000002</v>
      </c>
      <c r="AG56">
        <v>64.5</v>
      </c>
      <c r="AH56">
        <v>28.29</v>
      </c>
    </row>
    <row r="57" spans="1:34" x14ac:dyDescent="0.25">
      <c r="B57">
        <v>66.239999999999995</v>
      </c>
      <c r="C57">
        <v>66.099999999999994</v>
      </c>
      <c r="D57">
        <v>54.19</v>
      </c>
      <c r="E57">
        <v>55.7</v>
      </c>
      <c r="F57">
        <v>67.91</v>
      </c>
      <c r="G57">
        <v>57.96</v>
      </c>
      <c r="H57">
        <v>62.54</v>
      </c>
      <c r="I57">
        <v>55.59</v>
      </c>
      <c r="J57">
        <v>59.81</v>
      </c>
      <c r="K57">
        <v>68.97</v>
      </c>
      <c r="L57">
        <v>54.19</v>
      </c>
      <c r="M57">
        <v>65.44</v>
      </c>
      <c r="N57">
        <f t="shared" si="34"/>
        <v>59.814999999999998</v>
      </c>
      <c r="O57">
        <v>11.26</v>
      </c>
      <c r="P57">
        <v>59.81</v>
      </c>
      <c r="Q57">
        <v>18.829999999999998</v>
      </c>
      <c r="S57">
        <v>83.49</v>
      </c>
      <c r="T57">
        <v>75.319999999999993</v>
      </c>
      <c r="U57">
        <v>84.87</v>
      </c>
      <c r="V57">
        <v>79.13</v>
      </c>
      <c r="W57">
        <v>75.3</v>
      </c>
      <c r="X57">
        <v>84.16</v>
      </c>
      <c r="Y57">
        <v>79.489999999999995</v>
      </c>
      <c r="Z57">
        <v>70.22</v>
      </c>
      <c r="AA57">
        <v>71.27</v>
      </c>
      <c r="AB57">
        <v>79.150000000000006</v>
      </c>
      <c r="AC57">
        <v>84.87</v>
      </c>
      <c r="AD57">
        <v>57.66</v>
      </c>
      <c r="AE57">
        <f t="shared" si="35"/>
        <v>71.265000000000001</v>
      </c>
      <c r="AF57">
        <v>27.21</v>
      </c>
      <c r="AG57">
        <v>71.27</v>
      </c>
      <c r="AH57">
        <v>43.31</v>
      </c>
    </row>
    <row r="58" spans="1:34" x14ac:dyDescent="0.25">
      <c r="B58">
        <v>58.76</v>
      </c>
      <c r="C58">
        <v>55.13</v>
      </c>
      <c r="D58">
        <v>54.64</v>
      </c>
      <c r="E58">
        <v>54.25</v>
      </c>
      <c r="F58">
        <v>63.64</v>
      </c>
      <c r="G58">
        <v>63.11</v>
      </c>
      <c r="H58">
        <v>63.37</v>
      </c>
      <c r="I58">
        <v>59.03</v>
      </c>
      <c r="J58">
        <v>59.49</v>
      </c>
      <c r="K58">
        <v>63.12</v>
      </c>
      <c r="L58">
        <v>54.64</v>
      </c>
      <c r="M58">
        <v>64.349999999999994</v>
      </c>
      <c r="N58">
        <f t="shared" si="34"/>
        <v>59.494999999999997</v>
      </c>
      <c r="O58">
        <v>9.7100000000000009</v>
      </c>
      <c r="P58">
        <v>59.49</v>
      </c>
      <c r="Q58">
        <v>19.23</v>
      </c>
      <c r="S58">
        <v>69.459999999999994</v>
      </c>
      <c r="T58">
        <v>64.3</v>
      </c>
      <c r="U58">
        <v>78.53</v>
      </c>
      <c r="V58">
        <v>69.599999999999994</v>
      </c>
      <c r="W58">
        <v>65.59</v>
      </c>
      <c r="X58">
        <v>79.739999999999995</v>
      </c>
      <c r="Y58">
        <v>71.98</v>
      </c>
      <c r="Z58">
        <v>66.14</v>
      </c>
      <c r="AA58">
        <v>67.98</v>
      </c>
      <c r="AB58">
        <v>72.64</v>
      </c>
      <c r="AC58">
        <v>78.53</v>
      </c>
      <c r="AD58">
        <v>57.43</v>
      </c>
      <c r="AE58">
        <f t="shared" si="35"/>
        <v>67.98</v>
      </c>
      <c r="AF58">
        <v>21.1</v>
      </c>
      <c r="AG58">
        <v>67.98</v>
      </c>
      <c r="AH58">
        <v>36.200000000000003</v>
      </c>
    </row>
    <row r="59" spans="1:34" x14ac:dyDescent="0.25">
      <c r="B59">
        <v>57.42</v>
      </c>
      <c r="C59">
        <v>58.84</v>
      </c>
      <c r="D59">
        <v>61.61</v>
      </c>
      <c r="E59">
        <v>58.31</v>
      </c>
      <c r="F59">
        <v>60.38</v>
      </c>
      <c r="G59">
        <v>63.24</v>
      </c>
      <c r="H59">
        <v>61.78</v>
      </c>
      <c r="I59">
        <v>58.25</v>
      </c>
      <c r="J59">
        <v>60.29</v>
      </c>
      <c r="K59">
        <v>63.67</v>
      </c>
      <c r="L59">
        <v>61.61</v>
      </c>
      <c r="M59">
        <v>58.97</v>
      </c>
      <c r="N59">
        <f t="shared" si="34"/>
        <v>60.29</v>
      </c>
      <c r="O59">
        <v>2.63</v>
      </c>
      <c r="P59">
        <v>60.29</v>
      </c>
      <c r="Q59">
        <v>19.82</v>
      </c>
      <c r="S59">
        <v>72.78</v>
      </c>
      <c r="T59">
        <v>62.6</v>
      </c>
      <c r="U59">
        <v>75.22</v>
      </c>
      <c r="V59">
        <v>67.08</v>
      </c>
      <c r="W59">
        <v>65.72</v>
      </c>
      <c r="X59">
        <v>77.27</v>
      </c>
      <c r="Y59">
        <v>71.03</v>
      </c>
      <c r="Z59">
        <v>62.56</v>
      </c>
      <c r="AA59">
        <v>64.31</v>
      </c>
      <c r="AB59">
        <v>73.709999999999994</v>
      </c>
      <c r="AC59">
        <v>75.22</v>
      </c>
      <c r="AD59">
        <v>53.39</v>
      </c>
      <c r="AE59">
        <f t="shared" si="35"/>
        <v>64.305000000000007</v>
      </c>
      <c r="AF59">
        <v>21.83</v>
      </c>
      <c r="AG59">
        <v>64.31</v>
      </c>
      <c r="AH59">
        <v>27.96</v>
      </c>
    </row>
    <row r="60" spans="1:34" x14ac:dyDescent="0.25">
      <c r="B60" s="2">
        <f>AVERAGE(B50:B59)</f>
        <v>70.090999999999994</v>
      </c>
      <c r="C60" s="2">
        <f t="shared" ref="C60:Q60" si="36">AVERAGE(C50:C59)</f>
        <v>68.095000000000013</v>
      </c>
      <c r="D60" s="2">
        <f t="shared" si="36"/>
        <v>65.347000000000008</v>
      </c>
      <c r="E60" s="2">
        <f t="shared" si="36"/>
        <v>66.156999999999996</v>
      </c>
      <c r="F60" s="2">
        <f t="shared" si="36"/>
        <v>70.917999999999992</v>
      </c>
      <c r="G60" s="2">
        <f t="shared" si="36"/>
        <v>67.872</v>
      </c>
      <c r="H60" s="2">
        <f t="shared" si="36"/>
        <v>69.227000000000004</v>
      </c>
      <c r="I60" s="2">
        <f t="shared" si="36"/>
        <v>60.189</v>
      </c>
      <c r="J60" s="2">
        <f t="shared" si="36"/>
        <v>62.565999999999995</v>
      </c>
      <c r="K60" s="2">
        <f t="shared" si="36"/>
        <v>68.341999999999999</v>
      </c>
      <c r="L60" s="2">
        <f t="shared" si="36"/>
        <v>65.347000000000008</v>
      </c>
      <c r="M60" s="2">
        <f t="shared" si="36"/>
        <v>59.786999999999999</v>
      </c>
      <c r="N60" s="2">
        <f t="shared" si="36"/>
        <v>62.566999999999993</v>
      </c>
      <c r="O60" s="2">
        <f t="shared" si="36"/>
        <v>12.724</v>
      </c>
      <c r="P60" s="2">
        <f t="shared" si="36"/>
        <v>62.565999999999995</v>
      </c>
      <c r="Q60" s="2">
        <f t="shared" si="36"/>
        <v>23.841000000000001</v>
      </c>
      <c r="S60" s="2">
        <f>AVERAGE(S54:S59)</f>
        <v>76.21833333333332</v>
      </c>
      <c r="T60" s="2">
        <f t="shared" ref="T60:AH60" si="37">AVERAGE(T54:T59)</f>
        <v>68.691666666666677</v>
      </c>
      <c r="U60" s="2">
        <f t="shared" si="37"/>
        <v>77.853333333333339</v>
      </c>
      <c r="V60" s="2">
        <f t="shared" si="37"/>
        <v>72.226666666666659</v>
      </c>
      <c r="W60" s="2">
        <f t="shared" si="37"/>
        <v>70.088333333333352</v>
      </c>
      <c r="X60" s="2">
        <f t="shared" si="37"/>
        <v>78.714999999999989</v>
      </c>
      <c r="Y60" s="2">
        <f t="shared" si="37"/>
        <v>74.078333333333333</v>
      </c>
      <c r="Z60" s="2">
        <f t="shared" si="37"/>
        <v>65.75333333333333</v>
      </c>
      <c r="AA60" s="2">
        <f t="shared" si="37"/>
        <v>66.825000000000003</v>
      </c>
      <c r="AB60" s="2">
        <f t="shared" si="37"/>
        <v>74.213333333333324</v>
      </c>
      <c r="AC60" s="2">
        <f t="shared" si="37"/>
        <v>77.853333333333339</v>
      </c>
      <c r="AD60" s="2">
        <f t="shared" si="37"/>
        <v>55.793333333333329</v>
      </c>
      <c r="AE60" s="2">
        <f t="shared" si="37"/>
        <v>66.823333333333338</v>
      </c>
      <c r="AF60" s="2">
        <f t="shared" si="37"/>
        <v>22.060000000000002</v>
      </c>
      <c r="AG60" s="2">
        <f t="shared" si="37"/>
        <v>66.825000000000003</v>
      </c>
      <c r="AH60" s="2">
        <f t="shared" si="37"/>
        <v>33.815000000000005</v>
      </c>
    </row>
    <row r="61" spans="1:34" x14ac:dyDescent="0.25">
      <c r="A61" s="1" t="s">
        <v>82</v>
      </c>
      <c r="B61">
        <v>80.16</v>
      </c>
      <c r="C61">
        <v>79.16</v>
      </c>
      <c r="D61">
        <v>73.209999999999994</v>
      </c>
      <c r="E61">
        <v>75.150000000000006</v>
      </c>
      <c r="F61">
        <v>79.650000000000006</v>
      </c>
      <c r="G61">
        <v>73.77</v>
      </c>
      <c r="H61">
        <v>76.599999999999994</v>
      </c>
      <c r="I61">
        <v>61.33</v>
      </c>
      <c r="J61">
        <v>64.59</v>
      </c>
      <c r="K61">
        <v>67.150000000000006</v>
      </c>
      <c r="L61">
        <v>73.209999999999994</v>
      </c>
      <c r="M61">
        <v>55.98</v>
      </c>
      <c r="N61">
        <f>(L61+M61)/2</f>
        <v>64.594999999999999</v>
      </c>
      <c r="O61">
        <v>17.22</v>
      </c>
      <c r="P61">
        <v>64.59</v>
      </c>
      <c r="Q61">
        <v>26.4</v>
      </c>
    </row>
    <row r="62" spans="1:34" x14ac:dyDescent="0.25">
      <c r="B62">
        <v>79.989999999999995</v>
      </c>
      <c r="C62">
        <v>77.599999999999994</v>
      </c>
      <c r="D62">
        <v>63.22</v>
      </c>
      <c r="E62">
        <v>69.239999999999995</v>
      </c>
      <c r="F62">
        <v>78.790000000000006</v>
      </c>
      <c r="G62">
        <v>63.93</v>
      </c>
      <c r="H62">
        <v>70.59</v>
      </c>
      <c r="I62">
        <v>58.45</v>
      </c>
      <c r="J62">
        <v>61.6</v>
      </c>
      <c r="K62">
        <v>68.86</v>
      </c>
      <c r="L62">
        <v>63.22</v>
      </c>
      <c r="M62">
        <v>59.98</v>
      </c>
      <c r="N62">
        <f t="shared" ref="N62:N70" si="38">(L62+M62)/2</f>
        <v>61.599999999999994</v>
      </c>
      <c r="O62">
        <v>3.24</v>
      </c>
      <c r="P62">
        <v>61.6</v>
      </c>
      <c r="Q62">
        <v>20.93</v>
      </c>
    </row>
    <row r="63" spans="1:34" x14ac:dyDescent="0.25">
      <c r="B63">
        <v>64.75</v>
      </c>
      <c r="C63">
        <v>66.900000000000006</v>
      </c>
      <c r="D63">
        <v>59.38</v>
      </c>
      <c r="E63">
        <v>59.97</v>
      </c>
      <c r="F63">
        <v>68.89</v>
      </c>
      <c r="G63">
        <v>59.24</v>
      </c>
      <c r="H63">
        <v>63.7</v>
      </c>
      <c r="I63">
        <v>57.45</v>
      </c>
      <c r="J63">
        <v>61.35</v>
      </c>
      <c r="K63">
        <v>67.98</v>
      </c>
      <c r="L63">
        <v>59.38</v>
      </c>
      <c r="M63">
        <v>63.32</v>
      </c>
      <c r="N63">
        <f t="shared" si="38"/>
        <v>61.35</v>
      </c>
      <c r="O63">
        <v>3.94</v>
      </c>
      <c r="P63">
        <v>61.35</v>
      </c>
      <c r="Q63">
        <v>20.11</v>
      </c>
    </row>
    <row r="64" spans="1:34" x14ac:dyDescent="0.25">
      <c r="B64">
        <v>80.03</v>
      </c>
      <c r="C64">
        <v>76.77</v>
      </c>
      <c r="D64">
        <v>55.92</v>
      </c>
      <c r="E64">
        <v>64.62</v>
      </c>
      <c r="F64">
        <v>78.41</v>
      </c>
      <c r="G64">
        <v>56.56</v>
      </c>
      <c r="H64">
        <v>65.709999999999994</v>
      </c>
      <c r="I64">
        <v>55.8</v>
      </c>
      <c r="J64">
        <v>58.96</v>
      </c>
      <c r="K64">
        <v>67.41</v>
      </c>
      <c r="L64">
        <v>55.92</v>
      </c>
      <c r="M64">
        <v>62</v>
      </c>
      <c r="N64">
        <f t="shared" si="38"/>
        <v>58.96</v>
      </c>
      <c r="O64">
        <v>6.08</v>
      </c>
      <c r="P64">
        <v>58.96</v>
      </c>
      <c r="Q64">
        <v>16.84</v>
      </c>
    </row>
    <row r="65" spans="1:34" x14ac:dyDescent="0.25">
      <c r="B65">
        <v>68.41</v>
      </c>
      <c r="C65">
        <v>72.28</v>
      </c>
      <c r="D65">
        <v>50.91</v>
      </c>
      <c r="E65">
        <v>54.63</v>
      </c>
      <c r="F65">
        <v>76.47</v>
      </c>
      <c r="G65">
        <v>49.68</v>
      </c>
      <c r="H65">
        <v>60.23</v>
      </c>
      <c r="I65">
        <v>59.08</v>
      </c>
      <c r="J65">
        <v>67.430000000000007</v>
      </c>
      <c r="K65">
        <v>72.06</v>
      </c>
      <c r="L65">
        <v>50.91</v>
      </c>
      <c r="M65">
        <v>83.94</v>
      </c>
      <c r="N65">
        <f t="shared" si="38"/>
        <v>67.424999999999997</v>
      </c>
      <c r="O65">
        <v>33.03</v>
      </c>
      <c r="P65">
        <v>67.430000000000007</v>
      </c>
      <c r="Q65">
        <v>30.16</v>
      </c>
      <c r="S65">
        <v>72.61</v>
      </c>
      <c r="T65">
        <v>64.47</v>
      </c>
      <c r="U65">
        <v>88.85</v>
      </c>
      <c r="V65">
        <v>74.23</v>
      </c>
      <c r="W65">
        <v>64.8</v>
      </c>
      <c r="X65">
        <v>89.14</v>
      </c>
      <c r="Y65">
        <v>75.05</v>
      </c>
      <c r="Z65">
        <v>53.14</v>
      </c>
      <c r="AA65">
        <v>55.86</v>
      </c>
      <c r="AB65">
        <v>63.83</v>
      </c>
      <c r="AC65">
        <v>88.85</v>
      </c>
      <c r="AD65">
        <v>22.88</v>
      </c>
      <c r="AE65">
        <f>(AC65+AD65)/2</f>
        <v>55.864999999999995</v>
      </c>
      <c r="AF65">
        <v>65.97</v>
      </c>
      <c r="AG65">
        <v>55.86</v>
      </c>
      <c r="AH65">
        <v>15.78</v>
      </c>
    </row>
    <row r="66" spans="1:34" x14ac:dyDescent="0.25">
      <c r="B66">
        <v>63.15</v>
      </c>
      <c r="C66">
        <v>54.65</v>
      </c>
      <c r="D66">
        <v>51.89</v>
      </c>
      <c r="E66">
        <v>51.17</v>
      </c>
      <c r="F66">
        <v>57.39</v>
      </c>
      <c r="G66">
        <v>54.1</v>
      </c>
      <c r="H66">
        <v>55.7</v>
      </c>
      <c r="I66">
        <v>54.78</v>
      </c>
      <c r="J66">
        <v>56.58</v>
      </c>
      <c r="K66">
        <v>65.430000000000007</v>
      </c>
      <c r="L66">
        <v>51.89</v>
      </c>
      <c r="M66">
        <v>61.27</v>
      </c>
      <c r="N66">
        <f t="shared" si="38"/>
        <v>56.58</v>
      </c>
      <c r="O66">
        <v>9.3699999999999992</v>
      </c>
      <c r="P66">
        <v>56.58</v>
      </c>
      <c r="Q66">
        <v>13.06</v>
      </c>
      <c r="S66">
        <v>80.89</v>
      </c>
      <c r="T66">
        <v>76.239999999999995</v>
      </c>
      <c r="U66">
        <v>78.25</v>
      </c>
      <c r="V66">
        <v>77.09</v>
      </c>
      <c r="W66">
        <v>77.97</v>
      </c>
      <c r="X66">
        <v>80.09</v>
      </c>
      <c r="Y66">
        <v>79.02</v>
      </c>
      <c r="Z66">
        <v>71.02</v>
      </c>
      <c r="AA66">
        <v>71.150000000000006</v>
      </c>
      <c r="AB66">
        <v>77.89</v>
      </c>
      <c r="AC66">
        <v>78.25</v>
      </c>
      <c r="AD66">
        <v>64.05</v>
      </c>
      <c r="AE66">
        <f t="shared" ref="AE66:AE70" si="39">(AC66+AD66)/2</f>
        <v>71.150000000000006</v>
      </c>
      <c r="AF66">
        <v>14.19</v>
      </c>
      <c r="AG66">
        <v>71.150000000000006</v>
      </c>
      <c r="AH66">
        <v>42.86</v>
      </c>
    </row>
    <row r="67" spans="1:34" x14ac:dyDescent="0.25">
      <c r="B67">
        <v>85.74</v>
      </c>
      <c r="C67">
        <v>86.18</v>
      </c>
      <c r="D67">
        <v>61.51</v>
      </c>
      <c r="E67">
        <v>71.72</v>
      </c>
      <c r="F67">
        <v>87.5</v>
      </c>
      <c r="G67">
        <v>63.11</v>
      </c>
      <c r="H67">
        <v>73.33</v>
      </c>
      <c r="I67">
        <v>64.459999999999994</v>
      </c>
      <c r="J67">
        <v>69.12</v>
      </c>
      <c r="K67">
        <v>77.739999999999995</v>
      </c>
      <c r="L67">
        <v>61.51</v>
      </c>
      <c r="M67">
        <v>76.73</v>
      </c>
      <c r="N67">
        <f t="shared" si="38"/>
        <v>69.12</v>
      </c>
      <c r="O67">
        <v>15.22</v>
      </c>
      <c r="P67">
        <v>69.12</v>
      </c>
      <c r="Q67">
        <v>35.049999999999997</v>
      </c>
      <c r="S67">
        <v>69.599999999999994</v>
      </c>
      <c r="T67">
        <v>67.61</v>
      </c>
      <c r="U67">
        <v>77</v>
      </c>
      <c r="V67">
        <v>71.150000000000006</v>
      </c>
      <c r="W67">
        <v>69.59</v>
      </c>
      <c r="X67">
        <v>77.78</v>
      </c>
      <c r="Y67">
        <v>73.459999999999994</v>
      </c>
      <c r="Z67">
        <v>68.41</v>
      </c>
      <c r="AA67">
        <v>69.75</v>
      </c>
      <c r="AB67">
        <v>72.09</v>
      </c>
      <c r="AC67">
        <v>77</v>
      </c>
      <c r="AD67">
        <v>62.5</v>
      </c>
      <c r="AE67">
        <f t="shared" si="39"/>
        <v>69.75</v>
      </c>
      <c r="AF67">
        <v>14.5</v>
      </c>
      <c r="AG67">
        <v>69.75</v>
      </c>
      <c r="AH67">
        <v>38.99</v>
      </c>
    </row>
    <row r="68" spans="1:34" x14ac:dyDescent="0.25">
      <c r="B68">
        <v>72.53</v>
      </c>
      <c r="C68">
        <v>72.33</v>
      </c>
      <c r="D68">
        <v>50.64</v>
      </c>
      <c r="E68">
        <v>56.06</v>
      </c>
      <c r="F68">
        <v>76.92</v>
      </c>
      <c r="G68">
        <v>50.96</v>
      </c>
      <c r="H68">
        <v>61.3</v>
      </c>
      <c r="I68">
        <v>59.08</v>
      </c>
      <c r="J68">
        <v>66.010000000000005</v>
      </c>
      <c r="K68">
        <v>75.78</v>
      </c>
      <c r="L68">
        <v>50.64</v>
      </c>
      <c r="M68">
        <v>81.38</v>
      </c>
      <c r="N68">
        <f t="shared" si="38"/>
        <v>66.009999999999991</v>
      </c>
      <c r="O68">
        <v>30.75</v>
      </c>
      <c r="P68">
        <v>66.010000000000005</v>
      </c>
      <c r="Q68">
        <v>28.35</v>
      </c>
      <c r="S68">
        <v>82.74</v>
      </c>
      <c r="T68">
        <v>75.180000000000007</v>
      </c>
      <c r="U68">
        <v>78.77</v>
      </c>
      <c r="V68">
        <v>76.010000000000005</v>
      </c>
      <c r="W68">
        <v>74.89</v>
      </c>
      <c r="X68">
        <v>78.28</v>
      </c>
      <c r="Y68">
        <v>76.55</v>
      </c>
      <c r="Z68">
        <v>67.709999999999994</v>
      </c>
      <c r="AA68">
        <v>69.42</v>
      </c>
      <c r="AB68">
        <v>77.87</v>
      </c>
      <c r="AC68">
        <v>78.77</v>
      </c>
      <c r="AD68">
        <v>60.06</v>
      </c>
      <c r="AE68">
        <f t="shared" si="39"/>
        <v>69.414999999999992</v>
      </c>
      <c r="AF68">
        <v>18.72</v>
      </c>
      <c r="AG68">
        <v>69.42</v>
      </c>
      <c r="AH68">
        <v>38.71</v>
      </c>
    </row>
    <row r="69" spans="1:34" x14ac:dyDescent="0.25">
      <c r="B69">
        <v>67.209999999999994</v>
      </c>
      <c r="C69">
        <v>66.95</v>
      </c>
      <c r="D69">
        <v>58.02</v>
      </c>
      <c r="E69">
        <v>61.75</v>
      </c>
      <c r="F69">
        <v>71.959999999999994</v>
      </c>
      <c r="G69">
        <v>63.11</v>
      </c>
      <c r="H69">
        <v>67.25</v>
      </c>
      <c r="I69">
        <v>65.42</v>
      </c>
      <c r="J69">
        <v>66.069999999999993</v>
      </c>
      <c r="K69">
        <v>72.06</v>
      </c>
      <c r="L69">
        <v>58.02</v>
      </c>
      <c r="M69">
        <v>74.12</v>
      </c>
      <c r="N69">
        <f t="shared" si="38"/>
        <v>66.070000000000007</v>
      </c>
      <c r="O69">
        <v>16.11</v>
      </c>
      <c r="P69">
        <v>66.069999999999993</v>
      </c>
      <c r="Q69">
        <v>32.36</v>
      </c>
      <c r="S69">
        <v>72.64</v>
      </c>
      <c r="T69">
        <v>69.069999999999993</v>
      </c>
      <c r="U69">
        <v>79.459999999999994</v>
      </c>
      <c r="V69">
        <v>72.459999999999994</v>
      </c>
      <c r="W69">
        <v>69.27</v>
      </c>
      <c r="X69">
        <v>81.05</v>
      </c>
      <c r="Y69">
        <v>74.7</v>
      </c>
      <c r="Z69">
        <v>69.31</v>
      </c>
      <c r="AA69">
        <v>70.709999999999994</v>
      </c>
      <c r="AB69">
        <v>77.12</v>
      </c>
      <c r="AC69">
        <v>79.459999999999994</v>
      </c>
      <c r="AD69">
        <v>61.96</v>
      </c>
      <c r="AE69">
        <f t="shared" si="39"/>
        <v>70.709999999999994</v>
      </c>
      <c r="AF69">
        <v>17.5</v>
      </c>
      <c r="AG69">
        <v>70.709999999999994</v>
      </c>
      <c r="AH69">
        <v>42.94</v>
      </c>
    </row>
    <row r="70" spans="1:34" x14ac:dyDescent="0.25">
      <c r="B70">
        <v>66</v>
      </c>
      <c r="C70">
        <v>64.569999999999993</v>
      </c>
      <c r="D70">
        <v>65.33</v>
      </c>
      <c r="E70">
        <v>63.36</v>
      </c>
      <c r="F70">
        <v>65.89</v>
      </c>
      <c r="G70">
        <v>67.19</v>
      </c>
      <c r="H70">
        <v>66.540000000000006</v>
      </c>
      <c r="I70">
        <v>63.14</v>
      </c>
      <c r="J70">
        <v>64.58</v>
      </c>
      <c r="K70">
        <v>68.540000000000006</v>
      </c>
      <c r="L70">
        <v>65.33</v>
      </c>
      <c r="M70">
        <v>63.83</v>
      </c>
      <c r="N70">
        <f t="shared" si="38"/>
        <v>64.58</v>
      </c>
      <c r="O70">
        <v>1.5</v>
      </c>
      <c r="P70">
        <v>64.58</v>
      </c>
      <c r="Q70">
        <v>29.53</v>
      </c>
      <c r="S70">
        <v>78.150000000000006</v>
      </c>
      <c r="T70">
        <v>66.78</v>
      </c>
      <c r="U70">
        <v>76.94</v>
      </c>
      <c r="V70">
        <v>69.900000000000006</v>
      </c>
      <c r="W70">
        <v>69.290000000000006</v>
      </c>
      <c r="X70">
        <v>77.27</v>
      </c>
      <c r="Y70">
        <v>73.069999999999993</v>
      </c>
      <c r="Z70">
        <v>67.73</v>
      </c>
      <c r="AA70">
        <v>69.78</v>
      </c>
      <c r="AB70">
        <v>78.12</v>
      </c>
      <c r="AC70">
        <v>76.94</v>
      </c>
      <c r="AD70">
        <v>62.62</v>
      </c>
      <c r="AE70">
        <f t="shared" si="39"/>
        <v>69.78</v>
      </c>
      <c r="AF70">
        <v>14.33</v>
      </c>
      <c r="AG70">
        <v>69.78</v>
      </c>
      <c r="AH70">
        <v>38.119999999999997</v>
      </c>
    </row>
    <row r="71" spans="1:34" x14ac:dyDescent="0.25">
      <c r="B71" s="2">
        <f>AVERAGE(B61:B70)</f>
        <v>72.796999999999997</v>
      </c>
      <c r="C71" s="2">
        <f t="shared" ref="C71:Q71" si="40">AVERAGE(C61:C70)</f>
        <v>71.739000000000004</v>
      </c>
      <c r="D71" s="2">
        <f t="shared" si="40"/>
        <v>59.003</v>
      </c>
      <c r="E71" s="2">
        <f t="shared" si="40"/>
        <v>62.766999999999996</v>
      </c>
      <c r="F71" s="2">
        <f t="shared" si="40"/>
        <v>74.186999999999998</v>
      </c>
      <c r="G71" s="2">
        <f t="shared" si="40"/>
        <v>60.165000000000006</v>
      </c>
      <c r="H71" s="2">
        <f t="shared" si="40"/>
        <v>66.094999999999999</v>
      </c>
      <c r="I71" s="2">
        <f t="shared" si="40"/>
        <v>59.898999999999987</v>
      </c>
      <c r="J71" s="2">
        <f t="shared" si="40"/>
        <v>63.629000000000005</v>
      </c>
      <c r="K71" s="2">
        <f t="shared" si="40"/>
        <v>70.301000000000002</v>
      </c>
      <c r="L71" s="2">
        <f t="shared" si="40"/>
        <v>59.003</v>
      </c>
      <c r="M71" s="2">
        <f t="shared" si="40"/>
        <v>68.25500000000001</v>
      </c>
      <c r="N71" s="2">
        <f t="shared" si="40"/>
        <v>63.629000000000005</v>
      </c>
      <c r="O71" s="2">
        <f t="shared" si="40"/>
        <v>13.646000000000001</v>
      </c>
      <c r="P71" s="2">
        <f t="shared" si="40"/>
        <v>63.629000000000005</v>
      </c>
      <c r="Q71" s="2">
        <f t="shared" si="40"/>
        <v>25.279</v>
      </c>
      <c r="S71" s="2">
        <f>AVERAGE(S65:S70)</f>
        <v>76.105000000000004</v>
      </c>
      <c r="T71" s="2">
        <f t="shared" ref="T71:AH71" si="41">AVERAGE(T65:T70)</f>
        <v>69.891666666666666</v>
      </c>
      <c r="U71" s="2">
        <f t="shared" si="41"/>
        <v>79.87833333333333</v>
      </c>
      <c r="V71" s="2">
        <f t="shared" si="41"/>
        <v>73.473333333333343</v>
      </c>
      <c r="W71" s="2">
        <f t="shared" si="41"/>
        <v>70.968333333333334</v>
      </c>
      <c r="X71" s="2">
        <f t="shared" si="41"/>
        <v>80.601666666666674</v>
      </c>
      <c r="Y71" s="2">
        <f t="shared" si="41"/>
        <v>75.308333333333323</v>
      </c>
      <c r="Z71" s="2">
        <f t="shared" si="41"/>
        <v>66.22</v>
      </c>
      <c r="AA71" s="2">
        <f t="shared" si="41"/>
        <v>67.778333333333322</v>
      </c>
      <c r="AB71" s="2">
        <f t="shared" si="41"/>
        <v>74.486666666666665</v>
      </c>
      <c r="AC71" s="2">
        <f t="shared" si="41"/>
        <v>79.87833333333333</v>
      </c>
      <c r="AD71" s="2">
        <f t="shared" si="41"/>
        <v>55.678333333333335</v>
      </c>
      <c r="AE71" s="2">
        <f t="shared" si="41"/>
        <v>67.778333333333322</v>
      </c>
      <c r="AF71" s="2">
        <f t="shared" si="41"/>
        <v>24.201666666666668</v>
      </c>
      <c r="AG71" s="2">
        <f t="shared" si="41"/>
        <v>67.778333333333322</v>
      </c>
      <c r="AH71" s="2">
        <f t="shared" si="41"/>
        <v>36.233333333333334</v>
      </c>
    </row>
    <row r="72" spans="1:34" x14ac:dyDescent="0.2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x14ac:dyDescent="0.25">
      <c r="B73" s="2">
        <f>AVERAGE(B49,B60,B71)</f>
        <v>70.696999999999989</v>
      </c>
      <c r="C73" s="2">
        <f t="shared" ref="C73:Q73" si="42">AVERAGE(C49,C60,C71)</f>
        <v>69.832999999999998</v>
      </c>
      <c r="D73" s="2">
        <f t="shared" si="42"/>
        <v>60.94766666666667</v>
      </c>
      <c r="E73" s="2">
        <f t="shared" si="42"/>
        <v>63.642666666666663</v>
      </c>
      <c r="F73" s="2">
        <f t="shared" si="42"/>
        <v>72.184333333333328</v>
      </c>
      <c r="G73" s="2">
        <f t="shared" si="42"/>
        <v>62.610666666666667</v>
      </c>
      <c r="H73" s="2">
        <f t="shared" si="42"/>
        <v>66.599666666666664</v>
      </c>
      <c r="I73" s="2">
        <f t="shared" si="42"/>
        <v>59.205999999999996</v>
      </c>
      <c r="J73" s="2">
        <f t="shared" si="42"/>
        <v>62.677666666666674</v>
      </c>
      <c r="K73" s="2">
        <f t="shared" si="42"/>
        <v>67.999666666666656</v>
      </c>
      <c r="L73" s="2">
        <f t="shared" si="42"/>
        <v>60.94766666666667</v>
      </c>
      <c r="M73" s="2">
        <f t="shared" si="42"/>
        <v>64.408000000000001</v>
      </c>
      <c r="N73" s="2">
        <f t="shared" si="42"/>
        <v>62.677833333333332</v>
      </c>
      <c r="O73" s="2">
        <f t="shared" si="42"/>
        <v>15.182333333333334</v>
      </c>
      <c r="P73" s="2">
        <f t="shared" si="42"/>
        <v>62.677666666666674</v>
      </c>
      <c r="Q73" s="2">
        <f t="shared" si="42"/>
        <v>23.878</v>
      </c>
      <c r="S73" s="2">
        <f>AVERAGE(S49,AJ71,S71)</f>
        <v>72.149166666666673</v>
      </c>
      <c r="T73" s="2">
        <f t="shared" ref="T73:AH73" si="43">AVERAGE(T49,AK71,T71)</f>
        <v>67.789999999999992</v>
      </c>
      <c r="U73" s="2">
        <f t="shared" si="43"/>
        <v>65.55749999999999</v>
      </c>
      <c r="V73" s="2">
        <f t="shared" si="43"/>
        <v>63.106666666666669</v>
      </c>
      <c r="W73" s="2">
        <f t="shared" si="43"/>
        <v>67.388333333333335</v>
      </c>
      <c r="X73" s="2">
        <f t="shared" si="43"/>
        <v>65.567499999999995</v>
      </c>
      <c r="Y73" s="2">
        <f t="shared" si="43"/>
        <v>65.54583333333332</v>
      </c>
      <c r="Z73" s="2">
        <f t="shared" si="43"/>
        <v>60.3125</v>
      </c>
      <c r="AA73" s="2">
        <f t="shared" si="43"/>
        <v>63.427499999999995</v>
      </c>
      <c r="AB73" s="2">
        <f t="shared" si="43"/>
        <v>69.748333333333335</v>
      </c>
      <c r="AC73" s="2">
        <f t="shared" si="43"/>
        <v>65.55749999999999</v>
      </c>
      <c r="AD73" s="2">
        <f t="shared" si="43"/>
        <v>61.298333333333332</v>
      </c>
      <c r="AE73" s="2">
        <f t="shared" si="43"/>
        <v>63.427916666666661</v>
      </c>
      <c r="AF73" s="2">
        <f t="shared" si="43"/>
        <v>19.942499999999999</v>
      </c>
      <c r="AG73" s="2">
        <f t="shared" si="43"/>
        <v>63.427499999999995</v>
      </c>
      <c r="AH73" s="2">
        <f t="shared" si="43"/>
        <v>26.773333333333333</v>
      </c>
    </row>
    <row r="74" spans="1:34" x14ac:dyDescent="0.25">
      <c r="B74" s="2">
        <f>_xlfn.STDEV.S(B49,B60,B71)</f>
        <v>1.8720673064823266</v>
      </c>
      <c r="C74" s="2">
        <f t="shared" ref="C74:Q74" si="44">_xlfn.STDEV.S(C49,C60,C71)</f>
        <v>1.8277997702155415</v>
      </c>
      <c r="D74" s="2">
        <f t="shared" si="44"/>
        <v>3.8184585022405768</v>
      </c>
      <c r="E74" s="2">
        <f t="shared" si="44"/>
        <v>2.2106438730228168</v>
      </c>
      <c r="F74" s="2">
        <f t="shared" si="44"/>
        <v>1.7544886244525337</v>
      </c>
      <c r="G74" s="2">
        <f t="shared" si="44"/>
        <v>4.5602024443365794</v>
      </c>
      <c r="H74" s="2">
        <f t="shared" si="44"/>
        <v>2.4148791550165272</v>
      </c>
      <c r="I74" s="2">
        <f t="shared" si="44"/>
        <v>1.4586833103864598</v>
      </c>
      <c r="J74" s="2">
        <f t="shared" si="44"/>
        <v>0.90070657449212488</v>
      </c>
      <c r="K74" s="2">
        <f t="shared" si="44"/>
        <v>2.4902109013762974</v>
      </c>
      <c r="L74" s="2">
        <f t="shared" si="44"/>
        <v>3.8184585022405768</v>
      </c>
      <c r="M74" s="2">
        <f t="shared" si="44"/>
        <v>4.2867310389153213</v>
      </c>
      <c r="N74" s="2">
        <f t="shared" si="44"/>
        <v>0.90087795140814708</v>
      </c>
      <c r="O74" s="2">
        <f t="shared" si="44"/>
        <v>3.4900633709623943</v>
      </c>
      <c r="P74" s="2">
        <f t="shared" si="44"/>
        <v>0.90070657449212488</v>
      </c>
      <c r="Q74" s="2">
        <f t="shared" si="44"/>
        <v>1.3828712882983745</v>
      </c>
      <c r="S74" s="2">
        <f>_xlfn.STDEV.S(S49,AJ71,S71)</f>
        <v>5.5943931504875755</v>
      </c>
      <c r="T74" s="2">
        <f t="shared" ref="T74:AH74" si="45">_xlfn.STDEV.S(T49,AK71,T71)</f>
        <v>2.9722055035874546</v>
      </c>
      <c r="U74" s="2">
        <f t="shared" si="45"/>
        <v>20.252716724484689</v>
      </c>
      <c r="V74" s="2">
        <f t="shared" si="45"/>
        <v>14.660680596601061</v>
      </c>
      <c r="W74" s="2">
        <f t="shared" si="45"/>
        <v>5.0628845532956825</v>
      </c>
      <c r="X74" s="2">
        <f t="shared" si="45"/>
        <v>21.261522398977554</v>
      </c>
      <c r="Y74" s="2">
        <f t="shared" si="45"/>
        <v>13.80625990266739</v>
      </c>
      <c r="Z74" s="2">
        <f t="shared" si="45"/>
        <v>8.3544666197190622</v>
      </c>
      <c r="AA74" s="2">
        <f t="shared" si="45"/>
        <v>6.1530075076249364</v>
      </c>
      <c r="AB74" s="2">
        <f t="shared" si="45"/>
        <v>6.7010152630445106</v>
      </c>
      <c r="AC74" s="2">
        <f t="shared" si="45"/>
        <v>20.252716724484689</v>
      </c>
      <c r="AD74" s="2">
        <f t="shared" si="45"/>
        <v>7.9478802205367955</v>
      </c>
      <c r="AE74" s="2">
        <f t="shared" si="45"/>
        <v>6.1524182519739492</v>
      </c>
      <c r="AF74" s="2">
        <f t="shared" si="45"/>
        <v>6.0233712644074142</v>
      </c>
      <c r="AG74" s="2">
        <f t="shared" si="45"/>
        <v>6.1530075076249364</v>
      </c>
      <c r="AH74" s="2">
        <f t="shared" si="45"/>
        <v>13.378460300049476</v>
      </c>
    </row>
    <row r="75" spans="1:34" x14ac:dyDescent="0.25">
      <c r="A75" s="1" t="s">
        <v>99</v>
      </c>
    </row>
    <row r="76" spans="1:34" x14ac:dyDescent="0.25">
      <c r="A76" s="1" t="s">
        <v>71</v>
      </c>
      <c r="B76" t="s">
        <v>0</v>
      </c>
      <c r="C76" t="s">
        <v>1</v>
      </c>
      <c r="D76" t="s">
        <v>2</v>
      </c>
      <c r="E76" t="s">
        <v>3</v>
      </c>
      <c r="F76" t="s">
        <v>4</v>
      </c>
      <c r="G76" t="s">
        <v>5</v>
      </c>
      <c r="H76" t="s">
        <v>6</v>
      </c>
      <c r="I76" t="s">
        <v>7</v>
      </c>
      <c r="J76" t="s">
        <v>8</v>
      </c>
      <c r="K76" t="s">
        <v>9</v>
      </c>
      <c r="L76" s="2" t="s">
        <v>10</v>
      </c>
      <c r="M76" s="2" t="s">
        <v>11</v>
      </c>
      <c r="N76" s="2" t="s">
        <v>12</v>
      </c>
      <c r="O76" s="2" t="s">
        <v>13</v>
      </c>
      <c r="P76" t="s">
        <v>14</v>
      </c>
      <c r="Q76" s="2" t="s">
        <v>15</v>
      </c>
      <c r="R76" s="2" t="s">
        <v>72</v>
      </c>
      <c r="S76" t="s">
        <v>0</v>
      </c>
      <c r="T76" t="s">
        <v>1</v>
      </c>
      <c r="U76" t="s">
        <v>2</v>
      </c>
      <c r="V76" t="s">
        <v>3</v>
      </c>
      <c r="W76" t="s">
        <v>4</v>
      </c>
      <c r="X76" t="s">
        <v>5</v>
      </c>
      <c r="Y76" t="s">
        <v>6</v>
      </c>
      <c r="Z76" t="s">
        <v>7</v>
      </c>
      <c r="AA76" t="s">
        <v>8</v>
      </c>
      <c r="AB76" t="s">
        <v>9</v>
      </c>
      <c r="AC76" s="2" t="s">
        <v>10</v>
      </c>
      <c r="AD76" s="2" t="s">
        <v>11</v>
      </c>
      <c r="AE76" s="2" t="s">
        <v>12</v>
      </c>
      <c r="AF76" s="2" t="s">
        <v>13</v>
      </c>
      <c r="AG76" t="s">
        <v>14</v>
      </c>
      <c r="AH76" s="2" t="s">
        <v>15</v>
      </c>
    </row>
    <row r="77" spans="1:34" x14ac:dyDescent="0.25">
      <c r="A77" s="1" t="s">
        <v>81</v>
      </c>
      <c r="B77">
        <v>82.43</v>
      </c>
      <c r="C77">
        <v>76.650000000000006</v>
      </c>
      <c r="D77">
        <v>78.77</v>
      </c>
      <c r="E77">
        <v>77.3</v>
      </c>
      <c r="F77">
        <v>78.23</v>
      </c>
      <c r="G77">
        <v>79.510000000000005</v>
      </c>
      <c r="H77">
        <v>78.86</v>
      </c>
      <c r="I77">
        <v>64.05</v>
      </c>
      <c r="J77">
        <v>65.010000000000005</v>
      </c>
      <c r="K77">
        <v>70.849999999999994</v>
      </c>
      <c r="L77">
        <v>78.77</v>
      </c>
      <c r="M77">
        <v>51.24</v>
      </c>
      <c r="N77">
        <f>(L77+M77)/2</f>
        <v>65.004999999999995</v>
      </c>
      <c r="O77">
        <v>27.53</v>
      </c>
      <c r="P77">
        <v>65.010000000000005</v>
      </c>
      <c r="Q77">
        <v>29.33</v>
      </c>
    </row>
    <row r="78" spans="1:34" x14ac:dyDescent="0.25">
      <c r="B78">
        <v>89.77</v>
      </c>
      <c r="C78">
        <v>79.47</v>
      </c>
      <c r="D78">
        <v>80.16</v>
      </c>
      <c r="E78">
        <v>79.73</v>
      </c>
      <c r="F78">
        <v>81.150000000000006</v>
      </c>
      <c r="G78">
        <v>81.150000000000006</v>
      </c>
      <c r="H78">
        <v>81.150000000000006</v>
      </c>
      <c r="I78">
        <v>67.040000000000006</v>
      </c>
      <c r="J78">
        <v>67.510000000000005</v>
      </c>
      <c r="K78">
        <v>79.11</v>
      </c>
      <c r="L78">
        <v>80.16</v>
      </c>
      <c r="M78">
        <v>54.86</v>
      </c>
      <c r="N78">
        <f t="shared" ref="N78:N86" si="46">(L78+M78)/2</f>
        <v>67.509999999999991</v>
      </c>
      <c r="O78">
        <v>25.3</v>
      </c>
      <c r="P78">
        <v>67.510000000000005</v>
      </c>
      <c r="Q78">
        <v>34.29</v>
      </c>
    </row>
    <row r="79" spans="1:34" x14ac:dyDescent="0.25">
      <c r="B79">
        <v>67.95</v>
      </c>
      <c r="C79">
        <v>67.37</v>
      </c>
      <c r="D79">
        <v>58.42</v>
      </c>
      <c r="E79">
        <v>61.83</v>
      </c>
      <c r="F79">
        <v>74.069999999999993</v>
      </c>
      <c r="G79">
        <v>63.69</v>
      </c>
      <c r="H79">
        <v>68.489999999999995</v>
      </c>
      <c r="I79">
        <v>60.08</v>
      </c>
      <c r="J79">
        <v>61.95</v>
      </c>
      <c r="K79">
        <v>67.31</v>
      </c>
      <c r="L79">
        <v>58.42</v>
      </c>
      <c r="M79">
        <v>65.48</v>
      </c>
      <c r="N79">
        <f t="shared" si="46"/>
        <v>61.95</v>
      </c>
      <c r="O79">
        <v>7.06</v>
      </c>
      <c r="P79">
        <v>61.95</v>
      </c>
      <c r="Q79">
        <v>22.77</v>
      </c>
    </row>
    <row r="80" spans="1:34" x14ac:dyDescent="0.25">
      <c r="B80">
        <v>85.05</v>
      </c>
      <c r="C80">
        <v>83.46</v>
      </c>
      <c r="D80">
        <v>69.510000000000005</v>
      </c>
      <c r="E80">
        <v>74.930000000000007</v>
      </c>
      <c r="F80">
        <v>83.84</v>
      </c>
      <c r="G80">
        <v>68.03</v>
      </c>
      <c r="H80">
        <v>75.11</v>
      </c>
      <c r="I80">
        <v>65.3</v>
      </c>
      <c r="J80">
        <v>69.36</v>
      </c>
      <c r="K80">
        <v>76.2</v>
      </c>
      <c r="L80">
        <v>69.510000000000005</v>
      </c>
      <c r="M80">
        <v>69.209999999999994</v>
      </c>
      <c r="N80">
        <f t="shared" si="46"/>
        <v>69.36</v>
      </c>
      <c r="O80">
        <v>0.3</v>
      </c>
      <c r="P80">
        <v>69.36</v>
      </c>
      <c r="Q80">
        <v>35.71</v>
      </c>
    </row>
    <row r="81" spans="1:34" x14ac:dyDescent="0.25">
      <c r="B81">
        <v>69.36</v>
      </c>
      <c r="C81">
        <v>71.33</v>
      </c>
      <c r="D81">
        <v>56.51</v>
      </c>
      <c r="E81">
        <v>60.01</v>
      </c>
      <c r="F81">
        <v>75.42</v>
      </c>
      <c r="G81">
        <v>56.69</v>
      </c>
      <c r="H81">
        <v>64.73</v>
      </c>
      <c r="I81">
        <v>60.37</v>
      </c>
      <c r="J81">
        <v>65.349999999999994</v>
      </c>
      <c r="K81">
        <v>74.17</v>
      </c>
      <c r="L81">
        <v>56.51</v>
      </c>
      <c r="M81">
        <v>74.19</v>
      </c>
      <c r="N81">
        <f t="shared" si="46"/>
        <v>65.349999999999994</v>
      </c>
      <c r="O81">
        <v>17.68</v>
      </c>
      <c r="P81">
        <v>65.349999999999994</v>
      </c>
      <c r="Q81">
        <v>28.04</v>
      </c>
      <c r="S81">
        <v>84.22</v>
      </c>
      <c r="T81">
        <v>76.34</v>
      </c>
      <c r="U81">
        <v>74.930000000000007</v>
      </c>
      <c r="V81">
        <v>75.44</v>
      </c>
      <c r="W81">
        <v>77.52</v>
      </c>
      <c r="X81">
        <v>76.47</v>
      </c>
      <c r="Y81">
        <v>76.989999999999995</v>
      </c>
      <c r="Z81">
        <v>68.349999999999994</v>
      </c>
      <c r="AA81">
        <v>68.569999999999993</v>
      </c>
      <c r="AB81">
        <v>79.94</v>
      </c>
      <c r="AC81">
        <v>74.930000000000007</v>
      </c>
      <c r="AD81">
        <v>62.22</v>
      </c>
      <c r="AE81">
        <f>(AC81+AD81)/2</f>
        <v>68.575000000000003</v>
      </c>
      <c r="AF81">
        <v>12.72</v>
      </c>
      <c r="AG81">
        <v>68.569999999999993</v>
      </c>
      <c r="AH81">
        <v>37.69</v>
      </c>
    </row>
    <row r="82" spans="1:34" x14ac:dyDescent="0.25">
      <c r="B82">
        <v>58.78</v>
      </c>
      <c r="C82">
        <v>60.12</v>
      </c>
      <c r="D82">
        <v>55.15</v>
      </c>
      <c r="E82">
        <v>56.74</v>
      </c>
      <c r="F82">
        <v>65.22</v>
      </c>
      <c r="G82">
        <v>61.48</v>
      </c>
      <c r="H82">
        <v>63.29</v>
      </c>
      <c r="I82">
        <v>59.35</v>
      </c>
      <c r="J82">
        <v>59.89</v>
      </c>
      <c r="K82">
        <v>61.93</v>
      </c>
      <c r="L82">
        <v>55.15</v>
      </c>
      <c r="M82">
        <v>64.63</v>
      </c>
      <c r="N82">
        <f t="shared" si="46"/>
        <v>59.89</v>
      </c>
      <c r="O82">
        <v>9.48</v>
      </c>
      <c r="P82">
        <v>59.89</v>
      </c>
      <c r="Q82">
        <v>20.239999999999998</v>
      </c>
      <c r="S82">
        <v>80.41</v>
      </c>
      <c r="T82">
        <v>73.88</v>
      </c>
      <c r="U82">
        <v>79.150000000000006</v>
      </c>
      <c r="V82">
        <v>76.19</v>
      </c>
      <c r="W82">
        <v>75.11</v>
      </c>
      <c r="X82">
        <v>80.540000000000006</v>
      </c>
      <c r="Y82">
        <v>77.73</v>
      </c>
      <c r="Z82">
        <v>66.86</v>
      </c>
      <c r="AA82">
        <v>67.010000000000005</v>
      </c>
      <c r="AB82">
        <v>76.09</v>
      </c>
      <c r="AC82">
        <v>79.150000000000006</v>
      </c>
      <c r="AD82">
        <v>54.86</v>
      </c>
      <c r="AE82">
        <f t="shared" ref="AE82:AE86" si="47">(AC82+AD82)/2</f>
        <v>67.004999999999995</v>
      </c>
      <c r="AF82">
        <v>24.29</v>
      </c>
      <c r="AG82">
        <v>67.010000000000005</v>
      </c>
      <c r="AH82">
        <v>35.659999999999997</v>
      </c>
    </row>
    <row r="83" spans="1:34" x14ac:dyDescent="0.25">
      <c r="B83">
        <v>86.19</v>
      </c>
      <c r="C83">
        <v>80.55</v>
      </c>
      <c r="D83">
        <v>81.22</v>
      </c>
      <c r="E83">
        <v>80.45</v>
      </c>
      <c r="F83">
        <v>81.819999999999993</v>
      </c>
      <c r="G83">
        <v>81.150000000000006</v>
      </c>
      <c r="H83">
        <v>81.48</v>
      </c>
      <c r="I83">
        <v>69.33</v>
      </c>
      <c r="J83">
        <v>71.09</v>
      </c>
      <c r="K83">
        <v>77.44</v>
      </c>
      <c r="L83">
        <v>81.22</v>
      </c>
      <c r="M83">
        <v>60.96</v>
      </c>
      <c r="N83">
        <f t="shared" si="46"/>
        <v>71.09</v>
      </c>
      <c r="O83">
        <v>20.27</v>
      </c>
      <c r="P83">
        <v>71.09</v>
      </c>
      <c r="Q83">
        <v>39.99</v>
      </c>
      <c r="S83">
        <v>72.150000000000006</v>
      </c>
      <c r="T83">
        <v>63.77</v>
      </c>
      <c r="U83">
        <v>73.25</v>
      </c>
      <c r="V83">
        <v>67.44</v>
      </c>
      <c r="W83">
        <v>66.47</v>
      </c>
      <c r="X83">
        <v>75.16</v>
      </c>
      <c r="Y83">
        <v>70.55</v>
      </c>
      <c r="Z83">
        <v>64.239999999999995</v>
      </c>
      <c r="AA83">
        <v>65.349999999999994</v>
      </c>
      <c r="AB83">
        <v>73.38</v>
      </c>
      <c r="AC83">
        <v>73.25</v>
      </c>
      <c r="AD83">
        <v>57.45</v>
      </c>
      <c r="AE83">
        <f t="shared" si="47"/>
        <v>65.349999999999994</v>
      </c>
      <c r="AF83">
        <v>15.8</v>
      </c>
      <c r="AG83">
        <v>65.349999999999994</v>
      </c>
      <c r="AH83">
        <v>30.73</v>
      </c>
    </row>
    <row r="84" spans="1:34" x14ac:dyDescent="0.25">
      <c r="B84">
        <v>69.010000000000005</v>
      </c>
      <c r="C84">
        <v>66.16</v>
      </c>
      <c r="D84">
        <v>56.39</v>
      </c>
      <c r="E84">
        <v>58.39</v>
      </c>
      <c r="F84">
        <v>69.92</v>
      </c>
      <c r="G84">
        <v>59.24</v>
      </c>
      <c r="H84">
        <v>64.14</v>
      </c>
      <c r="I84">
        <v>57.92</v>
      </c>
      <c r="J84">
        <v>62.06</v>
      </c>
      <c r="K84">
        <v>72.58</v>
      </c>
      <c r="L84">
        <v>56.39</v>
      </c>
      <c r="M84">
        <v>67.72</v>
      </c>
      <c r="N84">
        <f t="shared" si="46"/>
        <v>62.055</v>
      </c>
      <c r="O84">
        <v>11.32</v>
      </c>
      <c r="P84">
        <v>62.06</v>
      </c>
      <c r="Q84">
        <v>21.58</v>
      </c>
      <c r="S84">
        <v>83.24</v>
      </c>
      <c r="T84">
        <v>72.83</v>
      </c>
      <c r="U84">
        <v>80.319999999999993</v>
      </c>
      <c r="V84">
        <v>75.81</v>
      </c>
      <c r="W84">
        <v>73.14</v>
      </c>
      <c r="X84">
        <v>80.09</v>
      </c>
      <c r="Y84">
        <v>76.459999999999994</v>
      </c>
      <c r="Z84">
        <v>66.33</v>
      </c>
      <c r="AA84">
        <v>67.2</v>
      </c>
      <c r="AB84">
        <v>77.39</v>
      </c>
      <c r="AC84">
        <v>80.319999999999993</v>
      </c>
      <c r="AD84">
        <v>54.08</v>
      </c>
      <c r="AE84">
        <f t="shared" si="47"/>
        <v>67.199999999999989</v>
      </c>
      <c r="AF84">
        <v>26.24</v>
      </c>
      <c r="AG84">
        <v>67.2</v>
      </c>
      <c r="AH84">
        <v>34.99</v>
      </c>
    </row>
    <row r="85" spans="1:34" x14ac:dyDescent="0.25">
      <c r="B85">
        <v>63.67</v>
      </c>
      <c r="C85">
        <v>62.29</v>
      </c>
      <c r="D85">
        <v>53.88</v>
      </c>
      <c r="E85">
        <v>57.08</v>
      </c>
      <c r="F85">
        <v>66.67</v>
      </c>
      <c r="G85">
        <v>59.02</v>
      </c>
      <c r="H85">
        <v>62.61</v>
      </c>
      <c r="I85">
        <v>60.72</v>
      </c>
      <c r="J85">
        <v>61.02</v>
      </c>
      <c r="K85">
        <v>65.44</v>
      </c>
      <c r="L85">
        <v>53.88</v>
      </c>
      <c r="M85">
        <v>68.150000000000006</v>
      </c>
      <c r="N85">
        <f t="shared" si="46"/>
        <v>61.015000000000001</v>
      </c>
      <c r="O85">
        <v>14.27</v>
      </c>
      <c r="P85">
        <v>61.02</v>
      </c>
      <c r="Q85">
        <v>22.98</v>
      </c>
      <c r="S85">
        <v>68.760000000000005</v>
      </c>
      <c r="T85">
        <v>65.77</v>
      </c>
      <c r="U85">
        <v>76.67</v>
      </c>
      <c r="V85">
        <v>68.599999999999994</v>
      </c>
      <c r="W85">
        <v>67.959999999999994</v>
      </c>
      <c r="X85">
        <v>80.39</v>
      </c>
      <c r="Y85">
        <v>73.650000000000006</v>
      </c>
      <c r="Z85">
        <v>66.17</v>
      </c>
      <c r="AA85">
        <v>68.08</v>
      </c>
      <c r="AB85">
        <v>77.099999999999994</v>
      </c>
      <c r="AC85">
        <v>76.67</v>
      </c>
      <c r="AD85">
        <v>59.5</v>
      </c>
      <c r="AE85">
        <f t="shared" si="47"/>
        <v>68.085000000000008</v>
      </c>
      <c r="AF85">
        <v>17.170000000000002</v>
      </c>
      <c r="AG85">
        <v>68.08</v>
      </c>
      <c r="AH85">
        <v>38.200000000000003</v>
      </c>
    </row>
    <row r="86" spans="1:34" x14ac:dyDescent="0.25">
      <c r="B86">
        <v>67.260000000000005</v>
      </c>
      <c r="C86">
        <v>62.91</v>
      </c>
      <c r="D86">
        <v>67.77</v>
      </c>
      <c r="E86">
        <v>63.38</v>
      </c>
      <c r="F86">
        <v>66.42</v>
      </c>
      <c r="G86">
        <v>71.94</v>
      </c>
      <c r="H86">
        <v>69.069999999999993</v>
      </c>
      <c r="I86">
        <v>64.13</v>
      </c>
      <c r="J86">
        <v>65.569999999999993</v>
      </c>
      <c r="K86">
        <v>70.5</v>
      </c>
      <c r="L86">
        <v>67.77</v>
      </c>
      <c r="M86">
        <v>63.37</v>
      </c>
      <c r="N86">
        <f t="shared" si="46"/>
        <v>65.569999999999993</v>
      </c>
      <c r="O86">
        <v>4.4000000000000004</v>
      </c>
      <c r="P86">
        <v>65.569999999999993</v>
      </c>
      <c r="Q86">
        <v>31.73</v>
      </c>
      <c r="S86">
        <v>77.55</v>
      </c>
      <c r="T86">
        <v>66.02</v>
      </c>
      <c r="U86">
        <v>77.430000000000007</v>
      </c>
      <c r="V86">
        <v>69.459999999999994</v>
      </c>
      <c r="W86">
        <v>69.17</v>
      </c>
      <c r="X86">
        <v>78.180000000000007</v>
      </c>
      <c r="Y86">
        <v>73.400000000000006</v>
      </c>
      <c r="Z86">
        <v>66.78</v>
      </c>
      <c r="AA86">
        <v>68.98</v>
      </c>
      <c r="AB86">
        <v>77.78</v>
      </c>
      <c r="AC86">
        <v>77.430000000000007</v>
      </c>
      <c r="AD86">
        <v>60.52</v>
      </c>
      <c r="AE86">
        <f t="shared" si="47"/>
        <v>68.975000000000009</v>
      </c>
      <c r="AF86">
        <v>16.91</v>
      </c>
      <c r="AG86">
        <v>68.98</v>
      </c>
      <c r="AH86">
        <v>36.9</v>
      </c>
    </row>
    <row r="87" spans="1:34" x14ac:dyDescent="0.25">
      <c r="B87" s="2">
        <f>AVERAGE(B77:B86)</f>
        <v>73.946999999999989</v>
      </c>
      <c r="C87" s="2">
        <f t="shared" ref="C87:Q87" si="48">AVERAGE(C77:C86)</f>
        <v>71.030999999999977</v>
      </c>
      <c r="D87" s="2">
        <f t="shared" si="48"/>
        <v>65.777999999999992</v>
      </c>
      <c r="E87" s="2">
        <f t="shared" si="48"/>
        <v>66.984000000000009</v>
      </c>
      <c r="F87" s="2">
        <f t="shared" si="48"/>
        <v>74.275999999999982</v>
      </c>
      <c r="G87" s="2">
        <f t="shared" si="48"/>
        <v>68.190000000000012</v>
      </c>
      <c r="H87" s="2">
        <f t="shared" si="48"/>
        <v>70.893000000000001</v>
      </c>
      <c r="I87" s="2">
        <f t="shared" si="48"/>
        <v>62.829000000000008</v>
      </c>
      <c r="J87" s="2">
        <f t="shared" si="48"/>
        <v>64.881</v>
      </c>
      <c r="K87" s="2">
        <f t="shared" si="48"/>
        <v>71.552999999999997</v>
      </c>
      <c r="L87" s="2">
        <f t="shared" si="48"/>
        <v>65.777999999999992</v>
      </c>
      <c r="M87" s="2">
        <f t="shared" si="48"/>
        <v>63.980999999999995</v>
      </c>
      <c r="N87" s="2">
        <f t="shared" si="48"/>
        <v>64.879499999999979</v>
      </c>
      <c r="O87" s="2">
        <f t="shared" si="48"/>
        <v>13.761000000000001</v>
      </c>
      <c r="P87" s="2">
        <f t="shared" si="48"/>
        <v>64.881</v>
      </c>
      <c r="Q87" s="2">
        <f t="shared" si="48"/>
        <v>28.665999999999997</v>
      </c>
      <c r="S87" s="2">
        <f>AVERAGE(S81:S86)</f>
        <v>77.721666666666664</v>
      </c>
      <c r="T87" s="2">
        <f t="shared" ref="T87:AH87" si="49">AVERAGE(T81:T86)</f>
        <v>69.768333333333331</v>
      </c>
      <c r="U87" s="2">
        <f t="shared" si="49"/>
        <v>76.958333333333329</v>
      </c>
      <c r="V87" s="2">
        <f t="shared" si="49"/>
        <v>72.156666666666666</v>
      </c>
      <c r="W87" s="2">
        <f t="shared" si="49"/>
        <v>71.561666666666667</v>
      </c>
      <c r="X87" s="2">
        <f t="shared" si="49"/>
        <v>78.471666666666664</v>
      </c>
      <c r="Y87" s="2">
        <f t="shared" si="49"/>
        <v>74.796666666666667</v>
      </c>
      <c r="Z87" s="2">
        <f t="shared" si="49"/>
        <v>66.454999999999998</v>
      </c>
      <c r="AA87" s="2">
        <f t="shared" si="49"/>
        <v>67.531666666666666</v>
      </c>
      <c r="AB87" s="2">
        <f t="shared" si="49"/>
        <v>76.946666666666658</v>
      </c>
      <c r="AC87" s="2">
        <f t="shared" si="49"/>
        <v>76.958333333333329</v>
      </c>
      <c r="AD87" s="2">
        <f t="shared" si="49"/>
        <v>58.104999999999997</v>
      </c>
      <c r="AE87" s="2">
        <f t="shared" si="49"/>
        <v>67.53166666666668</v>
      </c>
      <c r="AF87" s="2">
        <f t="shared" si="49"/>
        <v>18.855</v>
      </c>
      <c r="AG87" s="2">
        <f t="shared" si="49"/>
        <v>67.531666666666666</v>
      </c>
      <c r="AH87" s="2">
        <f t="shared" si="49"/>
        <v>35.695</v>
      </c>
    </row>
    <row r="88" spans="1:34" x14ac:dyDescent="0.25">
      <c r="A88" s="1" t="s">
        <v>82</v>
      </c>
      <c r="B88">
        <v>82.34</v>
      </c>
      <c r="C88">
        <v>77.959999999999994</v>
      </c>
      <c r="D88">
        <v>70.55</v>
      </c>
      <c r="E88">
        <v>73.67</v>
      </c>
      <c r="F88">
        <v>81.08</v>
      </c>
      <c r="G88">
        <v>73.77</v>
      </c>
      <c r="H88">
        <v>77.25</v>
      </c>
      <c r="I88">
        <v>65.28</v>
      </c>
      <c r="J88">
        <v>67.81</v>
      </c>
      <c r="K88">
        <v>75.599999999999994</v>
      </c>
      <c r="L88">
        <v>70.55</v>
      </c>
      <c r="M88">
        <v>65.069999999999993</v>
      </c>
      <c r="N88">
        <f>(L88+M88)/2</f>
        <v>67.81</v>
      </c>
      <c r="O88">
        <v>5.48</v>
      </c>
      <c r="P88">
        <v>67.81</v>
      </c>
      <c r="Q88">
        <v>33.06</v>
      </c>
    </row>
    <row r="89" spans="1:34" x14ac:dyDescent="0.25">
      <c r="B89">
        <v>84.63</v>
      </c>
      <c r="C89">
        <v>76.69</v>
      </c>
      <c r="D89">
        <v>83.27</v>
      </c>
      <c r="E89">
        <v>79.75</v>
      </c>
      <c r="F89">
        <v>78.95</v>
      </c>
      <c r="G89">
        <v>86.07</v>
      </c>
      <c r="H89">
        <v>82.35</v>
      </c>
      <c r="I89">
        <v>62.53</v>
      </c>
      <c r="J89">
        <v>63.78</v>
      </c>
      <c r="K89">
        <v>73.87</v>
      </c>
      <c r="L89">
        <v>83.27</v>
      </c>
      <c r="M89">
        <v>44.29</v>
      </c>
      <c r="N89">
        <f t="shared" ref="N89:N97" si="50">(L89+M89)/2</f>
        <v>63.78</v>
      </c>
      <c r="O89">
        <v>38.99</v>
      </c>
      <c r="P89">
        <v>63.78</v>
      </c>
      <c r="Q89">
        <v>25.84</v>
      </c>
    </row>
    <row r="90" spans="1:34" x14ac:dyDescent="0.25">
      <c r="B90">
        <v>72.34</v>
      </c>
      <c r="C90">
        <v>69.47</v>
      </c>
      <c r="D90">
        <v>64.569999999999993</v>
      </c>
      <c r="E90">
        <v>65.2</v>
      </c>
      <c r="F90">
        <v>75.17</v>
      </c>
      <c r="G90">
        <v>69.430000000000007</v>
      </c>
      <c r="H90">
        <v>72.19</v>
      </c>
      <c r="I90">
        <v>65.14</v>
      </c>
      <c r="J90">
        <v>66.53</v>
      </c>
      <c r="K90">
        <v>73.819999999999993</v>
      </c>
      <c r="L90">
        <v>64.569999999999993</v>
      </c>
      <c r="M90">
        <v>68.489999999999995</v>
      </c>
      <c r="N90">
        <f t="shared" si="50"/>
        <v>66.53</v>
      </c>
      <c r="O90">
        <v>3.93</v>
      </c>
      <c r="P90">
        <v>66.53</v>
      </c>
      <c r="Q90">
        <v>33.369999999999997</v>
      </c>
    </row>
    <row r="91" spans="1:34" x14ac:dyDescent="0.25">
      <c r="B91">
        <v>81.11</v>
      </c>
      <c r="C91">
        <v>73.94</v>
      </c>
      <c r="D91">
        <v>71.349999999999994</v>
      </c>
      <c r="E91">
        <v>71.03</v>
      </c>
      <c r="F91">
        <v>73.28</v>
      </c>
      <c r="G91">
        <v>69.67</v>
      </c>
      <c r="H91">
        <v>71.430000000000007</v>
      </c>
      <c r="I91">
        <v>55.97</v>
      </c>
      <c r="J91">
        <v>58.96</v>
      </c>
      <c r="K91">
        <v>68.959999999999994</v>
      </c>
      <c r="L91">
        <v>71.349999999999994</v>
      </c>
      <c r="M91">
        <v>46.56</v>
      </c>
      <c r="N91">
        <f t="shared" si="50"/>
        <v>58.954999999999998</v>
      </c>
      <c r="O91">
        <v>24.79</v>
      </c>
      <c r="P91">
        <v>58.96</v>
      </c>
      <c r="Q91">
        <v>16.82</v>
      </c>
    </row>
    <row r="92" spans="1:34" x14ac:dyDescent="0.25">
      <c r="B92">
        <v>71.13</v>
      </c>
      <c r="C92">
        <v>67.5</v>
      </c>
      <c r="D92">
        <v>72.22</v>
      </c>
      <c r="E92">
        <v>65.760000000000005</v>
      </c>
      <c r="F92">
        <v>68.52</v>
      </c>
      <c r="G92">
        <v>70.7</v>
      </c>
      <c r="H92">
        <v>69.59</v>
      </c>
      <c r="I92">
        <v>61.84</v>
      </c>
      <c r="J92">
        <v>66.790000000000006</v>
      </c>
      <c r="K92">
        <v>75.099999999999994</v>
      </c>
      <c r="L92">
        <v>72.22</v>
      </c>
      <c r="M92">
        <v>61.36</v>
      </c>
      <c r="N92">
        <f t="shared" si="50"/>
        <v>66.789999999999992</v>
      </c>
      <c r="O92">
        <v>10.85</v>
      </c>
      <c r="P92">
        <v>66.790000000000006</v>
      </c>
      <c r="Q92">
        <v>29.95</v>
      </c>
      <c r="S92">
        <v>84.16</v>
      </c>
      <c r="T92">
        <v>82.66</v>
      </c>
      <c r="U92">
        <v>68.41</v>
      </c>
      <c r="V92">
        <v>73.63</v>
      </c>
      <c r="W92">
        <v>81.72</v>
      </c>
      <c r="X92">
        <v>68.78</v>
      </c>
      <c r="Y92">
        <v>74.69</v>
      </c>
      <c r="Z92">
        <v>68.67</v>
      </c>
      <c r="AA92">
        <v>70.36</v>
      </c>
      <c r="AB92">
        <v>75.56</v>
      </c>
      <c r="AC92">
        <v>68.41</v>
      </c>
      <c r="AD92">
        <v>72.3</v>
      </c>
      <c r="AE92">
        <f>(AC92+AD92)/2</f>
        <v>70.35499999999999</v>
      </c>
      <c r="AF92">
        <v>3.89</v>
      </c>
      <c r="AG92">
        <v>70.36</v>
      </c>
      <c r="AH92">
        <v>40.799999999999997</v>
      </c>
    </row>
    <row r="93" spans="1:34" x14ac:dyDescent="0.25">
      <c r="B93">
        <v>61.52</v>
      </c>
      <c r="C93">
        <v>58.09</v>
      </c>
      <c r="D93">
        <v>65.900000000000006</v>
      </c>
      <c r="E93">
        <v>60.26</v>
      </c>
      <c r="F93">
        <v>61.31</v>
      </c>
      <c r="G93">
        <v>68.849999999999994</v>
      </c>
      <c r="H93">
        <v>64.86</v>
      </c>
      <c r="I93">
        <v>59.77</v>
      </c>
      <c r="J93">
        <v>61.49</v>
      </c>
      <c r="K93">
        <v>62.71</v>
      </c>
      <c r="L93">
        <v>65.900000000000006</v>
      </c>
      <c r="M93">
        <v>57.08</v>
      </c>
      <c r="N93">
        <f t="shared" si="50"/>
        <v>61.49</v>
      </c>
      <c r="O93">
        <v>8.82</v>
      </c>
      <c r="P93">
        <v>61.49</v>
      </c>
      <c r="Q93">
        <v>22.08</v>
      </c>
      <c r="S93">
        <v>78.150000000000006</v>
      </c>
      <c r="T93">
        <v>71.66</v>
      </c>
      <c r="U93">
        <v>79.81</v>
      </c>
      <c r="V93">
        <v>75.45</v>
      </c>
      <c r="W93">
        <v>73.28</v>
      </c>
      <c r="X93">
        <v>81.900000000000006</v>
      </c>
      <c r="Y93">
        <v>77.349999999999994</v>
      </c>
      <c r="Z93">
        <v>64.86</v>
      </c>
      <c r="AA93">
        <v>64.69</v>
      </c>
      <c r="AB93">
        <v>73.930000000000007</v>
      </c>
      <c r="AC93">
        <v>79.81</v>
      </c>
      <c r="AD93">
        <v>49.57</v>
      </c>
      <c r="AE93">
        <f t="shared" ref="AE93:AE97" si="51">(AC93+AD93)/2</f>
        <v>64.69</v>
      </c>
      <c r="AF93">
        <v>30.23</v>
      </c>
      <c r="AG93">
        <v>64.69</v>
      </c>
      <c r="AH93">
        <v>31.25</v>
      </c>
    </row>
    <row r="94" spans="1:34" x14ac:dyDescent="0.25">
      <c r="B94">
        <v>82.75</v>
      </c>
      <c r="C94">
        <v>78.94</v>
      </c>
      <c r="D94">
        <v>83.38</v>
      </c>
      <c r="E94">
        <v>79.790000000000006</v>
      </c>
      <c r="F94">
        <v>79.2</v>
      </c>
      <c r="G94">
        <v>81.150000000000006</v>
      </c>
      <c r="H94">
        <v>80.16</v>
      </c>
      <c r="I94">
        <v>66.989999999999995</v>
      </c>
      <c r="J94">
        <v>69.27</v>
      </c>
      <c r="K94">
        <v>75.39</v>
      </c>
      <c r="L94">
        <v>83.38</v>
      </c>
      <c r="M94">
        <v>55.15</v>
      </c>
      <c r="N94">
        <f t="shared" si="50"/>
        <v>69.265000000000001</v>
      </c>
      <c r="O94">
        <v>28.24</v>
      </c>
      <c r="P94">
        <v>69.27</v>
      </c>
      <c r="Q94">
        <v>37.94</v>
      </c>
      <c r="S94">
        <v>67.84</v>
      </c>
      <c r="T94">
        <v>62.09</v>
      </c>
      <c r="U94">
        <v>69.819999999999993</v>
      </c>
      <c r="V94">
        <v>63.85</v>
      </c>
      <c r="W94">
        <v>63.31</v>
      </c>
      <c r="X94">
        <v>69.930000000000007</v>
      </c>
      <c r="Y94">
        <v>66.459999999999994</v>
      </c>
      <c r="Z94">
        <v>61</v>
      </c>
      <c r="AA94">
        <v>63.33</v>
      </c>
      <c r="AB94">
        <v>69.010000000000005</v>
      </c>
      <c r="AC94">
        <v>69.819999999999993</v>
      </c>
      <c r="AD94">
        <v>56.84</v>
      </c>
      <c r="AE94">
        <f t="shared" si="51"/>
        <v>63.33</v>
      </c>
      <c r="AF94">
        <v>12.98</v>
      </c>
      <c r="AG94">
        <v>63.33</v>
      </c>
      <c r="AH94">
        <v>26.16</v>
      </c>
    </row>
    <row r="95" spans="1:34" x14ac:dyDescent="0.25">
      <c r="B95">
        <v>68.61</v>
      </c>
      <c r="C95">
        <v>64.59</v>
      </c>
      <c r="D95">
        <v>65.959999999999994</v>
      </c>
      <c r="E95">
        <v>60.94</v>
      </c>
      <c r="F95">
        <v>66.67</v>
      </c>
      <c r="G95">
        <v>64.97</v>
      </c>
      <c r="H95">
        <v>65.81</v>
      </c>
      <c r="I95">
        <v>57.86</v>
      </c>
      <c r="J95">
        <v>63.44</v>
      </c>
      <c r="K95">
        <v>73.290000000000006</v>
      </c>
      <c r="L95">
        <v>65.959999999999994</v>
      </c>
      <c r="M95">
        <v>60.91</v>
      </c>
      <c r="N95">
        <f t="shared" si="50"/>
        <v>63.434999999999995</v>
      </c>
      <c r="O95">
        <v>5.05</v>
      </c>
      <c r="P95">
        <v>63.44</v>
      </c>
      <c r="Q95">
        <v>23.37</v>
      </c>
      <c r="S95">
        <v>84.38</v>
      </c>
      <c r="T95">
        <v>73.489999999999995</v>
      </c>
      <c r="U95">
        <v>90.31</v>
      </c>
      <c r="V95">
        <v>80.05</v>
      </c>
      <c r="W95">
        <v>72.959999999999994</v>
      </c>
      <c r="X95">
        <v>89.14</v>
      </c>
      <c r="Y95">
        <v>80.239999999999995</v>
      </c>
      <c r="Z95">
        <v>68.44</v>
      </c>
      <c r="AA95">
        <v>69.89</v>
      </c>
      <c r="AB95">
        <v>79.28</v>
      </c>
      <c r="AC95">
        <v>90.31</v>
      </c>
      <c r="AD95">
        <v>49.47</v>
      </c>
      <c r="AE95">
        <f t="shared" si="51"/>
        <v>69.89</v>
      </c>
      <c r="AF95">
        <v>40.840000000000003</v>
      </c>
      <c r="AG95">
        <v>69.89</v>
      </c>
      <c r="AH95">
        <v>43.42</v>
      </c>
    </row>
    <row r="96" spans="1:34" x14ac:dyDescent="0.25">
      <c r="B96">
        <v>64.760000000000005</v>
      </c>
      <c r="C96">
        <v>57.68</v>
      </c>
      <c r="D96">
        <v>58.62</v>
      </c>
      <c r="E96">
        <v>68.760000000000005</v>
      </c>
      <c r="F96">
        <v>67.739999999999995</v>
      </c>
      <c r="G96">
        <v>68.849999999999994</v>
      </c>
      <c r="H96">
        <v>68.290000000000006</v>
      </c>
      <c r="I96">
        <v>62.28</v>
      </c>
      <c r="J96">
        <v>62.89</v>
      </c>
      <c r="K96">
        <v>68.56</v>
      </c>
      <c r="L96">
        <v>58.62</v>
      </c>
      <c r="M96">
        <v>67.16</v>
      </c>
      <c r="N96">
        <f t="shared" si="50"/>
        <v>62.89</v>
      </c>
      <c r="O96">
        <v>8.5399999999999991</v>
      </c>
      <c r="P96">
        <v>62.89</v>
      </c>
      <c r="Q96">
        <v>26.05</v>
      </c>
      <c r="S96">
        <v>73.22</v>
      </c>
      <c r="T96">
        <v>63.57</v>
      </c>
      <c r="U96">
        <v>83.96</v>
      </c>
      <c r="V96">
        <v>71.39</v>
      </c>
      <c r="W96">
        <v>65.17</v>
      </c>
      <c r="X96">
        <v>85.62</v>
      </c>
      <c r="Y96">
        <v>74.010000000000005</v>
      </c>
      <c r="Z96">
        <v>66.81</v>
      </c>
      <c r="AA96">
        <v>69.03</v>
      </c>
      <c r="AB96">
        <v>77.92</v>
      </c>
      <c r="AC96">
        <v>83.96</v>
      </c>
      <c r="AD96">
        <v>54.09</v>
      </c>
      <c r="AE96">
        <f t="shared" si="51"/>
        <v>69.025000000000006</v>
      </c>
      <c r="AF96">
        <v>29.88</v>
      </c>
      <c r="AG96">
        <v>69.03</v>
      </c>
      <c r="AH96">
        <v>39.14</v>
      </c>
    </row>
    <row r="97" spans="1:34" x14ac:dyDescent="0.25">
      <c r="B97">
        <v>65.38</v>
      </c>
      <c r="C97">
        <v>62.86</v>
      </c>
      <c r="D97">
        <v>73.91</v>
      </c>
      <c r="E97">
        <v>66.02</v>
      </c>
      <c r="F97">
        <v>64.209999999999994</v>
      </c>
      <c r="G97">
        <v>75.89</v>
      </c>
      <c r="H97">
        <v>69.569999999999993</v>
      </c>
      <c r="I97">
        <v>63.22</v>
      </c>
      <c r="J97">
        <v>65.39</v>
      </c>
      <c r="K97">
        <v>69.94</v>
      </c>
      <c r="L97">
        <v>73.91</v>
      </c>
      <c r="M97">
        <v>56.86</v>
      </c>
      <c r="N97">
        <f t="shared" si="50"/>
        <v>65.384999999999991</v>
      </c>
      <c r="O97">
        <v>17.04</v>
      </c>
      <c r="P97">
        <v>65.39</v>
      </c>
      <c r="Q97">
        <v>30.94</v>
      </c>
      <c r="S97">
        <v>69.55</v>
      </c>
      <c r="T97">
        <v>60.53</v>
      </c>
      <c r="U97">
        <v>73.930000000000007</v>
      </c>
      <c r="V97">
        <v>65.14</v>
      </c>
      <c r="W97">
        <v>65.38</v>
      </c>
      <c r="X97">
        <v>77.27</v>
      </c>
      <c r="Y97">
        <v>70.83</v>
      </c>
      <c r="Z97">
        <v>63.5</v>
      </c>
      <c r="AA97">
        <v>65.08</v>
      </c>
      <c r="AB97">
        <v>72.78</v>
      </c>
      <c r="AC97">
        <v>73.930000000000007</v>
      </c>
      <c r="AD97">
        <v>56.24</v>
      </c>
      <c r="AE97">
        <f t="shared" si="51"/>
        <v>65.085000000000008</v>
      </c>
      <c r="AF97">
        <v>17.690000000000001</v>
      </c>
      <c r="AG97">
        <v>65.08</v>
      </c>
      <c r="AH97">
        <v>30.62</v>
      </c>
    </row>
    <row r="98" spans="1:34" x14ac:dyDescent="0.25">
      <c r="B98" s="2">
        <f>AVERAGE(B88:B97)</f>
        <v>73.456999999999994</v>
      </c>
      <c r="C98" s="2">
        <f t="shared" ref="C98:Q98" si="52">AVERAGE(C88:C97)</f>
        <v>68.771999999999991</v>
      </c>
      <c r="D98" s="2">
        <f t="shared" si="52"/>
        <v>70.972999999999999</v>
      </c>
      <c r="E98" s="2">
        <f t="shared" si="52"/>
        <v>69.117999999999995</v>
      </c>
      <c r="F98" s="2">
        <f t="shared" si="52"/>
        <v>71.613</v>
      </c>
      <c r="G98" s="2">
        <f t="shared" si="52"/>
        <v>72.935000000000002</v>
      </c>
      <c r="H98" s="2">
        <f t="shared" si="52"/>
        <v>72.150000000000006</v>
      </c>
      <c r="I98" s="2">
        <f t="shared" si="52"/>
        <v>62.088000000000001</v>
      </c>
      <c r="J98" s="2">
        <f t="shared" si="52"/>
        <v>64.634999999999991</v>
      </c>
      <c r="K98" s="2">
        <f t="shared" si="52"/>
        <v>71.724000000000004</v>
      </c>
      <c r="L98" s="2">
        <f t="shared" si="52"/>
        <v>70.972999999999999</v>
      </c>
      <c r="M98" s="2">
        <f t="shared" si="52"/>
        <v>58.292999999999992</v>
      </c>
      <c r="N98" s="2">
        <f t="shared" si="52"/>
        <v>64.632999999999996</v>
      </c>
      <c r="O98" s="2">
        <f t="shared" si="52"/>
        <v>15.172999999999996</v>
      </c>
      <c r="P98" s="2">
        <f t="shared" si="52"/>
        <v>64.634999999999991</v>
      </c>
      <c r="Q98" s="2">
        <f t="shared" si="52"/>
        <v>27.942</v>
      </c>
      <c r="S98" s="2">
        <f>AVERAGE(S92:S97)</f>
        <v>76.216666666666669</v>
      </c>
      <c r="T98" s="2">
        <f t="shared" ref="T98:AH98" si="53">AVERAGE(T92:T97)</f>
        <v>69</v>
      </c>
      <c r="U98" s="2">
        <f t="shared" si="53"/>
        <v>77.706666666666663</v>
      </c>
      <c r="V98" s="2">
        <f t="shared" si="53"/>
        <v>71.584999999999994</v>
      </c>
      <c r="W98" s="2">
        <f t="shared" si="53"/>
        <v>70.303333333333327</v>
      </c>
      <c r="X98" s="2">
        <f t="shared" si="53"/>
        <v>78.773333333333326</v>
      </c>
      <c r="Y98" s="2">
        <f t="shared" si="53"/>
        <v>73.929999999999993</v>
      </c>
      <c r="Z98" s="2">
        <f t="shared" si="53"/>
        <v>65.546666666666667</v>
      </c>
      <c r="AA98" s="2">
        <f t="shared" si="53"/>
        <v>67.063333333333318</v>
      </c>
      <c r="AB98" s="2">
        <f t="shared" si="53"/>
        <v>74.74666666666667</v>
      </c>
      <c r="AC98" s="2">
        <f t="shared" si="53"/>
        <v>77.706666666666663</v>
      </c>
      <c r="AD98" s="2">
        <f t="shared" si="53"/>
        <v>56.418333333333329</v>
      </c>
      <c r="AE98" s="2">
        <f t="shared" si="53"/>
        <v>67.0625</v>
      </c>
      <c r="AF98" s="2">
        <f t="shared" si="53"/>
        <v>22.584999999999997</v>
      </c>
      <c r="AG98" s="2">
        <f t="shared" si="53"/>
        <v>67.063333333333318</v>
      </c>
      <c r="AH98" s="2">
        <f t="shared" si="53"/>
        <v>35.231666666666662</v>
      </c>
    </row>
    <row r="99" spans="1:34" x14ac:dyDescent="0.25">
      <c r="A99" s="1" t="s">
        <v>98</v>
      </c>
      <c r="B99">
        <v>82.47</v>
      </c>
      <c r="C99">
        <v>75.97</v>
      </c>
      <c r="D99">
        <v>70.260000000000005</v>
      </c>
      <c r="E99">
        <v>72.7</v>
      </c>
      <c r="F99">
        <v>77.88</v>
      </c>
      <c r="G99">
        <v>72.13</v>
      </c>
      <c r="H99">
        <v>74.89</v>
      </c>
      <c r="I99">
        <v>60.03</v>
      </c>
      <c r="J99">
        <v>62.22</v>
      </c>
      <c r="K99">
        <v>70.349999999999994</v>
      </c>
      <c r="L99">
        <v>70.260000000000005</v>
      </c>
      <c r="M99">
        <v>54.18</v>
      </c>
      <c r="N99">
        <f>(L99+M99)/2</f>
        <v>62.22</v>
      </c>
      <c r="O99">
        <v>16.079999999999998</v>
      </c>
      <c r="P99">
        <v>62.22</v>
      </c>
      <c r="Q99">
        <v>21.86</v>
      </c>
    </row>
    <row r="100" spans="1:34" x14ac:dyDescent="0.25">
      <c r="B100">
        <v>80.930000000000007</v>
      </c>
      <c r="C100">
        <v>78.02</v>
      </c>
      <c r="D100">
        <v>78.319999999999993</v>
      </c>
      <c r="E100">
        <v>77.75</v>
      </c>
      <c r="F100">
        <v>79.67</v>
      </c>
      <c r="G100">
        <v>80.33</v>
      </c>
      <c r="H100">
        <v>80</v>
      </c>
      <c r="I100">
        <v>63.92</v>
      </c>
      <c r="J100">
        <v>66.14</v>
      </c>
      <c r="K100">
        <v>71.540000000000006</v>
      </c>
      <c r="L100">
        <v>78.319999999999993</v>
      </c>
      <c r="M100">
        <v>53.96</v>
      </c>
      <c r="N100">
        <f t="shared" ref="N100:N108" si="54">(L100+M100)/2</f>
        <v>66.14</v>
      </c>
      <c r="O100">
        <v>24.36</v>
      </c>
      <c r="P100">
        <v>66.14</v>
      </c>
      <c r="Q100">
        <v>29.88</v>
      </c>
    </row>
    <row r="101" spans="1:34" x14ac:dyDescent="0.25">
      <c r="B101">
        <v>65.41</v>
      </c>
      <c r="C101">
        <v>67.819999999999993</v>
      </c>
      <c r="D101">
        <v>66.14</v>
      </c>
      <c r="E101">
        <v>65.72</v>
      </c>
      <c r="F101">
        <v>72.48</v>
      </c>
      <c r="G101">
        <v>68.790000000000006</v>
      </c>
      <c r="H101">
        <v>70.59</v>
      </c>
      <c r="I101">
        <v>60.52</v>
      </c>
      <c r="J101">
        <v>62.19</v>
      </c>
      <c r="K101">
        <v>66.56</v>
      </c>
      <c r="L101">
        <v>66.14</v>
      </c>
      <c r="M101">
        <v>58.24</v>
      </c>
      <c r="N101">
        <f t="shared" si="54"/>
        <v>62.19</v>
      </c>
      <c r="O101">
        <v>7.9</v>
      </c>
      <c r="P101">
        <v>62.19</v>
      </c>
      <c r="Q101">
        <v>23.7</v>
      </c>
    </row>
    <row r="102" spans="1:34" x14ac:dyDescent="0.25">
      <c r="B102">
        <v>84.45</v>
      </c>
      <c r="C102">
        <v>79.86</v>
      </c>
      <c r="D102">
        <v>76.75</v>
      </c>
      <c r="E102">
        <v>77</v>
      </c>
      <c r="F102">
        <v>80</v>
      </c>
      <c r="G102">
        <v>75.41</v>
      </c>
      <c r="H102">
        <v>77.64</v>
      </c>
      <c r="I102">
        <v>64.94</v>
      </c>
      <c r="J102">
        <v>68.239999999999995</v>
      </c>
      <c r="K102">
        <v>75.72</v>
      </c>
      <c r="L102">
        <v>76.75</v>
      </c>
      <c r="M102">
        <v>59.73</v>
      </c>
      <c r="N102">
        <f t="shared" si="54"/>
        <v>68.239999999999995</v>
      </c>
      <c r="O102">
        <v>17.02</v>
      </c>
      <c r="P102">
        <v>68.239999999999995</v>
      </c>
      <c r="Q102">
        <v>33.97</v>
      </c>
    </row>
    <row r="103" spans="1:34" x14ac:dyDescent="0.25">
      <c r="B103">
        <v>69.349999999999994</v>
      </c>
      <c r="C103">
        <v>61.83</v>
      </c>
      <c r="D103">
        <v>66.959999999999994</v>
      </c>
      <c r="E103">
        <v>59.23</v>
      </c>
      <c r="F103">
        <v>64.42</v>
      </c>
      <c r="G103">
        <v>66.88</v>
      </c>
      <c r="H103">
        <v>65.62</v>
      </c>
      <c r="I103">
        <v>56.9</v>
      </c>
      <c r="J103">
        <v>62.02</v>
      </c>
      <c r="K103">
        <v>75.81</v>
      </c>
      <c r="L103">
        <v>66.959999999999994</v>
      </c>
      <c r="M103">
        <v>57.09</v>
      </c>
      <c r="N103">
        <f t="shared" si="54"/>
        <v>62.024999999999999</v>
      </c>
      <c r="O103">
        <v>9.8699999999999992</v>
      </c>
      <c r="P103">
        <v>62.02</v>
      </c>
      <c r="Q103">
        <v>22.9</v>
      </c>
      <c r="S103">
        <v>83.2</v>
      </c>
      <c r="T103">
        <v>78.05</v>
      </c>
      <c r="U103">
        <v>75.48</v>
      </c>
      <c r="V103">
        <v>76.540000000000006</v>
      </c>
      <c r="W103">
        <v>79.53</v>
      </c>
      <c r="X103">
        <v>77.38</v>
      </c>
      <c r="Y103">
        <v>78.44</v>
      </c>
      <c r="Z103">
        <v>70.790000000000006</v>
      </c>
      <c r="AA103">
        <v>71.19</v>
      </c>
      <c r="AB103">
        <v>77.92</v>
      </c>
      <c r="AC103">
        <v>75.48</v>
      </c>
      <c r="AD103">
        <v>66.91</v>
      </c>
      <c r="AE103">
        <f>(AC103+AD103)/2</f>
        <v>71.194999999999993</v>
      </c>
      <c r="AF103">
        <v>8.57</v>
      </c>
      <c r="AG103">
        <v>71.19</v>
      </c>
      <c r="AH103">
        <v>42.57</v>
      </c>
    </row>
    <row r="104" spans="1:34" x14ac:dyDescent="0.25">
      <c r="B104">
        <v>55.65</v>
      </c>
      <c r="C104">
        <v>53.37</v>
      </c>
      <c r="D104">
        <v>63.37</v>
      </c>
      <c r="E104">
        <v>57.25</v>
      </c>
      <c r="F104">
        <v>58.33</v>
      </c>
      <c r="G104">
        <v>68.849999999999994</v>
      </c>
      <c r="H104">
        <v>63.16</v>
      </c>
      <c r="I104">
        <v>53.4</v>
      </c>
      <c r="J104">
        <v>54.96</v>
      </c>
      <c r="K104">
        <v>59.3</v>
      </c>
      <c r="L104">
        <v>63.37</v>
      </c>
      <c r="M104">
        <v>46.56</v>
      </c>
      <c r="N104">
        <f t="shared" si="54"/>
        <v>54.965000000000003</v>
      </c>
      <c r="O104">
        <v>16.809999999999999</v>
      </c>
      <c r="P104">
        <v>54.96</v>
      </c>
      <c r="Q104">
        <v>10.01</v>
      </c>
      <c r="S104">
        <v>79.12</v>
      </c>
      <c r="T104">
        <v>71.36</v>
      </c>
      <c r="U104">
        <v>80.94</v>
      </c>
      <c r="V104">
        <v>75.819999999999993</v>
      </c>
      <c r="W104">
        <v>73.31</v>
      </c>
      <c r="X104">
        <v>83.26</v>
      </c>
      <c r="Y104">
        <v>77.97</v>
      </c>
      <c r="Z104">
        <v>66.25</v>
      </c>
      <c r="AA104">
        <v>65.42</v>
      </c>
      <c r="AB104">
        <v>73.3</v>
      </c>
      <c r="AC104">
        <v>80.94</v>
      </c>
      <c r="AD104">
        <v>49.91</v>
      </c>
      <c r="AE104">
        <f t="shared" ref="AE104:AE108" si="55">(AC104+AD104)/2</f>
        <v>65.424999999999997</v>
      </c>
      <c r="AF104">
        <v>31.03</v>
      </c>
      <c r="AG104">
        <v>65.42</v>
      </c>
      <c r="AH104">
        <v>34.520000000000003</v>
      </c>
    </row>
    <row r="105" spans="1:34" x14ac:dyDescent="0.25">
      <c r="B105">
        <v>87.99</v>
      </c>
      <c r="C105">
        <v>76.849999999999994</v>
      </c>
      <c r="D105">
        <v>86.97</v>
      </c>
      <c r="E105">
        <v>80.48</v>
      </c>
      <c r="F105">
        <v>77.209999999999994</v>
      </c>
      <c r="G105">
        <v>86.07</v>
      </c>
      <c r="H105">
        <v>81.400000000000006</v>
      </c>
      <c r="I105">
        <v>65.19</v>
      </c>
      <c r="J105">
        <v>66.87</v>
      </c>
      <c r="K105">
        <v>77.06</v>
      </c>
      <c r="L105">
        <v>86.97</v>
      </c>
      <c r="M105">
        <v>46.78</v>
      </c>
      <c r="N105">
        <f t="shared" si="54"/>
        <v>66.875</v>
      </c>
      <c r="O105">
        <v>40.19</v>
      </c>
      <c r="P105">
        <v>66.87</v>
      </c>
      <c r="Q105">
        <v>34.619999999999997</v>
      </c>
      <c r="S105">
        <v>70.150000000000006</v>
      </c>
      <c r="T105">
        <v>67.989999999999995</v>
      </c>
      <c r="U105">
        <v>75.56</v>
      </c>
      <c r="V105">
        <v>70.989999999999995</v>
      </c>
      <c r="W105">
        <v>70.83</v>
      </c>
      <c r="X105">
        <v>77.78</v>
      </c>
      <c r="Y105">
        <v>74.14</v>
      </c>
      <c r="Z105">
        <v>69.03</v>
      </c>
      <c r="AA105">
        <v>69.83</v>
      </c>
      <c r="AB105">
        <v>71.72</v>
      </c>
      <c r="AC105">
        <v>75.56</v>
      </c>
      <c r="AD105">
        <v>64.09</v>
      </c>
      <c r="AE105">
        <f t="shared" si="55"/>
        <v>69.825000000000003</v>
      </c>
      <c r="AF105">
        <v>11.48</v>
      </c>
      <c r="AG105">
        <v>69.83</v>
      </c>
      <c r="AH105">
        <v>39.85</v>
      </c>
    </row>
    <row r="106" spans="1:34" x14ac:dyDescent="0.25">
      <c r="B106">
        <v>67.84</v>
      </c>
      <c r="C106">
        <v>68.150000000000006</v>
      </c>
      <c r="D106">
        <v>76.37</v>
      </c>
      <c r="E106">
        <v>67.37</v>
      </c>
      <c r="F106">
        <v>68.42</v>
      </c>
      <c r="G106">
        <v>74.52</v>
      </c>
      <c r="H106">
        <v>71.34</v>
      </c>
      <c r="I106">
        <v>62.47</v>
      </c>
      <c r="J106">
        <v>68.180000000000007</v>
      </c>
      <c r="K106">
        <v>73.52</v>
      </c>
      <c r="L106">
        <v>76.37</v>
      </c>
      <c r="M106">
        <v>59.99</v>
      </c>
      <c r="N106">
        <f t="shared" si="54"/>
        <v>68.180000000000007</v>
      </c>
      <c r="O106">
        <v>16.38</v>
      </c>
      <c r="P106">
        <v>68.180000000000007</v>
      </c>
      <c r="Q106">
        <v>33.17</v>
      </c>
      <c r="S106">
        <v>85.61</v>
      </c>
      <c r="T106">
        <v>74.91</v>
      </c>
      <c r="U106">
        <v>86.48</v>
      </c>
      <c r="V106">
        <v>79.989999999999995</v>
      </c>
      <c r="W106">
        <v>75.489999999999995</v>
      </c>
      <c r="X106">
        <v>86.43</v>
      </c>
      <c r="Y106">
        <v>80.59</v>
      </c>
      <c r="Z106">
        <v>70.78</v>
      </c>
      <c r="AA106">
        <v>70.88</v>
      </c>
      <c r="AB106">
        <v>79.510000000000005</v>
      </c>
      <c r="AC106">
        <v>86.48</v>
      </c>
      <c r="AD106">
        <v>55.28</v>
      </c>
      <c r="AE106">
        <f t="shared" si="55"/>
        <v>70.88</v>
      </c>
      <c r="AF106">
        <v>31.19</v>
      </c>
      <c r="AG106">
        <v>70.88</v>
      </c>
      <c r="AH106">
        <v>43.45</v>
      </c>
    </row>
    <row r="107" spans="1:34" x14ac:dyDescent="0.25">
      <c r="B107">
        <v>63.67</v>
      </c>
      <c r="C107">
        <v>58.53</v>
      </c>
      <c r="D107">
        <v>74.66</v>
      </c>
      <c r="E107">
        <v>64.819999999999993</v>
      </c>
      <c r="F107">
        <v>63.64</v>
      </c>
      <c r="G107">
        <v>80.33</v>
      </c>
      <c r="H107">
        <v>71.010000000000005</v>
      </c>
      <c r="I107">
        <v>62.31</v>
      </c>
      <c r="J107">
        <v>64.010000000000005</v>
      </c>
      <c r="K107">
        <v>70.150000000000006</v>
      </c>
      <c r="L107">
        <v>74.66</v>
      </c>
      <c r="M107">
        <v>53.36</v>
      </c>
      <c r="N107">
        <f t="shared" si="54"/>
        <v>64.009999999999991</v>
      </c>
      <c r="O107">
        <v>21.31</v>
      </c>
      <c r="P107">
        <v>64.010000000000005</v>
      </c>
      <c r="Q107">
        <v>28.12</v>
      </c>
      <c r="S107">
        <v>76.069999999999993</v>
      </c>
      <c r="T107">
        <v>64.3</v>
      </c>
      <c r="U107">
        <v>76.67</v>
      </c>
      <c r="V107">
        <v>67.349999999999994</v>
      </c>
      <c r="W107">
        <v>65.760000000000005</v>
      </c>
      <c r="X107">
        <v>79.08</v>
      </c>
      <c r="Y107">
        <v>71.81</v>
      </c>
      <c r="Z107">
        <v>64.650000000000006</v>
      </c>
      <c r="AA107">
        <v>66.739999999999995</v>
      </c>
      <c r="AB107">
        <v>79.64</v>
      </c>
      <c r="AC107">
        <v>76.67</v>
      </c>
      <c r="AD107">
        <v>56.81</v>
      </c>
      <c r="AE107">
        <f t="shared" si="55"/>
        <v>66.740000000000009</v>
      </c>
      <c r="AF107">
        <v>19.87</v>
      </c>
      <c r="AG107">
        <v>66.739999999999995</v>
      </c>
      <c r="AH107">
        <v>34.46</v>
      </c>
    </row>
    <row r="108" spans="1:34" x14ac:dyDescent="0.25">
      <c r="B108">
        <v>65.900000000000006</v>
      </c>
      <c r="C108">
        <v>59.07</v>
      </c>
      <c r="D108">
        <v>69.489999999999995</v>
      </c>
      <c r="E108">
        <v>62.39</v>
      </c>
      <c r="F108">
        <v>60.81</v>
      </c>
      <c r="G108">
        <v>71.150000000000006</v>
      </c>
      <c r="H108">
        <v>65.569999999999993</v>
      </c>
      <c r="I108">
        <v>59.56</v>
      </c>
      <c r="J108">
        <v>61.8</v>
      </c>
      <c r="K108">
        <v>68.14</v>
      </c>
      <c r="L108">
        <v>69.489999999999995</v>
      </c>
      <c r="M108">
        <v>54.11</v>
      </c>
      <c r="N108">
        <f t="shared" si="54"/>
        <v>61.8</v>
      </c>
      <c r="O108">
        <v>15.37</v>
      </c>
      <c r="P108">
        <v>61.8</v>
      </c>
      <c r="Q108">
        <v>22.89</v>
      </c>
      <c r="S108">
        <v>76.209999999999994</v>
      </c>
      <c r="T108">
        <v>66.209999999999994</v>
      </c>
      <c r="U108">
        <v>74.569999999999993</v>
      </c>
      <c r="V108">
        <v>66.2</v>
      </c>
      <c r="W108">
        <v>66.760000000000005</v>
      </c>
      <c r="X108">
        <v>76.06</v>
      </c>
      <c r="Y108">
        <v>71.099999999999994</v>
      </c>
      <c r="Z108">
        <v>63.59</v>
      </c>
      <c r="AA108">
        <v>66.44</v>
      </c>
      <c r="AB108">
        <v>74.86</v>
      </c>
      <c r="AC108">
        <v>74.569999999999993</v>
      </c>
      <c r="AD108">
        <v>58.3</v>
      </c>
      <c r="AE108">
        <f t="shared" si="55"/>
        <v>66.435000000000002</v>
      </c>
      <c r="AF108">
        <v>16.260000000000002</v>
      </c>
      <c r="AG108">
        <v>66.44</v>
      </c>
      <c r="AH108">
        <v>33.770000000000003</v>
      </c>
    </row>
    <row r="109" spans="1:34" x14ac:dyDescent="0.25">
      <c r="B109" s="2">
        <f>AVERAGE(B99:B108)</f>
        <v>72.366</v>
      </c>
      <c r="C109" s="2">
        <f t="shared" ref="C109:Q109" si="56">AVERAGE(C99:C108)</f>
        <v>67.947000000000003</v>
      </c>
      <c r="D109" s="2">
        <f t="shared" si="56"/>
        <v>72.929000000000002</v>
      </c>
      <c r="E109" s="2">
        <f t="shared" si="56"/>
        <v>68.470999999999989</v>
      </c>
      <c r="F109" s="2">
        <f t="shared" si="56"/>
        <v>70.285999999999987</v>
      </c>
      <c r="G109" s="2">
        <f t="shared" si="56"/>
        <v>74.445999999999998</v>
      </c>
      <c r="H109" s="2">
        <f t="shared" si="56"/>
        <v>72.122</v>
      </c>
      <c r="I109" s="2">
        <f t="shared" si="56"/>
        <v>60.923999999999999</v>
      </c>
      <c r="J109" s="2">
        <f t="shared" si="56"/>
        <v>63.662999999999997</v>
      </c>
      <c r="K109" s="2">
        <f t="shared" si="56"/>
        <v>70.814999999999998</v>
      </c>
      <c r="L109" s="2">
        <f t="shared" si="56"/>
        <v>72.929000000000002</v>
      </c>
      <c r="M109" s="2">
        <f t="shared" si="56"/>
        <v>54.4</v>
      </c>
      <c r="N109" s="2">
        <f t="shared" si="56"/>
        <v>63.664499999999997</v>
      </c>
      <c r="O109" s="2">
        <f t="shared" si="56"/>
        <v>18.529000000000003</v>
      </c>
      <c r="P109" s="2">
        <f t="shared" si="56"/>
        <v>63.662999999999997</v>
      </c>
      <c r="Q109" s="2">
        <f t="shared" si="56"/>
        <v>26.112000000000002</v>
      </c>
      <c r="S109" s="2">
        <f>AVERAGE(S103:S108)</f>
        <v>78.393333333333331</v>
      </c>
      <c r="T109" s="2">
        <f t="shared" ref="T109:AH109" si="57">AVERAGE(T103:T108)</f>
        <v>70.469999999999985</v>
      </c>
      <c r="U109" s="2">
        <f t="shared" si="57"/>
        <v>78.283333333333346</v>
      </c>
      <c r="V109" s="2">
        <f t="shared" si="57"/>
        <v>72.815000000000012</v>
      </c>
      <c r="W109" s="2">
        <f t="shared" si="57"/>
        <v>71.946666666666673</v>
      </c>
      <c r="X109" s="2">
        <f t="shared" si="57"/>
        <v>79.998333333333335</v>
      </c>
      <c r="Y109" s="2">
        <f t="shared" si="57"/>
        <v>75.674999999999997</v>
      </c>
      <c r="Z109" s="2">
        <f t="shared" si="57"/>
        <v>67.515000000000001</v>
      </c>
      <c r="AA109" s="2">
        <f t="shared" si="57"/>
        <v>68.416666666666671</v>
      </c>
      <c r="AB109" s="2">
        <f t="shared" si="57"/>
        <v>76.158333333333331</v>
      </c>
      <c r="AC109" s="2">
        <f t="shared" si="57"/>
        <v>78.283333333333346</v>
      </c>
      <c r="AD109" s="2">
        <f t="shared" si="57"/>
        <v>58.550000000000004</v>
      </c>
      <c r="AE109" s="2">
        <f t="shared" si="57"/>
        <v>68.416666666666671</v>
      </c>
      <c r="AF109" s="2">
        <f t="shared" si="57"/>
        <v>19.733333333333334</v>
      </c>
      <c r="AG109" s="2">
        <f t="shared" si="57"/>
        <v>68.416666666666671</v>
      </c>
      <c r="AH109" s="2">
        <f t="shared" si="57"/>
        <v>38.103333333333332</v>
      </c>
    </row>
    <row r="111" spans="1:34" x14ac:dyDescent="0.25">
      <c r="B111" s="2">
        <f>AVERAGE(B87,B98,B109)</f>
        <v>73.256666666666661</v>
      </c>
      <c r="C111" s="2">
        <f t="shared" ref="C111:Q111" si="58">AVERAGE(C87,C98,C109)</f>
        <v>69.249999999999986</v>
      </c>
      <c r="D111" s="2">
        <f t="shared" si="58"/>
        <v>69.893333333333331</v>
      </c>
      <c r="E111" s="2">
        <f t="shared" si="58"/>
        <v>68.190999999999988</v>
      </c>
      <c r="F111" s="2">
        <f t="shared" si="58"/>
        <v>72.058333333333323</v>
      </c>
      <c r="G111" s="2">
        <f t="shared" si="58"/>
        <v>71.856999999999999</v>
      </c>
      <c r="H111" s="2">
        <f t="shared" si="58"/>
        <v>71.721666666666678</v>
      </c>
      <c r="I111" s="2">
        <f t="shared" si="58"/>
        <v>61.947000000000003</v>
      </c>
      <c r="J111" s="2">
        <f t="shared" si="58"/>
        <v>64.392999999999986</v>
      </c>
      <c r="K111" s="2">
        <f t="shared" si="58"/>
        <v>71.36399999999999</v>
      </c>
      <c r="L111" s="2">
        <f t="shared" si="58"/>
        <v>69.893333333333331</v>
      </c>
      <c r="M111" s="2">
        <f t="shared" si="58"/>
        <v>58.891333333333328</v>
      </c>
      <c r="N111" s="2">
        <f t="shared" si="58"/>
        <v>64.392333333333326</v>
      </c>
      <c r="O111" s="2">
        <f t="shared" si="58"/>
        <v>15.821</v>
      </c>
      <c r="P111" s="2">
        <f t="shared" si="58"/>
        <v>64.392999999999986</v>
      </c>
      <c r="Q111" s="2">
        <f t="shared" si="58"/>
        <v>27.573333333333334</v>
      </c>
      <c r="S111" s="2">
        <f t="shared" ref="S111:AH111" si="59">AVERAGE(S87,S98,S109)</f>
        <v>77.443888888888878</v>
      </c>
      <c r="T111" s="2">
        <f t="shared" si="59"/>
        <v>69.746111111111091</v>
      </c>
      <c r="U111" s="2">
        <f t="shared" si="59"/>
        <v>77.649444444444441</v>
      </c>
      <c r="V111" s="2">
        <f t="shared" si="59"/>
        <v>72.185555555555553</v>
      </c>
      <c r="W111" s="2">
        <f t="shared" si="59"/>
        <v>71.270555555555561</v>
      </c>
      <c r="X111" s="2">
        <f t="shared" si="59"/>
        <v>79.081111111111113</v>
      </c>
      <c r="Y111" s="2">
        <f t="shared" si="59"/>
        <v>74.800555555555547</v>
      </c>
      <c r="Z111" s="2">
        <f t="shared" si="59"/>
        <v>66.505555555555546</v>
      </c>
      <c r="AA111" s="2">
        <f t="shared" si="59"/>
        <v>67.670555555555552</v>
      </c>
      <c r="AB111" s="2">
        <f t="shared" si="59"/>
        <v>75.950555555555553</v>
      </c>
      <c r="AC111" s="2">
        <f t="shared" si="59"/>
        <v>77.649444444444441</v>
      </c>
      <c r="AD111" s="2">
        <f t="shared" si="59"/>
        <v>57.691111111111105</v>
      </c>
      <c r="AE111" s="2">
        <f t="shared" si="59"/>
        <v>67.670277777777798</v>
      </c>
      <c r="AF111" s="2">
        <f t="shared" si="59"/>
        <v>20.391111111111112</v>
      </c>
      <c r="AG111" s="2">
        <f t="shared" si="59"/>
        <v>67.670555555555552</v>
      </c>
      <c r="AH111" s="2">
        <f t="shared" si="59"/>
        <v>36.343333333333334</v>
      </c>
    </row>
    <row r="112" spans="1:34" x14ac:dyDescent="0.25">
      <c r="B112" s="2">
        <f>_xlfn.STDEV.S(B87,B98,B109)</f>
        <v>0.80931473070328108</v>
      </c>
      <c r="C112" s="2">
        <f t="shared" ref="C112:Q112" si="60">_xlfn.STDEV.S(C87,C98,C109)</f>
        <v>1.5965985719647755</v>
      </c>
      <c r="D112" s="2">
        <f t="shared" si="60"/>
        <v>3.6957354252345191</v>
      </c>
      <c r="E112" s="2">
        <f t="shared" si="60"/>
        <v>1.0942070188040203</v>
      </c>
      <c r="F112" s="2">
        <f t="shared" si="60"/>
        <v>2.0319365967798593</v>
      </c>
      <c r="G112" s="2">
        <f t="shared" si="60"/>
        <v>3.2643448040916194</v>
      </c>
      <c r="H112" s="2">
        <f t="shared" si="60"/>
        <v>0.71778292911808317</v>
      </c>
      <c r="I112" s="2">
        <f t="shared" si="60"/>
        <v>0.96029526709237067</v>
      </c>
      <c r="J112" s="2">
        <f t="shared" si="60"/>
        <v>0.64405279286716888</v>
      </c>
      <c r="K112" s="2">
        <f t="shared" si="60"/>
        <v>0.48307452841150927</v>
      </c>
      <c r="L112" s="2">
        <f t="shared" si="60"/>
        <v>3.6957354252345191</v>
      </c>
      <c r="M112" s="2">
        <f t="shared" si="60"/>
        <v>4.8184429366065249</v>
      </c>
      <c r="N112" s="2">
        <f t="shared" si="60"/>
        <v>0.64225896905634905</v>
      </c>
      <c r="O112" s="2">
        <f t="shared" si="60"/>
        <v>2.4491598559506049</v>
      </c>
      <c r="P112" s="2">
        <f t="shared" si="60"/>
        <v>0.64405279286716888</v>
      </c>
      <c r="Q112" s="2">
        <f t="shared" si="60"/>
        <v>1.3163074615504264</v>
      </c>
      <c r="S112" s="2">
        <f t="shared" ref="S112:AH112" si="61">_xlfn.STDEV.S(S87,S98,S109)</f>
        <v>1.1146029852888468</v>
      </c>
      <c r="T112" s="2">
        <f t="shared" si="61"/>
        <v>0.73525190946393282</v>
      </c>
      <c r="U112" s="2">
        <f t="shared" si="61"/>
        <v>0.66435083881714785</v>
      </c>
      <c r="V112" s="2">
        <f t="shared" si="61"/>
        <v>0.61550867250261976</v>
      </c>
      <c r="W112" s="2">
        <f t="shared" si="61"/>
        <v>0.85947389161648202</v>
      </c>
      <c r="X112" s="2">
        <f t="shared" si="61"/>
        <v>0.80853147628781485</v>
      </c>
      <c r="Y112" s="2">
        <f t="shared" si="61"/>
        <v>0.87250650002885166</v>
      </c>
      <c r="Z112" s="2">
        <f t="shared" si="61"/>
        <v>0.98514005396487991</v>
      </c>
      <c r="AA112" s="2">
        <f t="shared" si="61"/>
        <v>0.68727386853450423</v>
      </c>
      <c r="AB112" s="2">
        <f t="shared" si="61"/>
        <v>1.1146204303276033</v>
      </c>
      <c r="AC112" s="2">
        <f t="shared" si="61"/>
        <v>0.66435083881714785</v>
      </c>
      <c r="AD112" s="2">
        <f t="shared" si="61"/>
        <v>1.1244904195695538</v>
      </c>
      <c r="AE112" s="2">
        <f t="shared" si="61"/>
        <v>0.68764207286230816</v>
      </c>
      <c r="AF112" s="2">
        <f t="shared" si="61"/>
        <v>1.9500586410935687</v>
      </c>
      <c r="AG112" s="2">
        <f t="shared" si="61"/>
        <v>0.68727386853450423</v>
      </c>
      <c r="AH112" s="2">
        <f t="shared" si="61"/>
        <v>1.5417099093034483</v>
      </c>
    </row>
    <row r="113" spans="1:34" x14ac:dyDescent="0.25">
      <c r="A113" s="1" t="s">
        <v>125</v>
      </c>
    </row>
    <row r="114" spans="1:34" x14ac:dyDescent="0.25">
      <c r="A114" s="1" t="s">
        <v>81</v>
      </c>
      <c r="B114">
        <v>85.19</v>
      </c>
      <c r="C114">
        <v>83.38</v>
      </c>
      <c r="D114">
        <v>72.739999999999995</v>
      </c>
      <c r="E114">
        <v>77.63</v>
      </c>
      <c r="F114">
        <v>84.91</v>
      </c>
      <c r="G114">
        <v>73.77</v>
      </c>
      <c r="H114">
        <v>78.95</v>
      </c>
      <c r="I114">
        <v>67.98</v>
      </c>
      <c r="J114">
        <v>70.650000000000006</v>
      </c>
      <c r="K114">
        <v>76.97</v>
      </c>
      <c r="L114">
        <v>72.739999999999995</v>
      </c>
      <c r="M114">
        <v>68.569999999999993</v>
      </c>
      <c r="N114">
        <f>(L114+M114)/2</f>
        <v>70.655000000000001</v>
      </c>
      <c r="O114">
        <v>4.17</v>
      </c>
      <c r="P114">
        <v>70.650000000000006</v>
      </c>
      <c r="Q114">
        <v>37.950000000000003</v>
      </c>
    </row>
    <row r="115" spans="1:34" x14ac:dyDescent="0.25">
      <c r="B115">
        <v>87.29</v>
      </c>
      <c r="C115">
        <v>78.489999999999995</v>
      </c>
      <c r="D115">
        <v>85.74</v>
      </c>
      <c r="E115">
        <v>81.849999999999994</v>
      </c>
      <c r="F115">
        <v>80.45</v>
      </c>
      <c r="G115">
        <v>87.7</v>
      </c>
      <c r="H115">
        <v>83.92</v>
      </c>
      <c r="I115">
        <v>67.64</v>
      </c>
      <c r="J115">
        <v>67.790000000000006</v>
      </c>
      <c r="K115">
        <v>78.459999999999994</v>
      </c>
      <c r="L115">
        <v>85.74</v>
      </c>
      <c r="M115">
        <v>49.84</v>
      </c>
      <c r="N115">
        <f t="shared" ref="N115:N123" si="62">(L115+M115)/2</f>
        <v>67.789999999999992</v>
      </c>
      <c r="O115">
        <v>35.9</v>
      </c>
      <c r="P115">
        <v>67.790000000000006</v>
      </c>
      <c r="Q115">
        <v>36.479999999999997</v>
      </c>
    </row>
    <row r="116" spans="1:34" x14ac:dyDescent="0.25">
      <c r="B116">
        <v>70.010000000000005</v>
      </c>
      <c r="C116">
        <v>69.989999999999995</v>
      </c>
      <c r="D116">
        <v>63.64</v>
      </c>
      <c r="E116">
        <v>65.209999999999994</v>
      </c>
      <c r="F116">
        <v>75.89</v>
      </c>
      <c r="G116">
        <v>68.150000000000006</v>
      </c>
      <c r="H116">
        <v>71.81</v>
      </c>
      <c r="I116">
        <v>63.43</v>
      </c>
      <c r="J116">
        <v>64.63</v>
      </c>
      <c r="K116">
        <v>70.599999999999994</v>
      </c>
      <c r="L116">
        <v>63.64</v>
      </c>
      <c r="M116">
        <v>65.61</v>
      </c>
      <c r="N116">
        <f t="shared" si="62"/>
        <v>64.625</v>
      </c>
      <c r="O116">
        <v>1.98</v>
      </c>
      <c r="P116">
        <v>64.63</v>
      </c>
      <c r="Q116">
        <v>29.69</v>
      </c>
    </row>
    <row r="117" spans="1:34" x14ac:dyDescent="0.25">
      <c r="B117">
        <v>82.72</v>
      </c>
      <c r="C117">
        <v>79.459999999999994</v>
      </c>
      <c r="D117">
        <v>75.900000000000006</v>
      </c>
      <c r="E117">
        <v>77.34</v>
      </c>
      <c r="F117">
        <v>80.87</v>
      </c>
      <c r="G117">
        <v>76.23</v>
      </c>
      <c r="H117">
        <v>78.48</v>
      </c>
      <c r="I117">
        <v>65.72</v>
      </c>
      <c r="J117">
        <v>67.650000000000006</v>
      </c>
      <c r="K117">
        <v>74.930000000000007</v>
      </c>
      <c r="L117">
        <v>75.900000000000006</v>
      </c>
      <c r="M117">
        <v>59.4</v>
      </c>
      <c r="N117">
        <f t="shared" si="62"/>
        <v>67.650000000000006</v>
      </c>
      <c r="O117">
        <v>16.5</v>
      </c>
      <c r="P117">
        <v>67.650000000000006</v>
      </c>
      <c r="Q117">
        <v>32.799999999999997</v>
      </c>
    </row>
    <row r="118" spans="1:34" x14ac:dyDescent="0.25">
      <c r="B118">
        <v>72.17</v>
      </c>
      <c r="C118">
        <v>72.52</v>
      </c>
      <c r="D118">
        <v>66.83</v>
      </c>
      <c r="E118">
        <v>65.88</v>
      </c>
      <c r="F118">
        <v>74.47</v>
      </c>
      <c r="G118">
        <v>66.88</v>
      </c>
      <c r="H118">
        <v>70.47</v>
      </c>
      <c r="I118">
        <v>63.6</v>
      </c>
      <c r="J118">
        <v>68.319999999999993</v>
      </c>
      <c r="K118">
        <v>74.849999999999994</v>
      </c>
      <c r="L118">
        <v>66.83</v>
      </c>
      <c r="M118">
        <v>69.81</v>
      </c>
      <c r="N118">
        <f t="shared" si="62"/>
        <v>68.319999999999993</v>
      </c>
      <c r="O118">
        <v>2.98</v>
      </c>
      <c r="P118">
        <v>68.319999999999993</v>
      </c>
      <c r="Q118">
        <v>33.44</v>
      </c>
      <c r="S118">
        <v>81.12</v>
      </c>
      <c r="T118">
        <v>74.67</v>
      </c>
      <c r="U118">
        <v>76.77</v>
      </c>
      <c r="V118">
        <v>75.180000000000007</v>
      </c>
      <c r="W118">
        <v>75.650000000000006</v>
      </c>
      <c r="X118">
        <v>78.73</v>
      </c>
      <c r="Y118">
        <v>77.16</v>
      </c>
      <c r="Z118">
        <v>65.84</v>
      </c>
      <c r="AA118">
        <v>67.180000000000007</v>
      </c>
      <c r="AB118">
        <v>75.61</v>
      </c>
      <c r="AC118">
        <v>76.77</v>
      </c>
      <c r="AD118">
        <v>57.59</v>
      </c>
      <c r="AE118">
        <f t="shared" ref="AE118:AE123" si="63">(AC118+AD118)/2</f>
        <v>67.180000000000007</v>
      </c>
      <c r="AF118">
        <v>19.18</v>
      </c>
      <c r="AG118">
        <v>67.180000000000007</v>
      </c>
      <c r="AH118">
        <v>35.03</v>
      </c>
    </row>
    <row r="119" spans="1:34" x14ac:dyDescent="0.25">
      <c r="B119">
        <v>57.42</v>
      </c>
      <c r="C119">
        <v>56.92</v>
      </c>
      <c r="D119">
        <v>60.14</v>
      </c>
      <c r="E119">
        <v>57.59</v>
      </c>
      <c r="F119">
        <v>61.24</v>
      </c>
      <c r="G119">
        <v>64.75</v>
      </c>
      <c r="H119">
        <v>62.95</v>
      </c>
      <c r="I119">
        <v>58.45</v>
      </c>
      <c r="J119">
        <v>59.99</v>
      </c>
      <c r="K119">
        <v>60.72</v>
      </c>
      <c r="L119">
        <v>60.14</v>
      </c>
      <c r="M119">
        <v>59.84</v>
      </c>
      <c r="N119">
        <f t="shared" si="62"/>
        <v>59.99</v>
      </c>
      <c r="O119">
        <v>0.3</v>
      </c>
      <c r="P119">
        <v>59.99</v>
      </c>
      <c r="Q119">
        <v>18.88</v>
      </c>
      <c r="S119">
        <v>83.2</v>
      </c>
      <c r="T119">
        <v>73.8</v>
      </c>
      <c r="U119">
        <v>78.17</v>
      </c>
      <c r="V119">
        <v>75.7</v>
      </c>
      <c r="W119">
        <v>75.42</v>
      </c>
      <c r="X119">
        <v>80.540000000000006</v>
      </c>
      <c r="Y119">
        <v>77.900000000000006</v>
      </c>
      <c r="Z119">
        <v>66.95</v>
      </c>
      <c r="AA119">
        <v>67.03</v>
      </c>
      <c r="AB119">
        <v>76.400000000000006</v>
      </c>
      <c r="AC119">
        <v>78.17</v>
      </c>
      <c r="AD119">
        <v>55.9</v>
      </c>
      <c r="AE119">
        <f t="shared" si="63"/>
        <v>67.034999999999997</v>
      </c>
      <c r="AF119">
        <v>22.27</v>
      </c>
      <c r="AG119">
        <v>67.03</v>
      </c>
      <c r="AH119">
        <v>36.15</v>
      </c>
    </row>
    <row r="120" spans="1:34" x14ac:dyDescent="0.25">
      <c r="B120">
        <v>90.35</v>
      </c>
      <c r="C120">
        <v>82.77</v>
      </c>
      <c r="D120">
        <v>83.35</v>
      </c>
      <c r="E120">
        <v>82.09</v>
      </c>
      <c r="F120">
        <v>83.19</v>
      </c>
      <c r="G120">
        <v>81.150000000000006</v>
      </c>
      <c r="H120">
        <v>82.16</v>
      </c>
      <c r="I120">
        <v>71.010000000000005</v>
      </c>
      <c r="J120">
        <v>73.94</v>
      </c>
      <c r="K120">
        <v>82.13</v>
      </c>
      <c r="L120">
        <v>83.35</v>
      </c>
      <c r="M120">
        <v>64.53</v>
      </c>
      <c r="N120">
        <f t="shared" si="62"/>
        <v>73.94</v>
      </c>
      <c r="O120">
        <v>18.82</v>
      </c>
      <c r="P120">
        <v>73.94</v>
      </c>
      <c r="Q120">
        <v>45.1</v>
      </c>
      <c r="S120">
        <v>67.22</v>
      </c>
      <c r="T120">
        <v>62.51</v>
      </c>
      <c r="U120">
        <v>70.290000000000006</v>
      </c>
      <c r="V120">
        <v>65.430000000000007</v>
      </c>
      <c r="W120">
        <v>65.09</v>
      </c>
      <c r="X120">
        <v>71.900000000000006</v>
      </c>
      <c r="Y120">
        <v>68.319999999999993</v>
      </c>
      <c r="Z120">
        <v>62.41</v>
      </c>
      <c r="AA120">
        <v>63.65</v>
      </c>
      <c r="AB120">
        <v>70.42</v>
      </c>
      <c r="AC120">
        <v>70.290000000000006</v>
      </c>
      <c r="AD120">
        <v>57</v>
      </c>
      <c r="AE120">
        <f t="shared" si="63"/>
        <v>63.645000000000003</v>
      </c>
      <c r="AF120">
        <v>13.29</v>
      </c>
      <c r="AG120">
        <v>63.65</v>
      </c>
      <c r="AH120">
        <v>26.74</v>
      </c>
    </row>
    <row r="121" spans="1:34" x14ac:dyDescent="0.25">
      <c r="B121">
        <v>68.06</v>
      </c>
      <c r="C121">
        <v>67.599999999999994</v>
      </c>
      <c r="D121">
        <v>63.7</v>
      </c>
      <c r="E121">
        <v>63.09</v>
      </c>
      <c r="F121">
        <v>71.83</v>
      </c>
      <c r="G121">
        <v>64.97</v>
      </c>
      <c r="H121">
        <v>68.23</v>
      </c>
      <c r="I121">
        <v>61.04</v>
      </c>
      <c r="J121">
        <v>65.09</v>
      </c>
      <c r="K121">
        <v>72.37</v>
      </c>
      <c r="L121">
        <v>63.7</v>
      </c>
      <c r="M121">
        <v>66.489999999999995</v>
      </c>
      <c r="N121">
        <f t="shared" si="62"/>
        <v>65.094999999999999</v>
      </c>
      <c r="O121">
        <v>2.79</v>
      </c>
      <c r="P121">
        <v>65.09</v>
      </c>
      <c r="Q121">
        <v>26.95</v>
      </c>
      <c r="S121">
        <v>80.14</v>
      </c>
      <c r="T121">
        <v>73.97</v>
      </c>
      <c r="U121">
        <v>81.650000000000006</v>
      </c>
      <c r="V121">
        <v>76.849999999999994</v>
      </c>
      <c r="W121">
        <v>74.069999999999993</v>
      </c>
      <c r="X121">
        <v>81.45</v>
      </c>
      <c r="Y121">
        <v>77.59</v>
      </c>
      <c r="Z121">
        <v>67.8</v>
      </c>
      <c r="AA121">
        <v>68.88</v>
      </c>
      <c r="AB121">
        <v>76.2</v>
      </c>
      <c r="AC121">
        <v>81.650000000000006</v>
      </c>
      <c r="AD121">
        <v>56.11</v>
      </c>
      <c r="AE121">
        <f t="shared" si="63"/>
        <v>68.88</v>
      </c>
      <c r="AF121">
        <v>25.54</v>
      </c>
      <c r="AG121">
        <v>68.88</v>
      </c>
      <c r="AH121">
        <v>38.82</v>
      </c>
    </row>
    <row r="122" spans="1:34" x14ac:dyDescent="0.25">
      <c r="B122">
        <v>63.78</v>
      </c>
      <c r="C122">
        <v>61.25</v>
      </c>
      <c r="D122">
        <v>52.63</v>
      </c>
      <c r="E122">
        <v>65.47</v>
      </c>
      <c r="F122">
        <v>66.67</v>
      </c>
      <c r="G122">
        <v>62.3</v>
      </c>
      <c r="H122">
        <v>64.41</v>
      </c>
      <c r="I122">
        <v>58.15</v>
      </c>
      <c r="J122">
        <v>58.39</v>
      </c>
      <c r="K122">
        <v>68.739999999999995</v>
      </c>
      <c r="L122">
        <v>52.63</v>
      </c>
      <c r="M122">
        <v>64.150000000000006</v>
      </c>
      <c r="N122">
        <f t="shared" si="62"/>
        <v>58.39</v>
      </c>
      <c r="O122">
        <v>11.52</v>
      </c>
      <c r="P122">
        <v>58.39</v>
      </c>
      <c r="Q122">
        <v>19.34</v>
      </c>
      <c r="S122">
        <v>71.540000000000006</v>
      </c>
      <c r="T122">
        <v>67.78</v>
      </c>
      <c r="U122">
        <v>82.83</v>
      </c>
      <c r="V122">
        <v>73.680000000000007</v>
      </c>
      <c r="W122">
        <v>70.489999999999995</v>
      </c>
      <c r="X122">
        <v>84.31</v>
      </c>
      <c r="Y122">
        <v>76.790000000000006</v>
      </c>
      <c r="Z122">
        <v>71.87</v>
      </c>
      <c r="AA122">
        <v>73.150000000000006</v>
      </c>
      <c r="AB122">
        <v>78.34</v>
      </c>
      <c r="AC122">
        <v>82.83</v>
      </c>
      <c r="AD122">
        <v>63.47</v>
      </c>
      <c r="AE122">
        <f t="shared" si="63"/>
        <v>73.150000000000006</v>
      </c>
      <c r="AF122">
        <v>19.36</v>
      </c>
      <c r="AG122">
        <v>73.150000000000006</v>
      </c>
      <c r="AH122">
        <v>46.97</v>
      </c>
    </row>
    <row r="123" spans="1:34" x14ac:dyDescent="0.25">
      <c r="B123">
        <v>65.05</v>
      </c>
      <c r="C123">
        <v>64.430000000000007</v>
      </c>
      <c r="D123">
        <v>67.05</v>
      </c>
      <c r="E123">
        <v>64.62</v>
      </c>
      <c r="F123">
        <v>68.44</v>
      </c>
      <c r="G123">
        <v>71.150000000000006</v>
      </c>
      <c r="H123">
        <v>69.77</v>
      </c>
      <c r="I123">
        <v>65.59</v>
      </c>
      <c r="J123">
        <v>66.59</v>
      </c>
      <c r="K123">
        <v>71.69</v>
      </c>
      <c r="L123">
        <v>67.05</v>
      </c>
      <c r="M123">
        <v>66.14</v>
      </c>
      <c r="N123">
        <f t="shared" si="62"/>
        <v>66.594999999999999</v>
      </c>
      <c r="O123">
        <v>0.91</v>
      </c>
      <c r="P123">
        <v>66.59</v>
      </c>
      <c r="Q123">
        <v>33.22</v>
      </c>
      <c r="S123">
        <v>77.09</v>
      </c>
      <c r="T123">
        <v>67.34</v>
      </c>
      <c r="U123">
        <v>79.44</v>
      </c>
      <c r="V123">
        <v>71.28</v>
      </c>
      <c r="W123">
        <v>69.41</v>
      </c>
      <c r="X123">
        <v>79.09</v>
      </c>
      <c r="Y123">
        <v>73.94</v>
      </c>
      <c r="Z123">
        <v>68.37</v>
      </c>
      <c r="AA123">
        <v>70.67</v>
      </c>
      <c r="AB123">
        <v>77.84</v>
      </c>
      <c r="AC123">
        <v>79.44</v>
      </c>
      <c r="AD123">
        <v>61.9</v>
      </c>
      <c r="AE123">
        <f t="shared" si="63"/>
        <v>70.67</v>
      </c>
      <c r="AF123">
        <v>17.54</v>
      </c>
      <c r="AG123">
        <v>70.67</v>
      </c>
      <c r="AH123">
        <v>39.880000000000003</v>
      </c>
    </row>
    <row r="124" spans="1:34" x14ac:dyDescent="0.25">
      <c r="B124" s="2">
        <f>AVERAGE(B114:B123)</f>
        <v>74.203999999999994</v>
      </c>
      <c r="C124" s="2">
        <f t="shared" ref="C124:Q124" si="64">AVERAGE(C114:C123)</f>
        <v>71.680999999999997</v>
      </c>
      <c r="D124" s="2">
        <f t="shared" si="64"/>
        <v>69.171999999999997</v>
      </c>
      <c r="E124" s="2">
        <f t="shared" si="64"/>
        <v>70.077000000000012</v>
      </c>
      <c r="F124" s="2">
        <f t="shared" si="64"/>
        <v>74.796000000000006</v>
      </c>
      <c r="G124" s="2">
        <f t="shared" si="64"/>
        <v>71.704999999999998</v>
      </c>
      <c r="H124" s="2">
        <f t="shared" si="64"/>
        <v>73.114999999999995</v>
      </c>
      <c r="I124" s="2">
        <f t="shared" si="64"/>
        <v>64.260999999999996</v>
      </c>
      <c r="J124" s="2">
        <f t="shared" si="64"/>
        <v>66.304000000000002</v>
      </c>
      <c r="K124" s="2">
        <f t="shared" si="64"/>
        <v>73.146000000000001</v>
      </c>
      <c r="L124" s="2">
        <f t="shared" si="64"/>
        <v>69.171999999999997</v>
      </c>
      <c r="M124" s="2">
        <f t="shared" si="64"/>
        <v>63.438000000000002</v>
      </c>
      <c r="N124" s="2">
        <f t="shared" si="64"/>
        <v>66.305000000000007</v>
      </c>
      <c r="O124" s="2">
        <f t="shared" si="64"/>
        <v>9.5869999999999997</v>
      </c>
      <c r="P124" s="2">
        <f t="shared" si="64"/>
        <v>66.304000000000002</v>
      </c>
      <c r="Q124" s="2">
        <f t="shared" si="64"/>
        <v>31.385000000000002</v>
      </c>
      <c r="S124" s="2">
        <f>AVERAGE(S118:S123)</f>
        <v>76.718333333333348</v>
      </c>
      <c r="T124" s="2">
        <f t="shared" ref="T124:AH124" si="65">AVERAGE(T118:T123)</f>
        <v>70.01166666666667</v>
      </c>
      <c r="U124" s="2">
        <f t="shared" si="65"/>
        <v>78.191666666666663</v>
      </c>
      <c r="V124" s="2">
        <f t="shared" si="65"/>
        <v>73.02</v>
      </c>
      <c r="W124" s="2">
        <f t="shared" si="65"/>
        <v>71.688333333333333</v>
      </c>
      <c r="X124" s="2">
        <f t="shared" si="65"/>
        <v>79.336666666666659</v>
      </c>
      <c r="Y124" s="2">
        <f t="shared" si="65"/>
        <v>75.283333333333346</v>
      </c>
      <c r="Z124" s="2">
        <f t="shared" si="65"/>
        <v>67.206666666666663</v>
      </c>
      <c r="AA124" s="2">
        <f t="shared" si="65"/>
        <v>68.426666666666662</v>
      </c>
      <c r="AB124" s="2">
        <f t="shared" si="65"/>
        <v>75.801666666666677</v>
      </c>
      <c r="AC124" s="2">
        <f t="shared" si="65"/>
        <v>78.191666666666663</v>
      </c>
      <c r="AD124" s="2">
        <f t="shared" si="65"/>
        <v>58.661666666666669</v>
      </c>
      <c r="AE124" s="2">
        <f t="shared" si="65"/>
        <v>68.426666666666662</v>
      </c>
      <c r="AF124" s="2">
        <f t="shared" si="65"/>
        <v>19.53</v>
      </c>
      <c r="AG124" s="2">
        <f t="shared" si="65"/>
        <v>68.426666666666662</v>
      </c>
      <c r="AH124" s="2">
        <f t="shared" si="65"/>
        <v>37.265000000000001</v>
      </c>
    </row>
    <row r="125" spans="1:34" x14ac:dyDescent="0.25">
      <c r="A125" s="1" t="s">
        <v>82</v>
      </c>
      <c r="B125">
        <v>86.84</v>
      </c>
      <c r="C125">
        <v>80.8</v>
      </c>
      <c r="D125">
        <v>84.11</v>
      </c>
      <c r="E125">
        <v>82.08</v>
      </c>
      <c r="F125">
        <v>81.89</v>
      </c>
      <c r="G125">
        <v>85.25</v>
      </c>
      <c r="H125">
        <v>83.53</v>
      </c>
      <c r="I125">
        <v>67.28</v>
      </c>
      <c r="J125">
        <v>68.489999999999995</v>
      </c>
      <c r="K125">
        <v>80.06</v>
      </c>
      <c r="L125">
        <v>84.11</v>
      </c>
      <c r="M125">
        <v>52.87</v>
      </c>
      <c r="N125">
        <f>(L125+M125)/2</f>
        <v>68.489999999999995</v>
      </c>
      <c r="O125">
        <v>31.24</v>
      </c>
      <c r="P125">
        <v>68.489999999999995</v>
      </c>
      <c r="Q125">
        <v>37.590000000000003</v>
      </c>
    </row>
    <row r="126" spans="1:34" x14ac:dyDescent="0.25">
      <c r="B126">
        <v>87.4</v>
      </c>
      <c r="C126">
        <v>75.69</v>
      </c>
      <c r="D126">
        <v>80.3</v>
      </c>
      <c r="E126">
        <v>77.56</v>
      </c>
      <c r="F126">
        <v>77.52</v>
      </c>
      <c r="G126">
        <v>81.97</v>
      </c>
      <c r="H126">
        <v>79.680000000000007</v>
      </c>
      <c r="I126">
        <v>64.61</v>
      </c>
      <c r="J126">
        <v>65.430000000000007</v>
      </c>
      <c r="K126">
        <v>78.72</v>
      </c>
      <c r="L126">
        <v>80.3</v>
      </c>
      <c r="M126">
        <v>50.56</v>
      </c>
      <c r="N126">
        <f t="shared" ref="N126:N134" si="66">(L126+M126)/2</f>
        <v>65.430000000000007</v>
      </c>
      <c r="O126">
        <v>29.73</v>
      </c>
      <c r="P126">
        <v>65.430000000000007</v>
      </c>
      <c r="Q126">
        <v>30.2</v>
      </c>
    </row>
    <row r="127" spans="1:34" x14ac:dyDescent="0.25">
      <c r="B127">
        <v>66.239999999999995</v>
      </c>
      <c r="C127">
        <v>70.069999999999993</v>
      </c>
      <c r="D127">
        <v>64.569999999999993</v>
      </c>
      <c r="E127">
        <v>65.3</v>
      </c>
      <c r="F127">
        <v>75</v>
      </c>
      <c r="G127">
        <v>68.790000000000006</v>
      </c>
      <c r="H127">
        <v>71.760000000000005</v>
      </c>
      <c r="I127">
        <v>64.239999999999995</v>
      </c>
      <c r="J127">
        <v>66.87</v>
      </c>
      <c r="K127">
        <v>69.95</v>
      </c>
      <c r="L127">
        <v>64.569999999999993</v>
      </c>
      <c r="M127">
        <v>69.17</v>
      </c>
      <c r="N127">
        <f t="shared" si="66"/>
        <v>66.87</v>
      </c>
      <c r="O127">
        <v>4.5999999999999996</v>
      </c>
      <c r="P127">
        <v>66.87</v>
      </c>
      <c r="Q127">
        <v>31.93</v>
      </c>
    </row>
    <row r="128" spans="1:34" x14ac:dyDescent="0.25">
      <c r="B128">
        <v>80.959999999999994</v>
      </c>
      <c r="C128">
        <v>78.459999999999994</v>
      </c>
      <c r="D128">
        <v>76.06</v>
      </c>
      <c r="E128">
        <v>75.39</v>
      </c>
      <c r="F128">
        <v>77.78</v>
      </c>
      <c r="G128">
        <v>74.59</v>
      </c>
      <c r="H128">
        <v>76.150000000000006</v>
      </c>
      <c r="I128">
        <v>63.69</v>
      </c>
      <c r="J128">
        <v>68.150000000000006</v>
      </c>
      <c r="K128">
        <v>74.930000000000007</v>
      </c>
      <c r="L128">
        <v>76.06</v>
      </c>
      <c r="M128">
        <v>60.24</v>
      </c>
      <c r="N128">
        <f t="shared" si="66"/>
        <v>68.150000000000006</v>
      </c>
      <c r="O128">
        <v>15.82</v>
      </c>
      <c r="P128">
        <v>68.150000000000006</v>
      </c>
      <c r="Q128">
        <v>33.270000000000003</v>
      </c>
    </row>
    <row r="129" spans="1:34" x14ac:dyDescent="0.25">
      <c r="B129">
        <v>71.84</v>
      </c>
      <c r="C129">
        <v>67.41</v>
      </c>
      <c r="D129">
        <v>66.11</v>
      </c>
      <c r="E129">
        <v>61.58</v>
      </c>
      <c r="F129">
        <v>69.44</v>
      </c>
      <c r="G129">
        <v>63.69</v>
      </c>
      <c r="H129">
        <v>66.45</v>
      </c>
      <c r="I129">
        <v>59.4</v>
      </c>
      <c r="J129">
        <v>65.12</v>
      </c>
      <c r="K129">
        <v>74.83</v>
      </c>
      <c r="L129">
        <v>66.11</v>
      </c>
      <c r="M129">
        <v>64.13</v>
      </c>
      <c r="N129">
        <f t="shared" si="66"/>
        <v>65.12</v>
      </c>
      <c r="O129">
        <v>1.98</v>
      </c>
      <c r="P129">
        <v>65.12</v>
      </c>
      <c r="Q129">
        <v>26.28</v>
      </c>
      <c r="S129">
        <v>79.27</v>
      </c>
      <c r="T129">
        <v>73.930000000000007</v>
      </c>
      <c r="U129">
        <v>69.67</v>
      </c>
      <c r="V129">
        <v>71.540000000000006</v>
      </c>
      <c r="W129">
        <v>75.599999999999994</v>
      </c>
      <c r="X129">
        <v>71.489999999999995</v>
      </c>
      <c r="Y129">
        <v>73.489999999999995</v>
      </c>
      <c r="Z129">
        <v>65.13</v>
      </c>
      <c r="AA129">
        <v>65.64</v>
      </c>
      <c r="AB129">
        <v>73.81</v>
      </c>
      <c r="AC129">
        <v>69.67</v>
      </c>
      <c r="AD129">
        <v>61.61</v>
      </c>
      <c r="AE129">
        <f t="shared" ref="AE129:AE134" si="67">(AC129+AD129)/2</f>
        <v>65.64</v>
      </c>
      <c r="AF129">
        <v>8.06</v>
      </c>
      <c r="AG129">
        <v>65.64</v>
      </c>
      <c r="AH129">
        <v>31.2</v>
      </c>
    </row>
    <row r="130" spans="1:34" x14ac:dyDescent="0.25">
      <c r="B130">
        <v>62.69</v>
      </c>
      <c r="C130">
        <v>58.38</v>
      </c>
      <c r="D130">
        <v>57.52</v>
      </c>
      <c r="E130">
        <v>56.68</v>
      </c>
      <c r="F130">
        <v>62.2</v>
      </c>
      <c r="G130">
        <v>64.75</v>
      </c>
      <c r="H130">
        <v>63.45</v>
      </c>
      <c r="I130">
        <v>58.61</v>
      </c>
      <c r="J130">
        <v>58.78</v>
      </c>
      <c r="K130">
        <v>62.88</v>
      </c>
      <c r="L130">
        <v>57.52</v>
      </c>
      <c r="M130">
        <v>60.05</v>
      </c>
      <c r="N130">
        <f t="shared" si="66"/>
        <v>58.784999999999997</v>
      </c>
      <c r="O130">
        <v>2.5299999999999998</v>
      </c>
      <c r="P130">
        <v>58.78</v>
      </c>
      <c r="Q130">
        <v>18.940000000000001</v>
      </c>
      <c r="S130">
        <v>76.599999999999994</v>
      </c>
      <c r="T130">
        <v>71.25</v>
      </c>
      <c r="U130">
        <v>73.06</v>
      </c>
      <c r="V130">
        <v>72.13</v>
      </c>
      <c r="W130">
        <v>73.569999999999993</v>
      </c>
      <c r="X130">
        <v>75.569999999999993</v>
      </c>
      <c r="Y130">
        <v>74.55</v>
      </c>
      <c r="Z130">
        <v>64.67</v>
      </c>
      <c r="AA130">
        <v>64.36</v>
      </c>
      <c r="AB130">
        <v>71.17</v>
      </c>
      <c r="AC130">
        <v>73.06</v>
      </c>
      <c r="AD130">
        <v>55.65</v>
      </c>
      <c r="AE130">
        <f t="shared" si="67"/>
        <v>64.355000000000004</v>
      </c>
      <c r="AF130">
        <v>17.420000000000002</v>
      </c>
      <c r="AG130">
        <v>64.36</v>
      </c>
      <c r="AH130">
        <v>29.47</v>
      </c>
    </row>
    <row r="131" spans="1:34" x14ac:dyDescent="0.25">
      <c r="B131">
        <v>88.35</v>
      </c>
      <c r="C131">
        <v>80.14</v>
      </c>
      <c r="D131">
        <v>85.02</v>
      </c>
      <c r="E131">
        <v>81.3</v>
      </c>
      <c r="F131">
        <v>80.47</v>
      </c>
      <c r="G131">
        <v>84.43</v>
      </c>
      <c r="H131">
        <v>82.4</v>
      </c>
      <c r="I131">
        <v>70.430000000000007</v>
      </c>
      <c r="J131">
        <v>73.13</v>
      </c>
      <c r="K131">
        <v>83.41</v>
      </c>
      <c r="L131">
        <v>85.02</v>
      </c>
      <c r="M131">
        <v>61.25</v>
      </c>
      <c r="N131">
        <f t="shared" si="66"/>
        <v>73.134999999999991</v>
      </c>
      <c r="O131">
        <v>23.78</v>
      </c>
      <c r="P131">
        <v>73.13</v>
      </c>
      <c r="Q131">
        <v>44.7</v>
      </c>
      <c r="S131">
        <v>70.52</v>
      </c>
      <c r="T131">
        <v>65.459999999999994</v>
      </c>
      <c r="U131">
        <v>74.989999999999995</v>
      </c>
      <c r="V131">
        <v>68.900000000000006</v>
      </c>
      <c r="W131">
        <v>67.459999999999994</v>
      </c>
      <c r="X131">
        <v>74.510000000000005</v>
      </c>
      <c r="Y131">
        <v>70.81</v>
      </c>
      <c r="Z131">
        <v>66.069999999999993</v>
      </c>
      <c r="AA131">
        <v>67.56</v>
      </c>
      <c r="AB131">
        <v>73.34</v>
      </c>
      <c r="AC131">
        <v>74.989999999999995</v>
      </c>
      <c r="AD131">
        <v>60.13</v>
      </c>
      <c r="AE131">
        <f t="shared" si="67"/>
        <v>67.56</v>
      </c>
      <c r="AF131">
        <v>14.86</v>
      </c>
      <c r="AG131">
        <v>67.56</v>
      </c>
      <c r="AH131">
        <v>34.43</v>
      </c>
    </row>
    <row r="132" spans="1:34" x14ac:dyDescent="0.25">
      <c r="B132">
        <v>67.33</v>
      </c>
      <c r="C132">
        <v>67.73</v>
      </c>
      <c r="D132">
        <v>65.16</v>
      </c>
      <c r="E132">
        <v>63.54</v>
      </c>
      <c r="F132">
        <v>68.39</v>
      </c>
      <c r="G132">
        <v>67.52</v>
      </c>
      <c r="H132">
        <v>67.95</v>
      </c>
      <c r="I132">
        <v>60.29</v>
      </c>
      <c r="J132">
        <v>65.319999999999993</v>
      </c>
      <c r="K132">
        <v>72.099999999999994</v>
      </c>
      <c r="L132">
        <v>65.16</v>
      </c>
      <c r="M132">
        <v>65.489999999999995</v>
      </c>
      <c r="N132">
        <f t="shared" si="66"/>
        <v>65.324999999999989</v>
      </c>
      <c r="O132">
        <v>0.34</v>
      </c>
      <c r="P132">
        <v>65.319999999999993</v>
      </c>
      <c r="Q132">
        <v>27.69</v>
      </c>
      <c r="S132">
        <v>82.84</v>
      </c>
      <c r="T132">
        <v>75.86</v>
      </c>
      <c r="U132">
        <v>76.3</v>
      </c>
      <c r="V132">
        <v>74.86</v>
      </c>
      <c r="W132">
        <v>75.680000000000007</v>
      </c>
      <c r="X132">
        <v>76.02</v>
      </c>
      <c r="Y132">
        <v>75.849999999999994</v>
      </c>
      <c r="Z132">
        <v>67.709999999999994</v>
      </c>
      <c r="AA132">
        <v>69.31</v>
      </c>
      <c r="AB132">
        <v>75.75</v>
      </c>
      <c r="AC132">
        <v>76.3</v>
      </c>
      <c r="AD132">
        <v>62.32</v>
      </c>
      <c r="AE132">
        <f t="shared" si="67"/>
        <v>69.31</v>
      </c>
      <c r="AF132">
        <v>13.98</v>
      </c>
      <c r="AG132">
        <v>69.31</v>
      </c>
      <c r="AH132">
        <v>39</v>
      </c>
    </row>
    <row r="133" spans="1:34" x14ac:dyDescent="0.25">
      <c r="B133">
        <v>63.83</v>
      </c>
      <c r="C133">
        <v>58.1</v>
      </c>
      <c r="D133">
        <v>62.33</v>
      </c>
      <c r="E133">
        <v>71.05</v>
      </c>
      <c r="F133">
        <v>67.69</v>
      </c>
      <c r="G133">
        <v>72.13</v>
      </c>
      <c r="H133">
        <v>69.84</v>
      </c>
      <c r="I133">
        <v>63.5</v>
      </c>
      <c r="J133">
        <v>63.36</v>
      </c>
      <c r="K133">
        <v>66.95</v>
      </c>
      <c r="L133">
        <v>62.33</v>
      </c>
      <c r="M133">
        <v>64.38</v>
      </c>
      <c r="N133">
        <f t="shared" si="66"/>
        <v>63.354999999999997</v>
      </c>
      <c r="O133">
        <v>2.0499999999999998</v>
      </c>
      <c r="P133">
        <v>63.36</v>
      </c>
      <c r="Q133">
        <v>27.79</v>
      </c>
      <c r="S133">
        <v>69.040000000000006</v>
      </c>
      <c r="T133">
        <v>65.45</v>
      </c>
      <c r="U133">
        <v>73.7</v>
      </c>
      <c r="V133">
        <v>67.37</v>
      </c>
      <c r="W133">
        <v>66.28</v>
      </c>
      <c r="X133">
        <v>74.510000000000005</v>
      </c>
      <c r="Y133">
        <v>70.150000000000006</v>
      </c>
      <c r="Z133">
        <v>64.650000000000006</v>
      </c>
      <c r="AA133">
        <v>66.930000000000007</v>
      </c>
      <c r="AB133">
        <v>74.459999999999994</v>
      </c>
      <c r="AC133">
        <v>73.7</v>
      </c>
      <c r="AD133">
        <v>60.16</v>
      </c>
      <c r="AE133">
        <f t="shared" si="67"/>
        <v>66.930000000000007</v>
      </c>
      <c r="AF133">
        <v>13.54</v>
      </c>
      <c r="AG133">
        <v>66.930000000000007</v>
      </c>
      <c r="AH133">
        <v>33.96</v>
      </c>
    </row>
    <row r="134" spans="1:34" x14ac:dyDescent="0.25">
      <c r="B134">
        <v>72.28</v>
      </c>
      <c r="C134">
        <v>64.73</v>
      </c>
      <c r="D134">
        <v>75.260000000000005</v>
      </c>
      <c r="E134">
        <v>68.209999999999994</v>
      </c>
      <c r="F134">
        <v>67.37</v>
      </c>
      <c r="G134">
        <v>75.89</v>
      </c>
      <c r="H134">
        <v>71.38</v>
      </c>
      <c r="I134">
        <v>67</v>
      </c>
      <c r="J134">
        <v>68.84</v>
      </c>
      <c r="K134">
        <v>74.02</v>
      </c>
      <c r="L134">
        <v>75.260000000000005</v>
      </c>
      <c r="M134">
        <v>62.41</v>
      </c>
      <c r="N134">
        <f t="shared" si="66"/>
        <v>68.835000000000008</v>
      </c>
      <c r="O134">
        <v>12.85</v>
      </c>
      <c r="P134">
        <v>68.84</v>
      </c>
      <c r="Q134">
        <v>37</v>
      </c>
      <c r="S134">
        <v>73.95</v>
      </c>
      <c r="T134">
        <v>65.28</v>
      </c>
      <c r="U134">
        <v>70.319999999999993</v>
      </c>
      <c r="V134">
        <v>65.88</v>
      </c>
      <c r="W134">
        <v>68.790000000000006</v>
      </c>
      <c r="X134">
        <v>72.12</v>
      </c>
      <c r="Y134">
        <v>70.41</v>
      </c>
      <c r="Z134">
        <v>65.58</v>
      </c>
      <c r="AA134">
        <v>67.42</v>
      </c>
      <c r="AB134">
        <v>75.900000000000006</v>
      </c>
      <c r="AC134">
        <v>70.319999999999993</v>
      </c>
      <c r="AD134">
        <v>64.52</v>
      </c>
      <c r="AE134">
        <f t="shared" si="67"/>
        <v>67.419999999999987</v>
      </c>
      <c r="AF134">
        <v>5.81</v>
      </c>
      <c r="AG134">
        <v>67.42</v>
      </c>
      <c r="AH134">
        <v>34.270000000000003</v>
      </c>
    </row>
    <row r="135" spans="1:34" x14ac:dyDescent="0.25">
      <c r="B135" s="2">
        <f>AVERAGE(B125:B134)</f>
        <v>74.775999999999996</v>
      </c>
      <c r="C135" s="2">
        <f t="shared" ref="C135:Q135" si="68">AVERAGE(C125:C134)</f>
        <v>70.150999999999996</v>
      </c>
      <c r="D135" s="2">
        <f t="shared" si="68"/>
        <v>71.643999999999991</v>
      </c>
      <c r="E135" s="2">
        <f t="shared" si="68"/>
        <v>70.268999999999991</v>
      </c>
      <c r="F135" s="2">
        <f t="shared" si="68"/>
        <v>72.774999999999991</v>
      </c>
      <c r="G135" s="2">
        <f t="shared" si="68"/>
        <v>73.900999999999996</v>
      </c>
      <c r="H135" s="2">
        <f t="shared" si="68"/>
        <v>73.259</v>
      </c>
      <c r="I135" s="2">
        <f t="shared" si="68"/>
        <v>63.904999999999994</v>
      </c>
      <c r="J135" s="2">
        <f t="shared" si="68"/>
        <v>66.349000000000004</v>
      </c>
      <c r="K135" s="2">
        <f t="shared" si="68"/>
        <v>73.784999999999997</v>
      </c>
      <c r="L135" s="2">
        <f t="shared" si="68"/>
        <v>71.643999999999991</v>
      </c>
      <c r="M135" s="2">
        <f t="shared" si="68"/>
        <v>61.055000000000007</v>
      </c>
      <c r="N135" s="2">
        <f t="shared" si="68"/>
        <v>66.349500000000006</v>
      </c>
      <c r="O135" s="2">
        <f t="shared" si="68"/>
        <v>12.491999999999999</v>
      </c>
      <c r="P135" s="2">
        <f t="shared" si="68"/>
        <v>66.349000000000004</v>
      </c>
      <c r="Q135" s="2">
        <f t="shared" si="68"/>
        <v>31.539000000000005</v>
      </c>
      <c r="S135" s="2">
        <f>AVERAGE(S129:S134)</f>
        <v>75.37</v>
      </c>
      <c r="T135" s="2">
        <f t="shared" ref="T135:AH135" si="69">AVERAGE(T129:T134)</f>
        <v>69.538333333333341</v>
      </c>
      <c r="U135" s="2">
        <f t="shared" si="69"/>
        <v>73.006666666666675</v>
      </c>
      <c r="V135" s="2">
        <f t="shared" si="69"/>
        <v>70.11333333333333</v>
      </c>
      <c r="W135" s="2">
        <f t="shared" si="69"/>
        <v>71.23</v>
      </c>
      <c r="X135" s="2">
        <f t="shared" si="69"/>
        <v>74.036666666666662</v>
      </c>
      <c r="Y135" s="2">
        <f t="shared" si="69"/>
        <v>72.543333333333337</v>
      </c>
      <c r="Z135" s="2">
        <f t="shared" si="69"/>
        <v>65.635000000000005</v>
      </c>
      <c r="AA135" s="2">
        <f t="shared" si="69"/>
        <v>66.87</v>
      </c>
      <c r="AB135" s="2">
        <f t="shared" si="69"/>
        <v>74.071666666666673</v>
      </c>
      <c r="AC135" s="2">
        <f t="shared" si="69"/>
        <v>73.006666666666675</v>
      </c>
      <c r="AD135" s="2">
        <f t="shared" si="69"/>
        <v>60.731666666666662</v>
      </c>
      <c r="AE135" s="2">
        <f t="shared" si="69"/>
        <v>66.869166666666672</v>
      </c>
      <c r="AF135" s="2">
        <f t="shared" si="69"/>
        <v>12.278333333333336</v>
      </c>
      <c r="AG135" s="2">
        <f t="shared" si="69"/>
        <v>66.87</v>
      </c>
      <c r="AH135" s="2">
        <f t="shared" si="69"/>
        <v>33.721666666666671</v>
      </c>
    </row>
    <row r="136" spans="1:34" x14ac:dyDescent="0.25">
      <c r="A136" s="1" t="s">
        <v>98</v>
      </c>
      <c r="B136">
        <v>86.96</v>
      </c>
      <c r="C136">
        <v>79.010000000000005</v>
      </c>
      <c r="D136">
        <v>75.92</v>
      </c>
      <c r="E136">
        <v>77.03</v>
      </c>
      <c r="F136">
        <v>80.17</v>
      </c>
      <c r="G136">
        <v>76.23</v>
      </c>
      <c r="H136">
        <v>78.150000000000006</v>
      </c>
      <c r="I136">
        <v>64.73</v>
      </c>
      <c r="J136">
        <v>66.94</v>
      </c>
      <c r="K136">
        <v>74.89</v>
      </c>
      <c r="L136">
        <v>75.92</v>
      </c>
      <c r="M136">
        <v>57.96</v>
      </c>
      <c r="N136">
        <f>(L136+M136)/2</f>
        <v>66.94</v>
      </c>
      <c r="O136">
        <v>17.95</v>
      </c>
      <c r="P136">
        <v>66.94</v>
      </c>
      <c r="Q136">
        <v>31.15</v>
      </c>
    </row>
    <row r="137" spans="1:34" x14ac:dyDescent="0.25">
      <c r="B137">
        <v>86.63</v>
      </c>
      <c r="C137">
        <v>80.040000000000006</v>
      </c>
      <c r="D137">
        <v>84.13</v>
      </c>
      <c r="E137">
        <v>81.64</v>
      </c>
      <c r="F137">
        <v>81.25</v>
      </c>
      <c r="G137">
        <v>85.25</v>
      </c>
      <c r="H137">
        <v>83.2</v>
      </c>
      <c r="I137">
        <v>67.180000000000007</v>
      </c>
      <c r="J137">
        <v>68.77</v>
      </c>
      <c r="K137">
        <v>77.73</v>
      </c>
      <c r="L137">
        <v>84.13</v>
      </c>
      <c r="M137">
        <v>53.42</v>
      </c>
      <c r="N137">
        <f t="shared" ref="N137:N145" si="70">(L137+M137)/2</f>
        <v>68.775000000000006</v>
      </c>
      <c r="O137">
        <v>30.71</v>
      </c>
      <c r="P137">
        <v>68.77</v>
      </c>
      <c r="Q137">
        <v>36.85</v>
      </c>
    </row>
    <row r="138" spans="1:34" x14ac:dyDescent="0.25">
      <c r="B138">
        <v>69.75</v>
      </c>
      <c r="C138">
        <v>72.39</v>
      </c>
      <c r="D138">
        <v>67.27</v>
      </c>
      <c r="E138">
        <v>68.400000000000006</v>
      </c>
      <c r="F138">
        <v>77.930000000000007</v>
      </c>
      <c r="G138">
        <v>71.97</v>
      </c>
      <c r="H138">
        <v>74.83</v>
      </c>
      <c r="I138">
        <v>68.5</v>
      </c>
      <c r="J138">
        <v>69.27</v>
      </c>
      <c r="K138">
        <v>73.56</v>
      </c>
      <c r="L138">
        <v>67.27</v>
      </c>
      <c r="M138">
        <v>71.28</v>
      </c>
      <c r="N138">
        <f t="shared" si="70"/>
        <v>69.275000000000006</v>
      </c>
      <c r="O138">
        <v>4.01</v>
      </c>
      <c r="P138">
        <v>69.27</v>
      </c>
      <c r="Q138">
        <v>40.26</v>
      </c>
    </row>
    <row r="139" spans="1:34" x14ac:dyDescent="0.25">
      <c r="B139">
        <v>86.06</v>
      </c>
      <c r="C139">
        <v>80.209999999999994</v>
      </c>
      <c r="D139">
        <v>70.400000000000006</v>
      </c>
      <c r="E139">
        <v>72.290000000000006</v>
      </c>
      <c r="F139">
        <v>79.05</v>
      </c>
      <c r="G139">
        <v>68.03</v>
      </c>
      <c r="H139">
        <v>73.13</v>
      </c>
      <c r="I139">
        <v>62.47</v>
      </c>
      <c r="J139">
        <v>68.12</v>
      </c>
      <c r="K139">
        <v>76.959999999999994</v>
      </c>
      <c r="L139">
        <v>70.400000000000006</v>
      </c>
      <c r="M139">
        <v>65.83</v>
      </c>
      <c r="N139">
        <f t="shared" si="70"/>
        <v>68.115000000000009</v>
      </c>
      <c r="O139">
        <v>4.57</v>
      </c>
      <c r="P139">
        <v>68.12</v>
      </c>
      <c r="Q139">
        <v>33.32</v>
      </c>
    </row>
    <row r="140" spans="1:34" x14ac:dyDescent="0.25">
      <c r="B140">
        <v>67.69</v>
      </c>
      <c r="C140">
        <v>66.52</v>
      </c>
      <c r="D140">
        <v>65.34</v>
      </c>
      <c r="E140">
        <v>61.86</v>
      </c>
      <c r="F140">
        <v>68.709999999999994</v>
      </c>
      <c r="G140">
        <v>64.33</v>
      </c>
      <c r="H140">
        <v>66.45</v>
      </c>
      <c r="I140">
        <v>59.5</v>
      </c>
      <c r="J140">
        <v>65.53</v>
      </c>
      <c r="K140">
        <v>72.599999999999994</v>
      </c>
      <c r="L140">
        <v>65.34</v>
      </c>
      <c r="M140">
        <v>65.73</v>
      </c>
      <c r="N140">
        <f t="shared" si="70"/>
        <v>65.534999999999997</v>
      </c>
      <c r="O140">
        <v>0.39</v>
      </c>
      <c r="P140">
        <v>65.53</v>
      </c>
      <c r="Q140">
        <v>26.98</v>
      </c>
      <c r="S140">
        <v>80.45</v>
      </c>
      <c r="T140">
        <v>74.930000000000007</v>
      </c>
      <c r="U140">
        <v>76.760000000000005</v>
      </c>
      <c r="V140">
        <v>75.459999999999994</v>
      </c>
      <c r="W140">
        <v>76.650000000000006</v>
      </c>
      <c r="X140">
        <v>78.73</v>
      </c>
      <c r="Y140">
        <v>77.680000000000007</v>
      </c>
      <c r="Z140">
        <v>68.36</v>
      </c>
      <c r="AA140">
        <v>68.42</v>
      </c>
      <c r="AB140">
        <v>75.84</v>
      </c>
      <c r="AC140">
        <v>76.760000000000005</v>
      </c>
      <c r="AD140">
        <v>60.08</v>
      </c>
      <c r="AE140">
        <f t="shared" ref="AE140:AE145" si="71">(AC140+AD140)/2</f>
        <v>68.42</v>
      </c>
      <c r="AF140">
        <v>16.670000000000002</v>
      </c>
      <c r="AG140">
        <v>68.42</v>
      </c>
      <c r="AH140">
        <v>39.61</v>
      </c>
    </row>
    <row r="141" spans="1:34" x14ac:dyDescent="0.25">
      <c r="B141">
        <v>59.24</v>
      </c>
      <c r="C141">
        <v>51.1</v>
      </c>
      <c r="D141">
        <v>53.73</v>
      </c>
      <c r="E141">
        <v>62.9</v>
      </c>
      <c r="F141">
        <v>59.38</v>
      </c>
      <c r="G141">
        <v>62.3</v>
      </c>
      <c r="H141">
        <v>60.8</v>
      </c>
      <c r="I141">
        <v>54.75</v>
      </c>
      <c r="J141">
        <v>55.32</v>
      </c>
      <c r="K141">
        <v>61.17</v>
      </c>
      <c r="L141">
        <v>53.73</v>
      </c>
      <c r="M141">
        <v>56.91</v>
      </c>
      <c r="N141">
        <f t="shared" si="70"/>
        <v>55.319999999999993</v>
      </c>
      <c r="O141">
        <v>3.17</v>
      </c>
      <c r="P141">
        <v>55.32</v>
      </c>
      <c r="Q141">
        <v>11.12</v>
      </c>
      <c r="S141">
        <v>76.25</v>
      </c>
      <c r="T141">
        <v>74.23</v>
      </c>
      <c r="U141">
        <v>79.430000000000007</v>
      </c>
      <c r="V141">
        <v>76.459999999999994</v>
      </c>
      <c r="W141">
        <v>75.73</v>
      </c>
      <c r="X141">
        <v>81.900000000000006</v>
      </c>
      <c r="Y141">
        <v>78.7</v>
      </c>
      <c r="Z141">
        <v>66.63</v>
      </c>
      <c r="AA141">
        <v>66.5</v>
      </c>
      <c r="AB141">
        <v>72.08</v>
      </c>
      <c r="AC141">
        <v>79.430000000000007</v>
      </c>
      <c r="AD141">
        <v>53.57</v>
      </c>
      <c r="AE141">
        <f t="shared" si="71"/>
        <v>66.5</v>
      </c>
      <c r="AF141">
        <v>25.86</v>
      </c>
      <c r="AG141">
        <v>66.5</v>
      </c>
      <c r="AH141">
        <v>36.369999999999997</v>
      </c>
    </row>
    <row r="142" spans="1:34" x14ac:dyDescent="0.25">
      <c r="B142">
        <v>87.98</v>
      </c>
      <c r="C142">
        <v>79.25</v>
      </c>
      <c r="D142">
        <v>84.02</v>
      </c>
      <c r="E142">
        <v>79.86</v>
      </c>
      <c r="F142">
        <v>78.739999999999995</v>
      </c>
      <c r="G142">
        <v>81.97</v>
      </c>
      <c r="H142">
        <v>80.319999999999993</v>
      </c>
      <c r="I142">
        <v>67.08</v>
      </c>
      <c r="J142">
        <v>70.739999999999995</v>
      </c>
      <c r="K142">
        <v>79.81</v>
      </c>
      <c r="L142">
        <v>84.02</v>
      </c>
      <c r="M142">
        <v>57.46</v>
      </c>
      <c r="N142">
        <f t="shared" si="70"/>
        <v>70.739999999999995</v>
      </c>
      <c r="O142">
        <v>26.56</v>
      </c>
      <c r="P142">
        <v>70.739999999999995</v>
      </c>
      <c r="Q142">
        <v>39.86</v>
      </c>
      <c r="S142">
        <v>72.099999999999994</v>
      </c>
      <c r="T142">
        <v>67.069999999999993</v>
      </c>
      <c r="U142">
        <v>73.599999999999994</v>
      </c>
      <c r="V142">
        <v>69.510000000000005</v>
      </c>
      <c r="W142">
        <v>69.88</v>
      </c>
      <c r="X142">
        <v>75.819999999999993</v>
      </c>
      <c r="Y142">
        <v>72.73</v>
      </c>
      <c r="Z142">
        <v>66.819999999999993</v>
      </c>
      <c r="AA142">
        <v>67.83</v>
      </c>
      <c r="AB142">
        <v>75.430000000000007</v>
      </c>
      <c r="AC142">
        <v>73.599999999999994</v>
      </c>
      <c r="AD142">
        <v>62.06</v>
      </c>
      <c r="AE142">
        <f t="shared" si="71"/>
        <v>67.83</v>
      </c>
      <c r="AF142">
        <v>11.54</v>
      </c>
      <c r="AG142">
        <v>67.83</v>
      </c>
      <c r="AH142">
        <v>35.72</v>
      </c>
    </row>
    <row r="143" spans="1:34" x14ac:dyDescent="0.25">
      <c r="B143">
        <v>68.739999999999995</v>
      </c>
      <c r="C143">
        <v>64.22</v>
      </c>
      <c r="D143">
        <v>68.650000000000006</v>
      </c>
      <c r="E143">
        <v>61.17</v>
      </c>
      <c r="F143">
        <v>64.069999999999993</v>
      </c>
      <c r="G143">
        <v>68.150000000000006</v>
      </c>
      <c r="H143">
        <v>66.05</v>
      </c>
      <c r="I143">
        <v>56.12</v>
      </c>
      <c r="J143">
        <v>62.22</v>
      </c>
      <c r="K143">
        <v>69.58</v>
      </c>
      <c r="L143">
        <v>68.650000000000006</v>
      </c>
      <c r="M143">
        <v>55.79</v>
      </c>
      <c r="N143">
        <f t="shared" si="70"/>
        <v>62.22</v>
      </c>
      <c r="O143">
        <v>12.85</v>
      </c>
      <c r="P143">
        <v>62.22</v>
      </c>
      <c r="Q143">
        <v>21.9</v>
      </c>
      <c r="S143">
        <v>83.43</v>
      </c>
      <c r="T143">
        <v>75.510000000000005</v>
      </c>
      <c r="U143">
        <v>84.11</v>
      </c>
      <c r="V143">
        <v>78.849999999999994</v>
      </c>
      <c r="W143">
        <v>76.11</v>
      </c>
      <c r="X143">
        <v>85.07</v>
      </c>
      <c r="Y143">
        <v>80.34</v>
      </c>
      <c r="Z143">
        <v>70.97</v>
      </c>
      <c r="AA143">
        <v>71.430000000000007</v>
      </c>
      <c r="AB143">
        <v>81.02</v>
      </c>
      <c r="AC143">
        <v>84.11</v>
      </c>
      <c r="AD143">
        <v>58.76</v>
      </c>
      <c r="AE143">
        <f t="shared" si="71"/>
        <v>71.435000000000002</v>
      </c>
      <c r="AF143">
        <v>25.35</v>
      </c>
      <c r="AG143">
        <v>71.430000000000007</v>
      </c>
      <c r="AH143">
        <v>45.5</v>
      </c>
    </row>
    <row r="144" spans="1:34" x14ac:dyDescent="0.25">
      <c r="B144">
        <v>62.68</v>
      </c>
      <c r="C144">
        <v>61.77</v>
      </c>
      <c r="D144">
        <v>64.3</v>
      </c>
      <c r="E144">
        <v>73.39</v>
      </c>
      <c r="F144">
        <v>67.16</v>
      </c>
      <c r="G144">
        <v>73.77</v>
      </c>
      <c r="H144">
        <v>70.31</v>
      </c>
      <c r="I144">
        <v>63.5</v>
      </c>
      <c r="J144">
        <v>63.04</v>
      </c>
      <c r="K144">
        <v>64.42</v>
      </c>
      <c r="L144">
        <v>64.3</v>
      </c>
      <c r="M144">
        <v>61.79</v>
      </c>
      <c r="N144">
        <f t="shared" si="70"/>
        <v>63.045000000000002</v>
      </c>
      <c r="O144">
        <v>2.5099999999999998</v>
      </c>
      <c r="P144">
        <v>63.04</v>
      </c>
      <c r="Q144">
        <v>28.69</v>
      </c>
      <c r="S144">
        <v>74.13</v>
      </c>
      <c r="T144">
        <v>67.63</v>
      </c>
      <c r="U144">
        <v>76.010000000000005</v>
      </c>
      <c r="V144">
        <v>70.12</v>
      </c>
      <c r="W144">
        <v>68.180000000000007</v>
      </c>
      <c r="X144">
        <v>78.430000000000007</v>
      </c>
      <c r="Y144">
        <v>72.95</v>
      </c>
      <c r="Z144">
        <v>67.87</v>
      </c>
      <c r="AA144">
        <v>69.03</v>
      </c>
      <c r="AB144">
        <v>79.11</v>
      </c>
      <c r="AC144">
        <v>76.010000000000005</v>
      </c>
      <c r="AD144">
        <v>62.05</v>
      </c>
      <c r="AE144">
        <f t="shared" si="71"/>
        <v>69.03</v>
      </c>
      <c r="AF144">
        <v>13.96</v>
      </c>
      <c r="AG144">
        <v>69.03</v>
      </c>
      <c r="AH144">
        <v>39.119999999999997</v>
      </c>
    </row>
    <row r="145" spans="2:34" x14ac:dyDescent="0.25">
      <c r="B145">
        <v>70.099999999999994</v>
      </c>
      <c r="C145">
        <v>60.53</v>
      </c>
      <c r="D145">
        <v>74.13</v>
      </c>
      <c r="E145">
        <v>65.540000000000006</v>
      </c>
      <c r="F145">
        <v>63.04</v>
      </c>
      <c r="G145">
        <v>75.489999999999995</v>
      </c>
      <c r="H145">
        <v>68.709999999999994</v>
      </c>
      <c r="I145">
        <v>62.7</v>
      </c>
      <c r="J145">
        <v>64.59</v>
      </c>
      <c r="K145">
        <v>72.430000000000007</v>
      </c>
      <c r="L145">
        <v>74.13</v>
      </c>
      <c r="M145">
        <v>55.06</v>
      </c>
      <c r="N145">
        <f t="shared" si="70"/>
        <v>64.594999999999999</v>
      </c>
      <c r="O145">
        <v>19.07</v>
      </c>
      <c r="P145">
        <v>64.59</v>
      </c>
      <c r="Q145">
        <v>28.86</v>
      </c>
      <c r="S145">
        <v>75.739999999999995</v>
      </c>
      <c r="T145">
        <v>65.25</v>
      </c>
      <c r="U145">
        <v>71.62</v>
      </c>
      <c r="V145">
        <v>66.92</v>
      </c>
      <c r="W145">
        <v>69.23</v>
      </c>
      <c r="X145">
        <v>73.64</v>
      </c>
      <c r="Y145">
        <v>71.37</v>
      </c>
      <c r="Z145">
        <v>66.28</v>
      </c>
      <c r="AA145">
        <v>67.739999999999995</v>
      </c>
      <c r="AB145">
        <v>76.12</v>
      </c>
      <c r="AC145">
        <v>71.62</v>
      </c>
      <c r="AD145">
        <v>63.85</v>
      </c>
      <c r="AE145">
        <f t="shared" si="71"/>
        <v>67.734999999999999</v>
      </c>
      <c r="AF145">
        <v>7.77</v>
      </c>
      <c r="AG145">
        <v>67.739999999999995</v>
      </c>
      <c r="AH145">
        <v>34.65</v>
      </c>
    </row>
    <row r="146" spans="2:34" x14ac:dyDescent="0.25">
      <c r="B146" s="2">
        <f>AVERAGE(B136:B145)</f>
        <v>74.582999999999998</v>
      </c>
      <c r="C146" s="2">
        <f t="shared" ref="C146:Q146" si="72">AVERAGE(C136:C145)</f>
        <v>69.503999999999991</v>
      </c>
      <c r="D146" s="2">
        <f t="shared" si="72"/>
        <v>70.789000000000001</v>
      </c>
      <c r="E146" s="2">
        <f t="shared" si="72"/>
        <v>70.407999999999987</v>
      </c>
      <c r="F146" s="2">
        <f t="shared" si="72"/>
        <v>71.949999999999989</v>
      </c>
      <c r="G146" s="2">
        <f t="shared" si="72"/>
        <v>72.748999999999995</v>
      </c>
      <c r="H146" s="2">
        <f t="shared" si="72"/>
        <v>72.195000000000007</v>
      </c>
      <c r="I146" s="2">
        <f t="shared" si="72"/>
        <v>62.652999999999999</v>
      </c>
      <c r="J146" s="2">
        <f t="shared" si="72"/>
        <v>65.453999999999994</v>
      </c>
      <c r="K146" s="2">
        <f t="shared" si="72"/>
        <v>72.315000000000012</v>
      </c>
      <c r="L146" s="2">
        <f t="shared" si="72"/>
        <v>70.789000000000001</v>
      </c>
      <c r="M146" s="2">
        <f t="shared" si="72"/>
        <v>60.123000000000005</v>
      </c>
      <c r="N146" s="2">
        <f t="shared" si="72"/>
        <v>65.455999999999989</v>
      </c>
      <c r="O146" s="2">
        <f t="shared" si="72"/>
        <v>12.178999999999998</v>
      </c>
      <c r="P146" s="2">
        <f t="shared" si="72"/>
        <v>65.453999999999994</v>
      </c>
      <c r="Q146" s="2">
        <f t="shared" si="72"/>
        <v>29.899000000000001</v>
      </c>
      <c r="S146" s="2">
        <f>AVERAGE(S140:S145)</f>
        <v>77.016666666666666</v>
      </c>
      <c r="T146" s="2">
        <f t="shared" ref="T146:AH146" si="73">AVERAGE(T140:T145)</f>
        <v>70.77</v>
      </c>
      <c r="U146" s="2">
        <f t="shared" si="73"/>
        <v>76.921666666666667</v>
      </c>
      <c r="V146" s="2">
        <f t="shared" si="73"/>
        <v>72.88666666666667</v>
      </c>
      <c r="W146" s="2">
        <f t="shared" si="73"/>
        <v>72.63000000000001</v>
      </c>
      <c r="X146" s="2">
        <f t="shared" si="73"/>
        <v>78.931666666666658</v>
      </c>
      <c r="Y146" s="2">
        <f t="shared" si="73"/>
        <v>75.628333333333345</v>
      </c>
      <c r="Z146" s="2">
        <f t="shared" si="73"/>
        <v>67.821666666666658</v>
      </c>
      <c r="AA146" s="2">
        <f t="shared" si="73"/>
        <v>68.491666666666674</v>
      </c>
      <c r="AB146" s="2">
        <f t="shared" si="73"/>
        <v>76.600000000000009</v>
      </c>
      <c r="AC146" s="2">
        <f t="shared" si="73"/>
        <v>76.921666666666667</v>
      </c>
      <c r="AD146" s="2">
        <f t="shared" si="73"/>
        <v>60.061666666666667</v>
      </c>
      <c r="AE146" s="2">
        <f t="shared" si="73"/>
        <v>68.491666666666674</v>
      </c>
      <c r="AF146" s="2">
        <f t="shared" si="73"/>
        <v>16.858333333333331</v>
      </c>
      <c r="AG146" s="2">
        <f t="shared" si="73"/>
        <v>68.491666666666674</v>
      </c>
      <c r="AH146" s="2">
        <f t="shared" si="73"/>
        <v>38.494999999999997</v>
      </c>
    </row>
    <row r="148" spans="2:34" x14ac:dyDescent="0.25">
      <c r="B148" s="2">
        <f>AVERAGE(B124,B135,B146)</f>
        <v>74.521000000000001</v>
      </c>
      <c r="C148" s="2">
        <f t="shared" ref="C148:Q148" si="74">AVERAGE(C124,C135,C146)</f>
        <v>70.445333333333323</v>
      </c>
      <c r="D148" s="2">
        <f t="shared" si="74"/>
        <v>70.534999999999982</v>
      </c>
      <c r="E148" s="2">
        <f t="shared" si="74"/>
        <v>70.251333333333335</v>
      </c>
      <c r="F148" s="2">
        <f t="shared" si="74"/>
        <v>73.173666666666662</v>
      </c>
      <c r="G148" s="2">
        <f t="shared" si="74"/>
        <v>72.784999999999997</v>
      </c>
      <c r="H148" s="2">
        <f t="shared" si="74"/>
        <v>72.856333333333339</v>
      </c>
      <c r="I148" s="2">
        <f t="shared" si="74"/>
        <v>63.606333333333332</v>
      </c>
      <c r="J148" s="2">
        <f t="shared" si="74"/>
        <v>66.035666666666671</v>
      </c>
      <c r="K148" s="2">
        <f t="shared" si="74"/>
        <v>73.081999999999994</v>
      </c>
      <c r="L148" s="2">
        <f t="shared" si="74"/>
        <v>70.534999999999982</v>
      </c>
      <c r="M148" s="2">
        <f t="shared" si="74"/>
        <v>61.538666666666671</v>
      </c>
      <c r="N148" s="2">
        <f t="shared" si="74"/>
        <v>66.036833333333334</v>
      </c>
      <c r="O148" s="2">
        <f t="shared" si="74"/>
        <v>11.419333333333332</v>
      </c>
      <c r="P148" s="2">
        <f t="shared" si="74"/>
        <v>66.035666666666671</v>
      </c>
      <c r="Q148" s="2">
        <f t="shared" si="74"/>
        <v>30.941000000000003</v>
      </c>
      <c r="S148" s="2">
        <f t="shared" ref="S148:AH148" si="75">AVERAGE(S124,S135,S146)</f>
        <v>76.368333333333339</v>
      </c>
      <c r="T148" s="2">
        <f t="shared" si="75"/>
        <v>70.106666666666669</v>
      </c>
      <c r="U148" s="2">
        <f t="shared" si="75"/>
        <v>76.040000000000006</v>
      </c>
      <c r="V148" s="2">
        <f t="shared" si="75"/>
        <v>72.006666666666661</v>
      </c>
      <c r="W148" s="2">
        <f t="shared" si="75"/>
        <v>71.849444444444444</v>
      </c>
      <c r="X148" s="2">
        <f t="shared" si="75"/>
        <v>77.435000000000002</v>
      </c>
      <c r="Y148" s="2">
        <f t="shared" si="75"/>
        <v>74.485000000000014</v>
      </c>
      <c r="Z148" s="2">
        <f t="shared" si="75"/>
        <v>66.887777777777771</v>
      </c>
      <c r="AA148" s="2">
        <f t="shared" si="75"/>
        <v>67.929444444444457</v>
      </c>
      <c r="AB148" s="2">
        <f t="shared" si="75"/>
        <v>75.491111111111124</v>
      </c>
      <c r="AC148" s="2">
        <f t="shared" si="75"/>
        <v>76.040000000000006</v>
      </c>
      <c r="AD148" s="2">
        <f t="shared" si="75"/>
        <v>59.818333333333328</v>
      </c>
      <c r="AE148" s="2">
        <f t="shared" si="75"/>
        <v>67.929166666666674</v>
      </c>
      <c r="AF148" s="2">
        <f t="shared" si="75"/>
        <v>16.222222222222225</v>
      </c>
      <c r="AG148" s="2">
        <f t="shared" si="75"/>
        <v>67.929444444444457</v>
      </c>
      <c r="AH148" s="2">
        <f t="shared" si="75"/>
        <v>36.493888888888897</v>
      </c>
    </row>
    <row r="149" spans="2:34" x14ac:dyDescent="0.25">
      <c r="B149" s="2">
        <f>_xlfn.STDEV.S(B124,B135,B146)</f>
        <v>0.29099656355359421</v>
      </c>
      <c r="C149" s="2">
        <f t="shared" ref="C149:Q149" si="76">_xlfn.STDEV.S(C124,C135,C146)</f>
        <v>1.1179473750286013</v>
      </c>
      <c r="D149" s="2">
        <f t="shared" si="76"/>
        <v>1.2554214431815296</v>
      </c>
      <c r="E149" s="2">
        <f t="shared" si="76"/>
        <v>0.16620569585104172</v>
      </c>
      <c r="F149" s="2">
        <f t="shared" si="76"/>
        <v>1.4642849221833028</v>
      </c>
      <c r="G149" s="2">
        <f t="shared" si="76"/>
        <v>1.0984425337722488</v>
      </c>
      <c r="H149" s="2">
        <f t="shared" si="76"/>
        <v>0.57723940729417222</v>
      </c>
      <c r="I149" s="2">
        <f t="shared" si="76"/>
        <v>0.84458115852375615</v>
      </c>
      <c r="J149" s="2">
        <f t="shared" si="76"/>
        <v>0.50424035274196255</v>
      </c>
      <c r="K149" s="2">
        <f t="shared" si="76"/>
        <v>0.73708683341923065</v>
      </c>
      <c r="L149" s="2">
        <f t="shared" si="76"/>
        <v>1.2554214431815296</v>
      </c>
      <c r="M149" s="2">
        <f t="shared" si="76"/>
        <v>1.7096070698652739</v>
      </c>
      <c r="N149" s="2">
        <f t="shared" si="76"/>
        <v>0.50350827533749987</v>
      </c>
      <c r="O149" s="2">
        <f t="shared" si="76"/>
        <v>1.5945458078504229</v>
      </c>
      <c r="P149" s="2">
        <f t="shared" si="76"/>
        <v>0.50424035274196255</v>
      </c>
      <c r="Q149" s="2">
        <f t="shared" si="76"/>
        <v>0.9056776468479294</v>
      </c>
      <c r="S149" s="2">
        <f t="shared" ref="S149:AH149" si="77">_xlfn.STDEV.S(S124,S135,S146)</f>
        <v>0.8773555594955661</v>
      </c>
      <c r="T149" s="2">
        <f t="shared" si="77"/>
        <v>0.62130463095363853</v>
      </c>
      <c r="U149" s="2">
        <f t="shared" si="77"/>
        <v>2.7026021411471763</v>
      </c>
      <c r="V149" s="2">
        <f t="shared" si="77"/>
        <v>1.6410294871749818</v>
      </c>
      <c r="W149" s="2">
        <f t="shared" si="77"/>
        <v>0.71376998577454753</v>
      </c>
      <c r="X149" s="2">
        <f t="shared" si="77"/>
        <v>2.9500014124290383</v>
      </c>
      <c r="Y149" s="2">
        <f t="shared" si="77"/>
        <v>1.690357457265578</v>
      </c>
      <c r="Z149" s="2">
        <f t="shared" si="77"/>
        <v>1.1276725457198802</v>
      </c>
      <c r="AA149" s="2">
        <f t="shared" si="77"/>
        <v>0.91808123178079692</v>
      </c>
      <c r="AB149" s="2">
        <f t="shared" si="77"/>
        <v>1.2924592550351173</v>
      </c>
      <c r="AC149" s="2">
        <f t="shared" si="77"/>
        <v>2.7026021411471763</v>
      </c>
      <c r="AD149" s="2">
        <f t="shared" si="77"/>
        <v>1.0562354535487468</v>
      </c>
      <c r="AE149" s="2">
        <f t="shared" si="77"/>
        <v>0.91856205560647697</v>
      </c>
      <c r="AF149" s="2">
        <f t="shared" si="77"/>
        <v>3.6674439832627721</v>
      </c>
      <c r="AG149" s="2">
        <f t="shared" si="77"/>
        <v>0.91808123178079692</v>
      </c>
      <c r="AH149" s="2">
        <f t="shared" si="77"/>
        <v>2.4783335201374777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CC15C-157B-4536-B447-A6CFEEA133F8}">
  <dimension ref="A1:AI89"/>
  <sheetViews>
    <sheetView topLeftCell="G34" zoomScale="55" zoomScaleNormal="55" workbookViewId="0">
      <selection activeCell="S53" sqref="S53"/>
    </sheetView>
  </sheetViews>
  <sheetFormatPr defaultRowHeight="14.4" x14ac:dyDescent="0.25"/>
  <cols>
    <col min="1" max="1" width="19.33203125" bestFit="1" customWidth="1"/>
    <col min="19" max="19" width="22.77734375" bestFit="1" customWidth="1"/>
  </cols>
  <sheetData>
    <row r="1" spans="1:35" x14ac:dyDescent="0.25">
      <c r="A1" s="1" t="s">
        <v>93</v>
      </c>
      <c r="B1">
        <v>73.108000000000004</v>
      </c>
      <c r="C1">
        <v>71.265000000000001</v>
      </c>
      <c r="D1">
        <v>62.886000000000003</v>
      </c>
      <c r="E1">
        <v>66.950999999999993</v>
      </c>
      <c r="F1">
        <v>73.99199999999999</v>
      </c>
      <c r="G1">
        <v>64.027000000000001</v>
      </c>
      <c r="H1">
        <v>68.103999999999999</v>
      </c>
      <c r="I1">
        <v>61.64</v>
      </c>
      <c r="J1">
        <v>65.799000000000007</v>
      </c>
      <c r="K1">
        <v>70.912999999999997</v>
      </c>
      <c r="L1">
        <v>62.886000000000003</v>
      </c>
      <c r="M1">
        <v>68.712000000000003</v>
      </c>
      <c r="N1">
        <v>65.799000000000007</v>
      </c>
      <c r="O1">
        <v>13.147000000000002</v>
      </c>
      <c r="P1">
        <v>65.799000000000007</v>
      </c>
      <c r="Q1">
        <v>29.175999999999998</v>
      </c>
      <c r="S1" s="1" t="s">
        <v>93</v>
      </c>
      <c r="T1">
        <v>72.778333333333322</v>
      </c>
      <c r="U1">
        <v>70.688333333333333</v>
      </c>
      <c r="V1">
        <v>54.951666666666675</v>
      </c>
      <c r="W1">
        <v>60.098333333333329</v>
      </c>
      <c r="X1">
        <v>71.680000000000007</v>
      </c>
      <c r="Y1">
        <v>55.615000000000002</v>
      </c>
      <c r="Z1">
        <v>62.16</v>
      </c>
      <c r="AA1">
        <v>60.096666666666664</v>
      </c>
      <c r="AB1">
        <v>63.148333333333333</v>
      </c>
      <c r="AC1">
        <v>70.003333333333345</v>
      </c>
      <c r="AD1">
        <v>54.951666666666675</v>
      </c>
      <c r="AE1">
        <v>71.343333333333334</v>
      </c>
      <c r="AF1">
        <v>63.147500000000001</v>
      </c>
      <c r="AG1">
        <v>23.23833333333333</v>
      </c>
      <c r="AH1">
        <v>63.148333333333333</v>
      </c>
      <c r="AI1">
        <v>25.899999999999995</v>
      </c>
    </row>
    <row r="2" spans="1:35" x14ac:dyDescent="0.25">
      <c r="B2">
        <v>73.36</v>
      </c>
      <c r="C2">
        <v>71.088999999999984</v>
      </c>
      <c r="D2">
        <v>56.864999999999995</v>
      </c>
      <c r="E2">
        <v>65.000999999999991</v>
      </c>
      <c r="F2">
        <v>75.108000000000018</v>
      </c>
      <c r="G2">
        <v>58.883000000000003</v>
      </c>
      <c r="H2">
        <v>65.711999999999989</v>
      </c>
      <c r="I2">
        <v>59.431000000000004</v>
      </c>
      <c r="J2">
        <v>63.063999999999986</v>
      </c>
      <c r="K2">
        <v>70.968999999999994</v>
      </c>
      <c r="L2">
        <v>56.864999999999995</v>
      </c>
      <c r="M2">
        <v>69.265000000000015</v>
      </c>
      <c r="N2">
        <v>63.064999999999998</v>
      </c>
      <c r="O2">
        <v>17.332000000000001</v>
      </c>
      <c r="P2">
        <v>63.063999999999986</v>
      </c>
      <c r="Q2">
        <v>24.319000000000003</v>
      </c>
      <c r="T2">
        <v>77.48</v>
      </c>
      <c r="U2">
        <v>72.281666666666666</v>
      </c>
      <c r="V2">
        <v>72.171666666666667</v>
      </c>
      <c r="W2">
        <v>70.808333333333323</v>
      </c>
      <c r="X2">
        <v>73.683333333333323</v>
      </c>
      <c r="Y2">
        <v>74.22</v>
      </c>
      <c r="Z2">
        <v>73.881666666666675</v>
      </c>
      <c r="AA2">
        <v>66.823333333333323</v>
      </c>
      <c r="AB2">
        <v>67.841666666666683</v>
      </c>
      <c r="AC2">
        <v>76.271666666666661</v>
      </c>
      <c r="AD2">
        <v>72.171666666666667</v>
      </c>
      <c r="AE2">
        <v>63.513333333333343</v>
      </c>
      <c r="AF2">
        <v>67.842500000000015</v>
      </c>
      <c r="AG2">
        <v>10.426666666666668</v>
      </c>
      <c r="AH2">
        <v>67.841666666666683</v>
      </c>
      <c r="AI2">
        <v>36.806666666666665</v>
      </c>
    </row>
    <row r="3" spans="1:35" x14ac:dyDescent="0.25">
      <c r="B3">
        <v>73.257999999999996</v>
      </c>
      <c r="C3">
        <v>71.645999999999987</v>
      </c>
      <c r="D3">
        <v>56.01700000000001</v>
      </c>
      <c r="E3">
        <v>62.206999999999994</v>
      </c>
      <c r="F3">
        <v>74.331000000000003</v>
      </c>
      <c r="G3">
        <v>57.277999999999999</v>
      </c>
      <c r="H3">
        <v>64.381999999999991</v>
      </c>
      <c r="I3">
        <v>58.927</v>
      </c>
      <c r="J3">
        <v>62.806000000000019</v>
      </c>
      <c r="K3">
        <v>69.012000000000015</v>
      </c>
      <c r="L3">
        <v>56.01700000000001</v>
      </c>
      <c r="M3">
        <v>69.597999999999999</v>
      </c>
      <c r="N3">
        <v>62.807500000000005</v>
      </c>
      <c r="O3">
        <v>19.294</v>
      </c>
      <c r="P3">
        <v>62.806000000000019</v>
      </c>
      <c r="Q3">
        <v>24.294</v>
      </c>
      <c r="T3">
        <v>73.628333333333345</v>
      </c>
      <c r="U3">
        <v>69.073333333333323</v>
      </c>
      <c r="V3">
        <v>66.25333333333333</v>
      </c>
      <c r="W3">
        <v>65.908333333333317</v>
      </c>
      <c r="X3">
        <v>69.105000000000004</v>
      </c>
      <c r="Y3">
        <v>66.589999999999989</v>
      </c>
      <c r="Z3">
        <v>67.75</v>
      </c>
      <c r="AA3">
        <v>62.055000000000007</v>
      </c>
      <c r="AB3">
        <v>64.89</v>
      </c>
      <c r="AC3">
        <v>72.234999999999999</v>
      </c>
      <c r="AD3">
        <v>66.25333333333333</v>
      </c>
      <c r="AE3">
        <v>63.528333333333329</v>
      </c>
      <c r="AF3">
        <v>64.890833333333319</v>
      </c>
      <c r="AG3">
        <v>9.0166666666666675</v>
      </c>
      <c r="AH3">
        <v>64.89</v>
      </c>
      <c r="AI3">
        <v>28.575000000000003</v>
      </c>
    </row>
    <row r="4" spans="1:35" x14ac:dyDescent="0.25">
      <c r="B4" s="2">
        <f t="shared" ref="B4:Q4" si="0">AVERAGE(B1:B3)</f>
        <v>73.242000000000004</v>
      </c>
      <c r="C4" s="2">
        <f t="shared" si="0"/>
        <v>71.333333333333329</v>
      </c>
      <c r="D4" s="2">
        <f t="shared" si="0"/>
        <v>58.589333333333343</v>
      </c>
      <c r="E4" s="2">
        <f t="shared" si="0"/>
        <v>64.719666666666669</v>
      </c>
      <c r="F4" s="2">
        <f t="shared" si="0"/>
        <v>74.477000000000018</v>
      </c>
      <c r="G4" s="2">
        <f t="shared" si="0"/>
        <v>60.062666666666665</v>
      </c>
      <c r="H4" s="2">
        <f t="shared" si="0"/>
        <v>66.065999999999988</v>
      </c>
      <c r="I4" s="2">
        <f t="shared" si="0"/>
        <v>59.999333333333333</v>
      </c>
      <c r="J4" s="2">
        <f t="shared" si="0"/>
        <v>63.88966666666667</v>
      </c>
      <c r="K4" s="2">
        <f t="shared" si="0"/>
        <v>70.298000000000002</v>
      </c>
      <c r="L4" s="2">
        <f t="shared" si="0"/>
        <v>58.589333333333343</v>
      </c>
      <c r="M4" s="2">
        <f t="shared" si="0"/>
        <v>69.191666666666677</v>
      </c>
      <c r="N4" s="2">
        <f t="shared" si="0"/>
        <v>63.890500000000003</v>
      </c>
      <c r="O4" s="2">
        <f t="shared" si="0"/>
        <v>16.591000000000001</v>
      </c>
      <c r="P4" s="2">
        <f t="shared" si="0"/>
        <v>63.88966666666667</v>
      </c>
      <c r="Q4" s="2">
        <f t="shared" si="0"/>
        <v>25.929666666666666</v>
      </c>
      <c r="T4" s="2">
        <f t="shared" ref="T4:AI4" si="1">AVERAGE(T1:T3)</f>
        <v>74.628888888888881</v>
      </c>
      <c r="U4" s="2">
        <f t="shared" si="1"/>
        <v>70.681111111111107</v>
      </c>
      <c r="V4" s="2">
        <f t="shared" si="1"/>
        <v>64.458888888888893</v>
      </c>
      <c r="W4" s="2">
        <f t="shared" si="1"/>
        <v>65.604999999999976</v>
      </c>
      <c r="X4" s="2">
        <f t="shared" si="1"/>
        <v>71.489444444444459</v>
      </c>
      <c r="Y4" s="2">
        <f t="shared" si="1"/>
        <v>65.475000000000009</v>
      </c>
      <c r="Z4" s="2">
        <f t="shared" si="1"/>
        <v>67.930555555555557</v>
      </c>
      <c r="AA4" s="2">
        <f t="shared" si="1"/>
        <v>62.991666666666667</v>
      </c>
      <c r="AB4" s="2">
        <f t="shared" si="1"/>
        <v>65.293333333333337</v>
      </c>
      <c r="AC4" s="2">
        <f t="shared" si="1"/>
        <v>72.836666666666659</v>
      </c>
      <c r="AD4" s="2">
        <f t="shared" si="1"/>
        <v>64.458888888888893</v>
      </c>
      <c r="AE4" s="2">
        <f t="shared" si="1"/>
        <v>66.128333333333345</v>
      </c>
      <c r="AF4" s="2">
        <f t="shared" si="1"/>
        <v>65.293611111111105</v>
      </c>
      <c r="AG4" s="2">
        <f t="shared" si="1"/>
        <v>14.227222222222222</v>
      </c>
      <c r="AH4" s="2">
        <f t="shared" si="1"/>
        <v>65.293333333333337</v>
      </c>
      <c r="AI4" s="2">
        <f t="shared" si="1"/>
        <v>30.427222222222223</v>
      </c>
    </row>
    <row r="5" spans="1:35" x14ac:dyDescent="0.25">
      <c r="B5" s="2">
        <f t="shared" ref="B5:Q5" si="2">_xlfn.STDEV.S(B1:B3)</f>
        <v>0.12675961501992389</v>
      </c>
      <c r="C5" s="2">
        <f t="shared" si="2"/>
        <v>0.28471798912842317</v>
      </c>
      <c r="D5" s="2">
        <f t="shared" si="2"/>
        <v>3.745101378245097</v>
      </c>
      <c r="E5" s="2">
        <f t="shared" si="2"/>
        <v>2.3844800970721756</v>
      </c>
      <c r="F5" s="2">
        <f t="shared" si="2"/>
        <v>0.57214596039823251</v>
      </c>
      <c r="G5" s="2">
        <f t="shared" si="2"/>
        <v>3.5257567036500603</v>
      </c>
      <c r="H5" s="2">
        <f t="shared" si="2"/>
        <v>1.8860827129264555</v>
      </c>
      <c r="I5" s="2">
        <f t="shared" si="2"/>
        <v>1.4430330326549465</v>
      </c>
      <c r="J5" s="2">
        <f t="shared" si="2"/>
        <v>1.658555496006491</v>
      </c>
      <c r="K5" s="2">
        <f t="shared" si="2"/>
        <v>1.1140605908118171</v>
      </c>
      <c r="L5" s="2">
        <f t="shared" si="2"/>
        <v>3.745101378245097</v>
      </c>
      <c r="M5" s="2">
        <f t="shared" si="2"/>
        <v>0.44752914244028003</v>
      </c>
      <c r="N5" s="2">
        <f t="shared" si="2"/>
        <v>1.6578165610223616</v>
      </c>
      <c r="O5" s="2">
        <f t="shared" si="2"/>
        <v>3.1397791323594686</v>
      </c>
      <c r="P5" s="2">
        <f t="shared" si="2"/>
        <v>1.658555496006491</v>
      </c>
      <c r="Q5" s="2">
        <f t="shared" si="2"/>
        <v>2.8114349242572416</v>
      </c>
      <c r="T5" s="2">
        <f t="shared" ref="T5:AI5" si="3">_xlfn.STDEV.S(T1:T3)</f>
        <v>2.5054442571979023</v>
      </c>
      <c r="U5" s="2">
        <f t="shared" si="3"/>
        <v>1.604178859982524</v>
      </c>
      <c r="V5" s="2">
        <f t="shared" si="3"/>
        <v>8.7491212786283779</v>
      </c>
      <c r="W5" s="2">
        <f t="shared" si="3"/>
        <v>5.3614394833228607</v>
      </c>
      <c r="X5" s="2">
        <f t="shared" si="3"/>
        <v>2.29510731613852</v>
      </c>
      <c r="Y5" s="2">
        <f t="shared" si="3"/>
        <v>9.3524822908144234</v>
      </c>
      <c r="Z5" s="2">
        <f t="shared" si="3"/>
        <v>5.862918862869642</v>
      </c>
      <c r="AA5" s="2">
        <f t="shared" si="3"/>
        <v>3.4597715884786973</v>
      </c>
      <c r="AB5" s="2">
        <f t="shared" si="3"/>
        <v>2.3725203429639583</v>
      </c>
      <c r="AC5" s="2">
        <f t="shared" si="3"/>
        <v>3.1771847251580647</v>
      </c>
      <c r="AD5" s="2">
        <f t="shared" si="3"/>
        <v>8.7491212786283779</v>
      </c>
      <c r="AE5" s="2">
        <f t="shared" si="3"/>
        <v>4.5163287081433729</v>
      </c>
      <c r="AF5" s="2">
        <f t="shared" si="3"/>
        <v>2.3732738366450143</v>
      </c>
      <c r="AG5" s="2">
        <f t="shared" si="3"/>
        <v>7.8356312823277046</v>
      </c>
      <c r="AH5" s="2">
        <f t="shared" si="3"/>
        <v>2.3725203429639583</v>
      </c>
      <c r="AI5" s="2">
        <f t="shared" si="3"/>
        <v>5.6843548283701271</v>
      </c>
    </row>
    <row r="7" spans="1:35" x14ac:dyDescent="0.25">
      <c r="A7" s="1" t="s">
        <v>94</v>
      </c>
      <c r="B7">
        <v>73.686000000000007</v>
      </c>
      <c r="C7">
        <v>72.292000000000002</v>
      </c>
      <c r="D7">
        <v>61.176999999999985</v>
      </c>
      <c r="E7">
        <v>66.873999999999995</v>
      </c>
      <c r="F7">
        <v>75.685999999999993</v>
      </c>
      <c r="G7">
        <v>63.847000000000016</v>
      </c>
      <c r="H7">
        <v>69.036000000000016</v>
      </c>
      <c r="I7">
        <v>61.682999999999993</v>
      </c>
      <c r="J7">
        <v>64.799000000000007</v>
      </c>
      <c r="K7">
        <v>72.131</v>
      </c>
      <c r="L7">
        <v>61.176999999999985</v>
      </c>
      <c r="M7">
        <v>68.421000000000006</v>
      </c>
      <c r="N7">
        <v>64.799000000000007</v>
      </c>
      <c r="O7">
        <v>14.312999999999999</v>
      </c>
      <c r="P7">
        <v>64.799000000000007</v>
      </c>
      <c r="Q7">
        <v>28.098000000000003</v>
      </c>
      <c r="S7" s="1" t="s">
        <v>94</v>
      </c>
      <c r="T7">
        <v>69.424999999999997</v>
      </c>
      <c r="U7">
        <v>64.966666666666654</v>
      </c>
      <c r="V7">
        <v>76.513333333333335</v>
      </c>
      <c r="W7">
        <v>68.154999999999987</v>
      </c>
      <c r="X7">
        <v>65.971666666666678</v>
      </c>
      <c r="Y7">
        <v>77.141666666666666</v>
      </c>
      <c r="Z7">
        <v>70.061666666666667</v>
      </c>
      <c r="AA7">
        <v>56.175000000000004</v>
      </c>
      <c r="AB7">
        <v>60.778333333333329</v>
      </c>
      <c r="AC7">
        <v>66.024999999999991</v>
      </c>
      <c r="AD7">
        <v>76.513333333333335</v>
      </c>
      <c r="AE7">
        <v>45.041666666666664</v>
      </c>
      <c r="AF7">
        <v>60.777499999999996</v>
      </c>
      <c r="AG7">
        <v>31.473333333333333</v>
      </c>
      <c r="AH7">
        <v>60.778333333333329</v>
      </c>
      <c r="AI7">
        <v>21.066666666666666</v>
      </c>
    </row>
    <row r="8" spans="1:35" x14ac:dyDescent="0.25">
      <c r="B8">
        <v>74.804999999999993</v>
      </c>
      <c r="C8">
        <v>74.701999999999998</v>
      </c>
      <c r="D8">
        <v>58.626999999999995</v>
      </c>
      <c r="E8">
        <v>66.361000000000004</v>
      </c>
      <c r="F8">
        <v>77.664000000000001</v>
      </c>
      <c r="G8">
        <v>62.582000000000008</v>
      </c>
      <c r="H8">
        <v>69.022999999999996</v>
      </c>
      <c r="I8">
        <v>61.970000000000006</v>
      </c>
      <c r="J8">
        <v>64.671000000000006</v>
      </c>
      <c r="K8">
        <v>73.025999999999996</v>
      </c>
      <c r="L8">
        <v>58.626999999999995</v>
      </c>
      <c r="M8">
        <v>70.717000000000013</v>
      </c>
      <c r="N8">
        <v>64.671999999999997</v>
      </c>
      <c r="O8">
        <v>16.815000000000001</v>
      </c>
      <c r="P8">
        <v>64.671000000000006</v>
      </c>
      <c r="Q8">
        <v>28.664000000000005</v>
      </c>
      <c r="T8">
        <v>76.850000000000009</v>
      </c>
      <c r="U8">
        <v>73.723333333333329</v>
      </c>
      <c r="V8">
        <v>62.951666666666661</v>
      </c>
      <c r="W8">
        <v>66.138333333333335</v>
      </c>
      <c r="X8">
        <v>75.286666666666676</v>
      </c>
      <c r="Y8">
        <v>65.341666666666683</v>
      </c>
      <c r="Z8">
        <v>69.871666666666655</v>
      </c>
      <c r="AA8">
        <v>64.69</v>
      </c>
      <c r="AB8">
        <v>66.625</v>
      </c>
      <c r="AC8">
        <v>75.795000000000002</v>
      </c>
      <c r="AD8">
        <v>62.951666666666661</v>
      </c>
      <c r="AE8">
        <v>70.301666666666662</v>
      </c>
      <c r="AF8">
        <v>66.626666666666665</v>
      </c>
      <c r="AG8">
        <v>11.040000000000001</v>
      </c>
      <c r="AH8">
        <v>66.625</v>
      </c>
      <c r="AI8">
        <v>33.954999999999998</v>
      </c>
    </row>
    <row r="9" spans="1:35" x14ac:dyDescent="0.25">
      <c r="B9">
        <v>72.700999999999993</v>
      </c>
      <c r="C9">
        <v>68.558999999999997</v>
      </c>
      <c r="D9">
        <v>70.414000000000001</v>
      </c>
      <c r="E9">
        <v>68.69</v>
      </c>
      <c r="F9">
        <v>71.451000000000008</v>
      </c>
      <c r="G9">
        <v>72.940000000000012</v>
      </c>
      <c r="H9">
        <v>71.955999999999989</v>
      </c>
      <c r="I9">
        <v>61.248000000000005</v>
      </c>
      <c r="J9">
        <v>63.750000000000014</v>
      </c>
      <c r="K9">
        <v>70.616000000000014</v>
      </c>
      <c r="L9">
        <v>70.414000000000001</v>
      </c>
      <c r="M9">
        <v>57.088999999999999</v>
      </c>
      <c r="N9">
        <v>63.7515</v>
      </c>
      <c r="O9">
        <v>15.001000000000001</v>
      </c>
      <c r="P9">
        <v>63.750000000000014</v>
      </c>
      <c r="Q9">
        <v>26.917000000000002</v>
      </c>
      <c r="T9">
        <v>74.213333333333324</v>
      </c>
      <c r="U9">
        <v>73.103333333333339</v>
      </c>
      <c r="V9">
        <v>65.543333333333337</v>
      </c>
      <c r="W9">
        <v>66.826666666666668</v>
      </c>
      <c r="X9">
        <v>73.736666666666665</v>
      </c>
      <c r="Y9">
        <v>66.941666666666663</v>
      </c>
      <c r="Z9">
        <v>70.121666666666684</v>
      </c>
      <c r="AA9">
        <v>64.543333333333337</v>
      </c>
      <c r="AB9">
        <v>66.459999999999994</v>
      </c>
      <c r="AC9">
        <v>72.461666666666673</v>
      </c>
      <c r="AD9">
        <v>65.543333333333337</v>
      </c>
      <c r="AE9">
        <v>67.37833333333333</v>
      </c>
      <c r="AF9">
        <v>66.460833333333326</v>
      </c>
      <c r="AG9">
        <v>8.5416666666666661</v>
      </c>
      <c r="AH9">
        <v>66.459999999999994</v>
      </c>
      <c r="AI9">
        <v>33.863333333333337</v>
      </c>
    </row>
    <row r="10" spans="1:35" x14ac:dyDescent="0.25">
      <c r="B10" s="2">
        <f t="shared" ref="B10:Q10" si="4">AVERAGE(B7:B9)</f>
        <v>73.730666666666664</v>
      </c>
      <c r="C10" s="2">
        <f t="shared" si="4"/>
        <v>71.850999999999999</v>
      </c>
      <c r="D10" s="2">
        <f t="shared" si="4"/>
        <v>63.405999999999985</v>
      </c>
      <c r="E10" s="2">
        <f t="shared" si="4"/>
        <v>67.308333333333337</v>
      </c>
      <c r="F10" s="2">
        <f t="shared" si="4"/>
        <v>74.933666666666667</v>
      </c>
      <c r="G10" s="2">
        <f t="shared" si="4"/>
        <v>66.456333333333347</v>
      </c>
      <c r="H10" s="2">
        <f t="shared" si="4"/>
        <v>70.00500000000001</v>
      </c>
      <c r="I10" s="2">
        <f t="shared" si="4"/>
        <v>61.63366666666667</v>
      </c>
      <c r="J10" s="2">
        <f t="shared" si="4"/>
        <v>64.40666666666668</v>
      </c>
      <c r="K10" s="2">
        <f t="shared" si="4"/>
        <v>71.924333333333337</v>
      </c>
      <c r="L10" s="2">
        <f t="shared" si="4"/>
        <v>63.405999999999985</v>
      </c>
      <c r="M10" s="2">
        <f t="shared" si="4"/>
        <v>65.409000000000006</v>
      </c>
      <c r="N10" s="2">
        <f t="shared" si="4"/>
        <v>64.407499999999999</v>
      </c>
      <c r="O10" s="2">
        <f t="shared" si="4"/>
        <v>15.376333333333335</v>
      </c>
      <c r="P10" s="2">
        <f t="shared" si="4"/>
        <v>64.40666666666668</v>
      </c>
      <c r="Q10" s="2">
        <f t="shared" si="4"/>
        <v>27.893000000000001</v>
      </c>
      <c r="T10" s="2">
        <f t="shared" ref="T10:AI10" si="5">AVERAGE(T7:T9)</f>
        <v>73.496111111111119</v>
      </c>
      <c r="U10" s="2">
        <f t="shared" si="5"/>
        <v>70.597777777777779</v>
      </c>
      <c r="V10" s="2">
        <f t="shared" si="5"/>
        <v>68.336111111111109</v>
      </c>
      <c r="W10" s="2">
        <f t="shared" si="5"/>
        <v>67.040000000000006</v>
      </c>
      <c r="X10" s="2">
        <f t="shared" si="5"/>
        <v>71.665000000000006</v>
      </c>
      <c r="Y10" s="2">
        <f t="shared" si="5"/>
        <v>69.808333333333337</v>
      </c>
      <c r="Z10" s="2">
        <f t="shared" si="5"/>
        <v>70.018333333333331</v>
      </c>
      <c r="AA10" s="2">
        <f t="shared" si="5"/>
        <v>61.802777777777784</v>
      </c>
      <c r="AB10" s="2">
        <f t="shared" si="5"/>
        <v>64.621111111111119</v>
      </c>
      <c r="AC10" s="2">
        <f t="shared" si="5"/>
        <v>71.427222222222227</v>
      </c>
      <c r="AD10" s="2">
        <f t="shared" si="5"/>
        <v>68.336111111111109</v>
      </c>
      <c r="AE10" s="2">
        <f t="shared" si="5"/>
        <v>60.907222222222224</v>
      </c>
      <c r="AF10" s="2">
        <f t="shared" si="5"/>
        <v>64.62166666666667</v>
      </c>
      <c r="AG10" s="2">
        <f t="shared" si="5"/>
        <v>17.018333333333334</v>
      </c>
      <c r="AH10" s="2">
        <f t="shared" si="5"/>
        <v>64.621111111111119</v>
      </c>
      <c r="AI10" s="2">
        <f t="shared" si="5"/>
        <v>29.62833333333333</v>
      </c>
    </row>
    <row r="11" spans="1:35" x14ac:dyDescent="0.25">
      <c r="B11" s="2">
        <f t="shared" ref="B11:Q11" si="6">_xlfn.STDEV.S(B7:B9)</f>
        <v>1.0527109448150198</v>
      </c>
      <c r="C11" s="2">
        <f t="shared" si="6"/>
        <v>3.0951531464533386</v>
      </c>
      <c r="D11" s="2">
        <f t="shared" si="6"/>
        <v>6.2015863293193032</v>
      </c>
      <c r="E11" s="2">
        <f t="shared" si="6"/>
        <v>1.2237419390269046</v>
      </c>
      <c r="F11" s="2">
        <f t="shared" si="6"/>
        <v>3.1740898432989111</v>
      </c>
      <c r="G11" s="2">
        <f t="shared" si="6"/>
        <v>5.6505315089231507</v>
      </c>
      <c r="H11" s="2">
        <f t="shared" si="6"/>
        <v>1.6896280655812885</v>
      </c>
      <c r="I11" s="2">
        <f t="shared" si="6"/>
        <v>0.36351937133161577</v>
      </c>
      <c r="J11" s="2">
        <f t="shared" si="6"/>
        <v>0.57227994315136388</v>
      </c>
      <c r="K11" s="2">
        <f t="shared" si="6"/>
        <v>1.2182193289113874</v>
      </c>
      <c r="L11" s="2">
        <f t="shared" si="6"/>
        <v>6.2015863293193032</v>
      </c>
      <c r="M11" s="2">
        <f t="shared" si="6"/>
        <v>7.2962116197380196</v>
      </c>
      <c r="N11" s="2">
        <f t="shared" si="6"/>
        <v>0.57165046138352915</v>
      </c>
      <c r="O11" s="2">
        <f t="shared" si="6"/>
        <v>1.2925391032124853</v>
      </c>
      <c r="P11" s="2">
        <f t="shared" si="6"/>
        <v>0.57227994315136388</v>
      </c>
      <c r="Q11" s="2">
        <f t="shared" si="6"/>
        <v>0.89135907467193198</v>
      </c>
      <c r="T11" s="2">
        <f t="shared" ref="T11:AI11" si="7">_xlfn.STDEV.S(T7:T9)</f>
        <v>3.764101756998218</v>
      </c>
      <c r="U11" s="2">
        <f t="shared" si="7"/>
        <v>4.8865283442603022</v>
      </c>
      <c r="V11" s="2">
        <f t="shared" si="7"/>
        <v>7.1992643014047983</v>
      </c>
      <c r="W11" s="2">
        <f t="shared" si="7"/>
        <v>1.0251192342573754</v>
      </c>
      <c r="X11" s="2">
        <f t="shared" si="7"/>
        <v>4.9911079264361033</v>
      </c>
      <c r="Y11" s="2">
        <f t="shared" si="7"/>
        <v>6.4010415819094053</v>
      </c>
      <c r="Z11" s="2">
        <f t="shared" si="7"/>
        <v>0.13051181300302583</v>
      </c>
      <c r="AA11" s="2">
        <f t="shared" si="7"/>
        <v>4.8743501941094456</v>
      </c>
      <c r="AB11" s="2">
        <f t="shared" si="7"/>
        <v>3.3289656106720362</v>
      </c>
      <c r="AC11" s="2">
        <f t="shared" si="7"/>
        <v>4.9664656931747286</v>
      </c>
      <c r="AD11" s="2">
        <f t="shared" si="7"/>
        <v>7.1992643014047983</v>
      </c>
      <c r="AE11" s="2">
        <f t="shared" si="7"/>
        <v>13.817501918192672</v>
      </c>
      <c r="AF11" s="2">
        <f t="shared" si="7"/>
        <v>3.3301784027953283</v>
      </c>
      <c r="AG11" s="2">
        <f t="shared" si="7"/>
        <v>12.580567797643756</v>
      </c>
      <c r="AH11" s="2">
        <f t="shared" si="7"/>
        <v>3.3289656106720362</v>
      </c>
      <c r="AI11" s="2">
        <f t="shared" si="7"/>
        <v>7.4147624896403901</v>
      </c>
    </row>
    <row r="13" spans="1:35" x14ac:dyDescent="0.25">
      <c r="A13" s="1" t="s">
        <v>95</v>
      </c>
      <c r="B13">
        <v>73.942000000000007</v>
      </c>
      <c r="C13">
        <v>73.969000000000008</v>
      </c>
      <c r="D13">
        <v>58.77</v>
      </c>
      <c r="E13">
        <v>65.051000000000002</v>
      </c>
      <c r="F13">
        <v>77.10499999999999</v>
      </c>
      <c r="G13">
        <v>60.923999999999992</v>
      </c>
      <c r="H13">
        <v>67.710999999999984</v>
      </c>
      <c r="I13">
        <v>61.833000000000006</v>
      </c>
      <c r="J13">
        <v>65.26400000000001</v>
      </c>
      <c r="K13">
        <v>71.761999999999986</v>
      </c>
      <c r="L13">
        <v>58.77</v>
      </c>
      <c r="M13">
        <v>71.75800000000001</v>
      </c>
      <c r="N13">
        <v>65.26400000000001</v>
      </c>
      <c r="O13">
        <v>18.795999999999999</v>
      </c>
      <c r="P13">
        <v>65.26400000000001</v>
      </c>
      <c r="Q13">
        <v>28.911000000000001</v>
      </c>
      <c r="S13" s="1" t="s">
        <v>95</v>
      </c>
      <c r="T13">
        <v>76.541666666666671</v>
      </c>
      <c r="U13">
        <v>69.771666666666661</v>
      </c>
      <c r="V13">
        <v>73.704999999999998</v>
      </c>
      <c r="W13">
        <v>70.591666666666683</v>
      </c>
      <c r="X13">
        <v>71.313333333333333</v>
      </c>
      <c r="Y13">
        <v>74.8</v>
      </c>
      <c r="Z13">
        <v>72.868333333333339</v>
      </c>
      <c r="AA13">
        <v>66.026666666666671</v>
      </c>
      <c r="AB13">
        <v>67.49666666666667</v>
      </c>
      <c r="AC13">
        <v>74.743333333333325</v>
      </c>
      <c r="AD13">
        <v>73.704999999999998</v>
      </c>
      <c r="AE13">
        <v>61.286666666666662</v>
      </c>
      <c r="AF13">
        <v>67.495833333333337</v>
      </c>
      <c r="AG13">
        <v>12.42</v>
      </c>
      <c r="AH13">
        <v>67.49666666666667</v>
      </c>
      <c r="AI13">
        <v>34.440000000000005</v>
      </c>
    </row>
    <row r="14" spans="1:35" x14ac:dyDescent="0.25">
      <c r="B14">
        <v>73.373000000000005</v>
      </c>
      <c r="C14">
        <v>69.89</v>
      </c>
      <c r="D14">
        <v>71.001999999999995</v>
      </c>
      <c r="E14">
        <v>69.703000000000003</v>
      </c>
      <c r="F14">
        <v>73.27000000000001</v>
      </c>
      <c r="G14">
        <v>74.274000000000001</v>
      </c>
      <c r="H14">
        <v>73.588999999999999</v>
      </c>
      <c r="I14">
        <v>63.298000000000002</v>
      </c>
      <c r="J14">
        <v>65.36999999999999</v>
      </c>
      <c r="K14">
        <v>71.77000000000001</v>
      </c>
      <c r="L14">
        <v>71.001999999999995</v>
      </c>
      <c r="M14">
        <v>59.736000000000004</v>
      </c>
      <c r="N14">
        <v>65.369</v>
      </c>
      <c r="O14">
        <v>13.776000000000002</v>
      </c>
      <c r="P14">
        <v>65.36999999999999</v>
      </c>
      <c r="Q14">
        <v>30.420000000000005</v>
      </c>
      <c r="T14">
        <v>76.268333333333331</v>
      </c>
      <c r="U14">
        <v>70.100000000000009</v>
      </c>
      <c r="V14">
        <v>69.568333333333328</v>
      </c>
      <c r="W14">
        <v>68.991666666666674</v>
      </c>
      <c r="X14">
        <v>72.24499999999999</v>
      </c>
      <c r="Y14">
        <v>71.63333333333334</v>
      </c>
      <c r="Z14">
        <v>71.78</v>
      </c>
      <c r="AA14">
        <v>64.871666666666655</v>
      </c>
      <c r="AB14">
        <v>66.081666666666663</v>
      </c>
      <c r="AC14">
        <v>73.930000000000007</v>
      </c>
      <c r="AD14">
        <v>69.568333333333328</v>
      </c>
      <c r="AE14">
        <v>62.594999999999999</v>
      </c>
      <c r="AF14">
        <v>66.081666666666663</v>
      </c>
      <c r="AG14">
        <v>13.563333333333333</v>
      </c>
      <c r="AH14">
        <v>66.081666666666663</v>
      </c>
      <c r="AI14">
        <v>31.893333333333334</v>
      </c>
    </row>
    <row r="15" spans="1:35" x14ac:dyDescent="0.25">
      <c r="B15">
        <v>72.635999999999996</v>
      </c>
      <c r="C15">
        <v>68.608999999999995</v>
      </c>
      <c r="D15">
        <v>72.588999999999999</v>
      </c>
      <c r="E15">
        <v>70.070000000000007</v>
      </c>
      <c r="F15">
        <v>72</v>
      </c>
      <c r="G15">
        <v>75.690000000000012</v>
      </c>
      <c r="H15">
        <v>73.684999999999988</v>
      </c>
      <c r="I15">
        <v>63.274000000000001</v>
      </c>
      <c r="J15">
        <v>64.968000000000004</v>
      </c>
      <c r="K15">
        <v>71.647999999999996</v>
      </c>
      <c r="L15">
        <v>72.588999999999999</v>
      </c>
      <c r="M15">
        <v>57.346000000000004</v>
      </c>
      <c r="N15">
        <v>64.967500000000001</v>
      </c>
      <c r="O15">
        <v>16.294000000000004</v>
      </c>
      <c r="P15">
        <v>64.968000000000004</v>
      </c>
      <c r="Q15">
        <v>29.752000000000002</v>
      </c>
      <c r="T15">
        <v>77.776666666666657</v>
      </c>
      <c r="U15">
        <v>71.11333333333333</v>
      </c>
      <c r="V15">
        <v>73.114999999999995</v>
      </c>
      <c r="W15">
        <v>70.973333333333329</v>
      </c>
      <c r="X15">
        <v>72.981666666666669</v>
      </c>
      <c r="Y15">
        <v>74.766666666666666</v>
      </c>
      <c r="Z15">
        <v>73.708333333333329</v>
      </c>
      <c r="AA15">
        <v>66.626666666666665</v>
      </c>
      <c r="AB15">
        <v>67.893333333333331</v>
      </c>
      <c r="AC15">
        <v>76.418333333333322</v>
      </c>
      <c r="AD15">
        <v>73.114999999999995</v>
      </c>
      <c r="AE15">
        <v>62.673333333333325</v>
      </c>
      <c r="AF15">
        <v>67.894166666666663</v>
      </c>
      <c r="AG15">
        <v>10.729999999999999</v>
      </c>
      <c r="AH15">
        <v>67.893333333333331</v>
      </c>
      <c r="AI15">
        <v>35.998333333333335</v>
      </c>
    </row>
    <row r="16" spans="1:35" x14ac:dyDescent="0.25">
      <c r="B16" s="2">
        <f t="shared" ref="B16:Q16" si="8">AVERAGE(B13:B15)</f>
        <v>73.316999999999993</v>
      </c>
      <c r="C16" s="2">
        <f t="shared" si="8"/>
        <v>70.822666666666677</v>
      </c>
      <c r="D16" s="2">
        <f t="shared" si="8"/>
        <v>67.453666666666663</v>
      </c>
      <c r="E16" s="2">
        <f t="shared" si="8"/>
        <v>68.274666666666675</v>
      </c>
      <c r="F16" s="2">
        <f t="shared" si="8"/>
        <v>74.125</v>
      </c>
      <c r="G16" s="2">
        <f t="shared" si="8"/>
        <v>70.295999999999992</v>
      </c>
      <c r="H16" s="2">
        <f t="shared" si="8"/>
        <v>71.661666666666648</v>
      </c>
      <c r="I16" s="2">
        <f t="shared" si="8"/>
        <v>62.801666666666669</v>
      </c>
      <c r="J16" s="2">
        <f t="shared" si="8"/>
        <v>65.200666666666677</v>
      </c>
      <c r="K16" s="2">
        <f t="shared" si="8"/>
        <v>71.726666666666659</v>
      </c>
      <c r="L16" s="2">
        <f t="shared" si="8"/>
        <v>67.453666666666663</v>
      </c>
      <c r="M16" s="2">
        <f t="shared" si="8"/>
        <v>62.94666666666668</v>
      </c>
      <c r="N16" s="2">
        <f t="shared" si="8"/>
        <v>65.200166666666675</v>
      </c>
      <c r="O16" s="2">
        <f t="shared" si="8"/>
        <v>16.288666666666668</v>
      </c>
      <c r="P16" s="2">
        <f t="shared" si="8"/>
        <v>65.200666666666677</v>
      </c>
      <c r="Q16" s="2">
        <f t="shared" si="8"/>
        <v>29.694333333333333</v>
      </c>
      <c r="T16" s="2">
        <f t="shared" ref="T16:AI16" si="9">AVERAGE(T13:T15)</f>
        <v>76.862222222222215</v>
      </c>
      <c r="U16" s="2">
        <f t="shared" si="9"/>
        <v>70.328333333333333</v>
      </c>
      <c r="V16" s="2">
        <f t="shared" si="9"/>
        <v>72.129444444444445</v>
      </c>
      <c r="W16" s="2">
        <f t="shared" si="9"/>
        <v>70.185555555555567</v>
      </c>
      <c r="X16" s="2">
        <f t="shared" si="9"/>
        <v>72.180000000000007</v>
      </c>
      <c r="Y16" s="2">
        <f t="shared" si="9"/>
        <v>73.733333333333334</v>
      </c>
      <c r="Z16" s="2">
        <f t="shared" si="9"/>
        <v>72.785555555555561</v>
      </c>
      <c r="AA16" s="2">
        <f t="shared" si="9"/>
        <v>65.841666666666654</v>
      </c>
      <c r="AB16" s="2">
        <f t="shared" si="9"/>
        <v>67.157222222222217</v>
      </c>
      <c r="AC16" s="2">
        <f t="shared" si="9"/>
        <v>75.030555555555551</v>
      </c>
      <c r="AD16" s="2">
        <f t="shared" si="9"/>
        <v>72.129444444444445</v>
      </c>
      <c r="AE16" s="2">
        <f t="shared" si="9"/>
        <v>62.184999999999995</v>
      </c>
      <c r="AF16" s="2">
        <f t="shared" si="9"/>
        <v>67.157222222222217</v>
      </c>
      <c r="AG16" s="2">
        <f t="shared" si="9"/>
        <v>12.237777777777778</v>
      </c>
      <c r="AH16" s="2">
        <f t="shared" si="9"/>
        <v>67.157222222222217</v>
      </c>
      <c r="AI16" s="2">
        <f t="shared" si="9"/>
        <v>34.110555555555557</v>
      </c>
    </row>
    <row r="17" spans="1:35" x14ac:dyDescent="0.25">
      <c r="B17" s="2">
        <f t="shared" ref="B17:Q17" si="10">_xlfn.STDEV.S(B13:B15)</f>
        <v>0.65479844227060258</v>
      </c>
      <c r="C17" s="2">
        <f t="shared" si="10"/>
        <v>2.7990713340916074</v>
      </c>
      <c r="D17" s="2">
        <f t="shared" si="10"/>
        <v>7.5620230317907176</v>
      </c>
      <c r="E17" s="2">
        <f t="shared" si="10"/>
        <v>2.7978013391471066</v>
      </c>
      <c r="F17" s="2">
        <f t="shared" si="10"/>
        <v>2.6577292939650494</v>
      </c>
      <c r="G17" s="2">
        <f t="shared" si="10"/>
        <v>8.147211302034588</v>
      </c>
      <c r="H17" s="2">
        <f t="shared" si="10"/>
        <v>3.4217143851194489</v>
      </c>
      <c r="I17" s="2">
        <f t="shared" si="10"/>
        <v>0.83897576444932509</v>
      </c>
      <c r="J17" s="2">
        <f t="shared" si="10"/>
        <v>0.2083490660726165</v>
      </c>
      <c r="K17" s="2">
        <f t="shared" si="10"/>
        <v>6.8244657910591033E-2</v>
      </c>
      <c r="L17" s="2">
        <f t="shared" si="10"/>
        <v>7.5620230317907176</v>
      </c>
      <c r="M17" s="2">
        <f t="shared" si="10"/>
        <v>7.723841099694722</v>
      </c>
      <c r="N17" s="2">
        <f t="shared" si="10"/>
        <v>0.20822243715155594</v>
      </c>
      <c r="O17" s="2">
        <f t="shared" si="10"/>
        <v>2.5100042496644064</v>
      </c>
      <c r="P17" s="2">
        <f t="shared" si="10"/>
        <v>0.2083490660726165</v>
      </c>
      <c r="Q17" s="2">
        <f t="shared" si="10"/>
        <v>0.75615099902951677</v>
      </c>
      <c r="T17" s="2">
        <f t="shared" ref="T17:AI17" si="11">_xlfn.STDEV.S(T13:T15)</f>
        <v>0.80363813950014218</v>
      </c>
      <c r="U17" s="2">
        <f t="shared" si="11"/>
        <v>0.69937074891965767</v>
      </c>
      <c r="V17" s="2">
        <f t="shared" si="11"/>
        <v>2.237519294350911</v>
      </c>
      <c r="W17" s="2">
        <f t="shared" si="11"/>
        <v>1.0514016218222058</v>
      </c>
      <c r="X17" s="2">
        <f t="shared" si="11"/>
        <v>0.83606385986823983</v>
      </c>
      <c r="Y17" s="2">
        <f t="shared" si="11"/>
        <v>1.8187297154271604</v>
      </c>
      <c r="Z17" s="2">
        <f t="shared" si="11"/>
        <v>0.96682805166248476</v>
      </c>
      <c r="AA17" s="2">
        <f t="shared" si="11"/>
        <v>0.89200616589797765</v>
      </c>
      <c r="AB17" s="2">
        <f t="shared" si="11"/>
        <v>0.95233971140865936</v>
      </c>
      <c r="AC17" s="2">
        <f t="shared" si="11"/>
        <v>1.2687880627386623</v>
      </c>
      <c r="AD17" s="2">
        <f t="shared" si="11"/>
        <v>2.237519294350911</v>
      </c>
      <c r="AE17" s="2">
        <f t="shared" si="11"/>
        <v>0.77896476885101218</v>
      </c>
      <c r="AF17" s="2">
        <f t="shared" si="11"/>
        <v>0.95251360931271123</v>
      </c>
      <c r="AG17" s="2">
        <f t="shared" si="11"/>
        <v>1.4254291101798606</v>
      </c>
      <c r="AH17" s="2">
        <f t="shared" si="11"/>
        <v>0.95233971140865936</v>
      </c>
      <c r="AI17" s="2">
        <f t="shared" si="11"/>
        <v>2.0722346588843368</v>
      </c>
    </row>
    <row r="19" spans="1:35" x14ac:dyDescent="0.25">
      <c r="A19" s="1" t="s">
        <v>96</v>
      </c>
      <c r="B19">
        <v>71.152000000000001</v>
      </c>
      <c r="C19">
        <v>69.908000000000001</v>
      </c>
      <c r="D19">
        <v>57.194000000000003</v>
      </c>
      <c r="E19">
        <v>61.767999999999994</v>
      </c>
      <c r="F19">
        <v>72.25</v>
      </c>
      <c r="G19">
        <v>59.131999999999991</v>
      </c>
      <c r="H19">
        <v>64.256999999999991</v>
      </c>
      <c r="I19">
        <v>57.765000000000008</v>
      </c>
      <c r="J19">
        <v>62.137</v>
      </c>
      <c r="K19">
        <v>67.912000000000006</v>
      </c>
      <c r="L19">
        <v>57.194000000000003</v>
      </c>
      <c r="M19">
        <v>67.083999999999989</v>
      </c>
      <c r="N19">
        <v>62.138999999999996</v>
      </c>
      <c r="O19">
        <v>17.678000000000001</v>
      </c>
      <c r="P19">
        <v>62.137</v>
      </c>
      <c r="Q19">
        <v>22.653000000000002</v>
      </c>
      <c r="S19" s="1" t="s">
        <v>96</v>
      </c>
      <c r="T19">
        <v>77.12166666666667</v>
      </c>
      <c r="U19">
        <v>69.38</v>
      </c>
      <c r="V19">
        <v>73.975000000000009</v>
      </c>
      <c r="W19">
        <v>68.876666666666665</v>
      </c>
      <c r="X19">
        <v>68.726666666666674</v>
      </c>
      <c r="Y19">
        <v>73.58</v>
      </c>
      <c r="Z19">
        <v>70.986666666666665</v>
      </c>
      <c r="AA19">
        <v>62.083333333333336</v>
      </c>
      <c r="AB19">
        <v>64.995000000000005</v>
      </c>
      <c r="AC19">
        <v>75.045000000000002</v>
      </c>
      <c r="AD19">
        <v>73.975000000000009</v>
      </c>
      <c r="AE19">
        <v>56.018333333333338</v>
      </c>
      <c r="AF19">
        <v>64.99666666666667</v>
      </c>
      <c r="AG19">
        <v>19.041666666666664</v>
      </c>
      <c r="AH19">
        <v>64.995000000000005</v>
      </c>
      <c r="AI19">
        <v>32.238333333333337</v>
      </c>
    </row>
    <row r="20" spans="1:35" x14ac:dyDescent="0.25">
      <c r="B20">
        <v>72.195999999999998</v>
      </c>
      <c r="C20">
        <v>69.463999999999984</v>
      </c>
      <c r="D20">
        <v>70.51400000000001</v>
      </c>
      <c r="E20">
        <v>69.873999999999995</v>
      </c>
      <c r="F20">
        <v>72.388000000000005</v>
      </c>
      <c r="G20">
        <v>72.625</v>
      </c>
      <c r="H20">
        <v>72.381</v>
      </c>
      <c r="I20">
        <v>62.665000000000006</v>
      </c>
      <c r="J20">
        <v>64.825000000000003</v>
      </c>
      <c r="K20">
        <v>71.339000000000013</v>
      </c>
      <c r="L20">
        <v>70.51400000000001</v>
      </c>
      <c r="M20">
        <v>59.136000000000003</v>
      </c>
      <c r="N20">
        <v>64.825000000000003</v>
      </c>
      <c r="O20">
        <v>13.065999999999999</v>
      </c>
      <c r="P20">
        <v>64.825000000000003</v>
      </c>
      <c r="Q20">
        <v>28.159999999999997</v>
      </c>
      <c r="T20">
        <v>77.045000000000002</v>
      </c>
      <c r="U20">
        <v>71.725000000000009</v>
      </c>
      <c r="V20">
        <v>73.259999999999991</v>
      </c>
      <c r="W20">
        <v>71.578333333333333</v>
      </c>
      <c r="X20">
        <v>73.778333333333336</v>
      </c>
      <c r="Y20">
        <v>75.778333333333322</v>
      </c>
      <c r="Z20">
        <v>74.75333333333333</v>
      </c>
      <c r="AA20">
        <v>67.823333333333323</v>
      </c>
      <c r="AB20">
        <v>68.550000000000011</v>
      </c>
      <c r="AC20">
        <v>76.163333333333341</v>
      </c>
      <c r="AD20">
        <v>73.259999999999991</v>
      </c>
      <c r="AE20">
        <v>63.836666666666666</v>
      </c>
      <c r="AF20">
        <v>68.548333333333332</v>
      </c>
      <c r="AG20">
        <v>9.4250000000000007</v>
      </c>
      <c r="AH20">
        <v>68.550000000000011</v>
      </c>
      <c r="AI20">
        <v>37.974999999999994</v>
      </c>
    </row>
    <row r="21" spans="1:35" x14ac:dyDescent="0.25">
      <c r="B21">
        <v>72.256</v>
      </c>
      <c r="C21">
        <v>71.88</v>
      </c>
      <c r="D21">
        <v>54.180000000000007</v>
      </c>
      <c r="E21">
        <v>62.082000000000008</v>
      </c>
      <c r="F21">
        <v>74.847000000000008</v>
      </c>
      <c r="G21">
        <v>55.625999999999998</v>
      </c>
      <c r="H21">
        <v>63.548000000000002</v>
      </c>
      <c r="I21">
        <v>58.923999999999992</v>
      </c>
      <c r="J21">
        <v>63.455000000000005</v>
      </c>
      <c r="K21">
        <v>69.653999999999982</v>
      </c>
      <c r="L21">
        <v>54.180000000000007</v>
      </c>
      <c r="M21">
        <v>72.73299999999999</v>
      </c>
      <c r="N21">
        <v>63.456500000000005</v>
      </c>
      <c r="O21">
        <v>18.552999999999994</v>
      </c>
      <c r="P21">
        <v>63.455000000000005</v>
      </c>
      <c r="Q21">
        <v>24.880000000000003</v>
      </c>
      <c r="T21">
        <v>67.225000000000009</v>
      </c>
      <c r="U21">
        <v>63.973333333333336</v>
      </c>
      <c r="V21">
        <v>64.276666666666671</v>
      </c>
      <c r="W21">
        <v>64.288333333333313</v>
      </c>
      <c r="X21">
        <v>64.634999999999991</v>
      </c>
      <c r="Y21">
        <v>64.834999999999994</v>
      </c>
      <c r="Z21">
        <v>64.368333333333339</v>
      </c>
      <c r="AA21">
        <v>57.688333333333333</v>
      </c>
      <c r="AB21">
        <v>59.858333333333341</v>
      </c>
      <c r="AC21">
        <v>63.390000000000008</v>
      </c>
      <c r="AD21">
        <v>64.276666666666671</v>
      </c>
      <c r="AE21">
        <v>55.438333333333333</v>
      </c>
      <c r="AF21">
        <v>59.857500000000009</v>
      </c>
      <c r="AG21">
        <v>12.673333333333334</v>
      </c>
      <c r="AH21">
        <v>59.858333333333341</v>
      </c>
      <c r="AI21">
        <v>20</v>
      </c>
    </row>
    <row r="22" spans="1:35" x14ac:dyDescent="0.25">
      <c r="B22" s="2">
        <f t="shared" ref="B22:Q22" si="12">AVERAGE(B19:B21)</f>
        <v>71.868000000000009</v>
      </c>
      <c r="C22" s="2">
        <f t="shared" si="12"/>
        <v>70.417333333333332</v>
      </c>
      <c r="D22" s="2">
        <f t="shared" si="12"/>
        <v>60.629333333333342</v>
      </c>
      <c r="E22" s="2">
        <f t="shared" si="12"/>
        <v>64.574666666666658</v>
      </c>
      <c r="F22" s="2">
        <f t="shared" si="12"/>
        <v>73.161666666666676</v>
      </c>
      <c r="G22" s="2">
        <f t="shared" si="12"/>
        <v>62.461000000000006</v>
      </c>
      <c r="H22" s="2">
        <f t="shared" si="12"/>
        <v>66.728666666666655</v>
      </c>
      <c r="I22" s="2">
        <f t="shared" si="12"/>
        <v>59.784666666666659</v>
      </c>
      <c r="J22" s="2">
        <f t="shared" si="12"/>
        <v>63.472333333333331</v>
      </c>
      <c r="K22" s="2">
        <f t="shared" si="12"/>
        <v>69.635000000000005</v>
      </c>
      <c r="L22" s="2">
        <f t="shared" si="12"/>
        <v>60.629333333333342</v>
      </c>
      <c r="M22" s="2">
        <f t="shared" si="12"/>
        <v>66.317666666666653</v>
      </c>
      <c r="N22" s="2">
        <f t="shared" si="12"/>
        <v>63.473500000000001</v>
      </c>
      <c r="O22" s="2">
        <f t="shared" si="12"/>
        <v>16.432333333333332</v>
      </c>
      <c r="P22" s="2">
        <f t="shared" si="12"/>
        <v>63.472333333333331</v>
      </c>
      <c r="Q22" s="2">
        <f t="shared" si="12"/>
        <v>25.231000000000005</v>
      </c>
      <c r="T22" s="2">
        <f t="shared" ref="T22:AI22" si="13">AVERAGE(T19:T21)</f>
        <v>73.797222222222231</v>
      </c>
      <c r="U22" s="2">
        <f t="shared" si="13"/>
        <v>68.359444444444449</v>
      </c>
      <c r="V22" s="2">
        <f t="shared" si="13"/>
        <v>70.503888888888895</v>
      </c>
      <c r="W22" s="2">
        <f t="shared" si="13"/>
        <v>68.247777777777756</v>
      </c>
      <c r="X22" s="2">
        <f t="shared" si="13"/>
        <v>69.046666666666667</v>
      </c>
      <c r="Y22" s="2">
        <f t="shared" si="13"/>
        <v>71.397777777777776</v>
      </c>
      <c r="Z22" s="2">
        <f t="shared" si="13"/>
        <v>70.036111111111111</v>
      </c>
      <c r="AA22" s="2">
        <f t="shared" si="13"/>
        <v>62.531666666666666</v>
      </c>
      <c r="AB22" s="2">
        <f t="shared" si="13"/>
        <v>64.467777777777783</v>
      </c>
      <c r="AC22" s="2">
        <f t="shared" si="13"/>
        <v>71.532777777777781</v>
      </c>
      <c r="AD22" s="2">
        <f t="shared" si="13"/>
        <v>70.503888888888895</v>
      </c>
      <c r="AE22" s="2">
        <f t="shared" si="13"/>
        <v>58.431111111111115</v>
      </c>
      <c r="AF22" s="2">
        <f t="shared" si="13"/>
        <v>64.467500000000015</v>
      </c>
      <c r="AG22" s="2">
        <f t="shared" si="13"/>
        <v>13.713333333333333</v>
      </c>
      <c r="AH22" s="2">
        <f t="shared" si="13"/>
        <v>64.467777777777783</v>
      </c>
      <c r="AI22" s="2">
        <f t="shared" si="13"/>
        <v>30.071111111111112</v>
      </c>
    </row>
    <row r="23" spans="1:35" x14ac:dyDescent="0.25">
      <c r="B23" s="2">
        <f t="shared" ref="B23:Q23" si="14">_xlfn.STDEV.S(B19:B21)</f>
        <v>0.62079948453586742</v>
      </c>
      <c r="C23" s="2">
        <f t="shared" si="14"/>
        <v>1.2860129600176433</v>
      </c>
      <c r="D23" s="2">
        <f t="shared" si="14"/>
        <v>8.6920092805594891</v>
      </c>
      <c r="E23" s="2">
        <f t="shared" si="14"/>
        <v>4.5920419568350317</v>
      </c>
      <c r="F23" s="2">
        <f t="shared" si="14"/>
        <v>1.4611715619096011</v>
      </c>
      <c r="G23" s="2">
        <f t="shared" si="14"/>
        <v>8.9751423944134956</v>
      </c>
      <c r="H23" s="2">
        <f t="shared" si="14"/>
        <v>4.9078838956655595</v>
      </c>
      <c r="I23" s="2">
        <f t="shared" si="14"/>
        <v>2.5608710106784649</v>
      </c>
      <c r="J23" s="2">
        <f t="shared" si="14"/>
        <v>1.3440838267508974</v>
      </c>
      <c r="K23" s="2">
        <f t="shared" si="14"/>
        <v>1.713579003139339</v>
      </c>
      <c r="L23" s="2">
        <f t="shared" si="14"/>
        <v>8.6920092805594891</v>
      </c>
      <c r="M23" s="2">
        <f t="shared" si="14"/>
        <v>6.8308163738555612</v>
      </c>
      <c r="N23" s="2">
        <f t="shared" si="14"/>
        <v>1.3430806937783037</v>
      </c>
      <c r="O23" s="2">
        <f t="shared" si="14"/>
        <v>2.9479749546651908</v>
      </c>
      <c r="P23" s="2">
        <f t="shared" si="14"/>
        <v>1.3440838267508974</v>
      </c>
      <c r="Q23" s="2">
        <f t="shared" si="14"/>
        <v>2.7702279689585088</v>
      </c>
      <c r="T23" s="2">
        <f t="shared" ref="T23:AI23" si="15">_xlfn.STDEV.S(T19:T21)</f>
        <v>5.6918404886423257</v>
      </c>
      <c r="U23" s="2">
        <f t="shared" si="15"/>
        <v>3.9753281951631703</v>
      </c>
      <c r="V23" s="2">
        <f t="shared" si="15"/>
        <v>5.4047690703399791</v>
      </c>
      <c r="W23" s="2">
        <f t="shared" si="15"/>
        <v>3.6854648181641902</v>
      </c>
      <c r="X23" s="2">
        <f t="shared" si="15"/>
        <v>4.5800585270399283</v>
      </c>
      <c r="Y23" s="2">
        <f t="shared" si="15"/>
        <v>5.7888432766383886</v>
      </c>
      <c r="Z23" s="2">
        <f t="shared" si="15"/>
        <v>5.2573494413200361</v>
      </c>
      <c r="AA23" s="2">
        <f t="shared" si="15"/>
        <v>5.0823526376406907</v>
      </c>
      <c r="AB23" s="2">
        <f t="shared" si="15"/>
        <v>4.3697528322337442</v>
      </c>
      <c r="AC23" s="2">
        <f t="shared" si="15"/>
        <v>7.0739868401640953</v>
      </c>
      <c r="AD23" s="2">
        <f t="shared" si="15"/>
        <v>5.4047690703399791</v>
      </c>
      <c r="AE23" s="2">
        <f t="shared" si="15"/>
        <v>4.6903222861705505</v>
      </c>
      <c r="AF23" s="2">
        <f t="shared" si="15"/>
        <v>4.3695147359607036</v>
      </c>
      <c r="AG23" s="2">
        <f t="shared" si="15"/>
        <v>4.8919596732234369</v>
      </c>
      <c r="AH23" s="2">
        <f t="shared" si="15"/>
        <v>4.3697528322337442</v>
      </c>
      <c r="AI23" s="2">
        <f t="shared" si="15"/>
        <v>9.1813830859174104</v>
      </c>
    </row>
    <row r="25" spans="1:35" x14ac:dyDescent="0.25">
      <c r="A25" s="1" t="s">
        <v>97</v>
      </c>
      <c r="B25">
        <v>68.844000000000008</v>
      </c>
      <c r="C25">
        <v>66.479000000000013</v>
      </c>
      <c r="D25">
        <v>68.022999999999996</v>
      </c>
      <c r="E25">
        <v>66.854000000000013</v>
      </c>
      <c r="F25">
        <v>69.432999999999993</v>
      </c>
      <c r="G25">
        <v>71.580999999999989</v>
      </c>
      <c r="H25">
        <v>70.372</v>
      </c>
      <c r="I25">
        <v>57.996000000000002</v>
      </c>
      <c r="J25">
        <v>60.103999999999999</v>
      </c>
      <c r="K25">
        <v>65.251999999999995</v>
      </c>
      <c r="L25">
        <v>68.022999999999996</v>
      </c>
      <c r="M25">
        <v>52.188000000000002</v>
      </c>
      <c r="N25">
        <v>60.105499999999992</v>
      </c>
      <c r="O25">
        <v>15.832999999999998</v>
      </c>
      <c r="P25">
        <v>60.103999999999999</v>
      </c>
      <c r="Q25">
        <v>19.849</v>
      </c>
      <c r="S25" s="1" t="s">
        <v>97</v>
      </c>
      <c r="T25">
        <v>70.571666666666658</v>
      </c>
      <c r="U25">
        <v>66.405000000000015</v>
      </c>
      <c r="V25">
        <v>59.336666666666666</v>
      </c>
      <c r="W25">
        <v>60.376666666666672</v>
      </c>
      <c r="X25">
        <v>66.760000000000005</v>
      </c>
      <c r="Y25">
        <v>58.75333333333333</v>
      </c>
      <c r="Z25">
        <v>62.285000000000004</v>
      </c>
      <c r="AA25">
        <v>58.339999999999996</v>
      </c>
      <c r="AB25">
        <v>60.958333333333336</v>
      </c>
      <c r="AC25">
        <v>65.666666666666671</v>
      </c>
      <c r="AD25">
        <v>59.336666666666666</v>
      </c>
      <c r="AE25">
        <v>62.57833333333334</v>
      </c>
      <c r="AF25">
        <v>60.957500000000003</v>
      </c>
      <c r="AG25">
        <v>9.14</v>
      </c>
      <c r="AH25">
        <v>60.958333333333336</v>
      </c>
      <c r="AI25">
        <v>21.551666666666666</v>
      </c>
    </row>
    <row r="26" spans="1:35" x14ac:dyDescent="0.25">
      <c r="B26">
        <v>72.347000000000008</v>
      </c>
      <c r="C26">
        <v>68.831999999999994</v>
      </c>
      <c r="D26">
        <v>66.352000000000004</v>
      </c>
      <c r="E26">
        <v>69.673000000000002</v>
      </c>
      <c r="F26">
        <v>72.673999999999992</v>
      </c>
      <c r="G26">
        <v>68.98599999999999</v>
      </c>
      <c r="H26">
        <v>70.602000000000004</v>
      </c>
      <c r="I26">
        <v>60.847999999999999</v>
      </c>
      <c r="J26">
        <v>62.995999999999995</v>
      </c>
      <c r="K26">
        <v>68.960000000000008</v>
      </c>
      <c r="L26">
        <v>66.352000000000004</v>
      </c>
      <c r="M26">
        <v>59.640999999999998</v>
      </c>
      <c r="N26">
        <v>62.99649999999999</v>
      </c>
      <c r="O26">
        <v>14.231</v>
      </c>
      <c r="P26">
        <v>62.995999999999995</v>
      </c>
      <c r="Q26">
        <v>24.813000000000002</v>
      </c>
      <c r="T26">
        <v>74.346666666666664</v>
      </c>
      <c r="U26">
        <v>68.075000000000003</v>
      </c>
      <c r="V26">
        <v>72.431666666666672</v>
      </c>
      <c r="W26">
        <v>69.046666666666667</v>
      </c>
      <c r="X26">
        <v>70.033333333333346</v>
      </c>
      <c r="Y26">
        <v>73.504999999999995</v>
      </c>
      <c r="Z26">
        <v>71.686666666666667</v>
      </c>
      <c r="AA26">
        <v>64.364999999999995</v>
      </c>
      <c r="AB26">
        <v>65.608333333333334</v>
      </c>
      <c r="AC26">
        <v>72.446666666666673</v>
      </c>
      <c r="AD26">
        <v>72.431666666666672</v>
      </c>
      <c r="AE26">
        <v>58.783333333333331</v>
      </c>
      <c r="AF26">
        <v>65.607500000000002</v>
      </c>
      <c r="AG26">
        <v>13.648333333333332</v>
      </c>
      <c r="AH26">
        <v>65.608333333333334</v>
      </c>
      <c r="AI26">
        <v>31.39833333333333</v>
      </c>
    </row>
    <row r="27" spans="1:35" x14ac:dyDescent="0.25">
      <c r="B27">
        <v>73.596000000000004</v>
      </c>
      <c r="C27">
        <v>68.930999999999997</v>
      </c>
      <c r="D27">
        <v>70.187000000000012</v>
      </c>
      <c r="E27">
        <v>67.664000000000001</v>
      </c>
      <c r="F27">
        <v>70.988</v>
      </c>
      <c r="G27">
        <v>71.600999999999999</v>
      </c>
      <c r="H27">
        <v>71.171999999999997</v>
      </c>
      <c r="I27">
        <v>61.508999999999993</v>
      </c>
      <c r="J27">
        <v>64.041000000000011</v>
      </c>
      <c r="K27">
        <v>69.503</v>
      </c>
      <c r="L27">
        <v>70.187000000000012</v>
      </c>
      <c r="M27">
        <v>57.89200000000001</v>
      </c>
      <c r="N27">
        <v>64.039500000000004</v>
      </c>
      <c r="O27">
        <v>12.910999999999998</v>
      </c>
      <c r="P27">
        <v>64.041000000000011</v>
      </c>
      <c r="Q27">
        <v>27.193999999999999</v>
      </c>
      <c r="T27">
        <v>72.303333333333327</v>
      </c>
      <c r="U27">
        <v>67.161666666666662</v>
      </c>
      <c r="V27">
        <v>61.949999999999996</v>
      </c>
      <c r="W27">
        <v>62.989999999999988</v>
      </c>
      <c r="X27">
        <v>69.111666666666665</v>
      </c>
      <c r="Y27">
        <v>63.038333333333334</v>
      </c>
      <c r="Z27">
        <v>65.666666666666671</v>
      </c>
      <c r="AA27">
        <v>60.601666666666659</v>
      </c>
      <c r="AB27">
        <v>62.423333333333339</v>
      </c>
      <c r="AC27">
        <v>69.50333333333333</v>
      </c>
      <c r="AD27">
        <v>61.949999999999996</v>
      </c>
      <c r="AE27">
        <v>62.9</v>
      </c>
      <c r="AF27">
        <v>62.425000000000004</v>
      </c>
      <c r="AG27">
        <v>7.7633333333333328</v>
      </c>
      <c r="AH27">
        <v>62.423333333333339</v>
      </c>
      <c r="AI27">
        <v>24.371666666666666</v>
      </c>
    </row>
    <row r="28" spans="1:35" x14ac:dyDescent="0.25">
      <c r="B28" s="2">
        <f t="shared" ref="B28:Q28" si="16">AVERAGE(B25:B27)</f>
        <v>71.595666666666673</v>
      </c>
      <c r="C28" s="2">
        <f t="shared" si="16"/>
        <v>68.080666666666673</v>
      </c>
      <c r="D28" s="2">
        <f t="shared" si="16"/>
        <v>68.187333333333342</v>
      </c>
      <c r="E28" s="2">
        <f t="shared" si="16"/>
        <v>68.063666666666677</v>
      </c>
      <c r="F28" s="2">
        <f t="shared" si="16"/>
        <v>71.031666666666652</v>
      </c>
      <c r="G28" s="2">
        <f t="shared" si="16"/>
        <v>70.722666666666655</v>
      </c>
      <c r="H28" s="2">
        <f t="shared" si="16"/>
        <v>70.715333333333334</v>
      </c>
      <c r="I28" s="2">
        <f t="shared" si="16"/>
        <v>60.117666666666658</v>
      </c>
      <c r="J28" s="2">
        <f t="shared" si="16"/>
        <v>62.38033333333334</v>
      </c>
      <c r="K28" s="2">
        <f t="shared" si="16"/>
        <v>67.904999999999987</v>
      </c>
      <c r="L28" s="2">
        <f t="shared" si="16"/>
        <v>68.187333333333342</v>
      </c>
      <c r="M28" s="2">
        <f t="shared" si="16"/>
        <v>56.573666666666668</v>
      </c>
      <c r="N28" s="2">
        <f t="shared" si="16"/>
        <v>62.380499999999991</v>
      </c>
      <c r="O28" s="2">
        <f t="shared" si="16"/>
        <v>14.324999999999998</v>
      </c>
      <c r="P28" s="2">
        <f t="shared" si="16"/>
        <v>62.38033333333334</v>
      </c>
      <c r="Q28" s="2">
        <f t="shared" si="16"/>
        <v>23.952000000000002</v>
      </c>
      <c r="T28" s="2">
        <f t="shared" ref="T28:AI28" si="17">AVERAGE(T25:T27)</f>
        <v>72.407222222222217</v>
      </c>
      <c r="U28" s="2">
        <f t="shared" si="17"/>
        <v>67.213888888888889</v>
      </c>
      <c r="V28" s="2">
        <f t="shared" si="17"/>
        <v>64.572777777777773</v>
      </c>
      <c r="W28" s="2">
        <f t="shared" si="17"/>
        <v>64.137777777777771</v>
      </c>
      <c r="X28" s="2">
        <f t="shared" si="17"/>
        <v>68.635000000000005</v>
      </c>
      <c r="Y28" s="2">
        <f t="shared" si="17"/>
        <v>65.098888888888879</v>
      </c>
      <c r="Z28" s="2">
        <f t="shared" si="17"/>
        <v>66.546111111111102</v>
      </c>
      <c r="AA28" s="2">
        <f t="shared" si="17"/>
        <v>61.102222222222217</v>
      </c>
      <c r="AB28" s="2">
        <f t="shared" si="17"/>
        <v>62.99666666666667</v>
      </c>
      <c r="AC28" s="2">
        <f t="shared" si="17"/>
        <v>69.205555555555563</v>
      </c>
      <c r="AD28" s="2">
        <f t="shared" si="17"/>
        <v>64.572777777777773</v>
      </c>
      <c r="AE28" s="2">
        <f t="shared" si="17"/>
        <v>61.420555555555559</v>
      </c>
      <c r="AF28" s="2">
        <f t="shared" si="17"/>
        <v>62.99666666666667</v>
      </c>
      <c r="AG28" s="2">
        <f t="shared" si="17"/>
        <v>10.183888888888889</v>
      </c>
      <c r="AH28" s="2">
        <f t="shared" si="17"/>
        <v>62.99666666666667</v>
      </c>
      <c r="AI28" s="2">
        <f t="shared" si="17"/>
        <v>25.773888888888887</v>
      </c>
    </row>
    <row r="29" spans="1:35" x14ac:dyDescent="0.25">
      <c r="B29" s="2">
        <f t="shared" ref="B29:Q29" si="18">_xlfn.STDEV.S(B25:B27)</f>
        <v>2.4634837797991129</v>
      </c>
      <c r="C29" s="2">
        <f t="shared" si="18"/>
        <v>1.3879669784736612</v>
      </c>
      <c r="D29" s="2">
        <f t="shared" si="18"/>
        <v>1.9227741243664973</v>
      </c>
      <c r="E29" s="2">
        <f t="shared" si="18"/>
        <v>1.4513753247638324</v>
      </c>
      <c r="F29" s="2">
        <f t="shared" si="18"/>
        <v>1.6209411874998216</v>
      </c>
      <c r="G29" s="2">
        <f t="shared" si="18"/>
        <v>1.5040306956087501</v>
      </c>
      <c r="H29" s="2">
        <f t="shared" si="18"/>
        <v>0.41186567389542378</v>
      </c>
      <c r="I29" s="2">
        <f t="shared" si="18"/>
        <v>1.8669044788990461</v>
      </c>
      <c r="J29" s="2">
        <f t="shared" si="18"/>
        <v>2.039430394334004</v>
      </c>
      <c r="K29" s="2">
        <f t="shared" si="18"/>
        <v>2.3135511664970849</v>
      </c>
      <c r="L29" s="2">
        <f t="shared" si="18"/>
        <v>1.9227741243664973</v>
      </c>
      <c r="M29" s="2">
        <f t="shared" si="18"/>
        <v>3.8974740965570676</v>
      </c>
      <c r="N29" s="2">
        <f t="shared" si="18"/>
        <v>2.0380581444110026</v>
      </c>
      <c r="O29" s="2">
        <f t="shared" si="18"/>
        <v>1.4632662095463016</v>
      </c>
      <c r="P29" s="2">
        <f t="shared" si="18"/>
        <v>2.039430394334004</v>
      </c>
      <c r="Q29" s="2">
        <f t="shared" si="18"/>
        <v>3.7474320540871502</v>
      </c>
      <c r="T29" s="2">
        <f t="shared" ref="T29:AI29" si="19">_xlfn.STDEV.S(T25:T27)</f>
        <v>1.8896430683930596</v>
      </c>
      <c r="U29" s="2">
        <f t="shared" si="19"/>
        <v>0.83622387574761381</v>
      </c>
      <c r="V29" s="2">
        <f t="shared" si="19"/>
        <v>6.9302942725185748</v>
      </c>
      <c r="W29" s="2">
        <f t="shared" si="19"/>
        <v>4.4475015874500103</v>
      </c>
      <c r="X29" s="2">
        <f t="shared" si="19"/>
        <v>1.6879236093825802</v>
      </c>
      <c r="Y29" s="2">
        <f t="shared" si="19"/>
        <v>7.5886319095907684</v>
      </c>
      <c r="Z29" s="2">
        <f t="shared" si="19"/>
        <v>4.762131972754001</v>
      </c>
      <c r="AA29" s="2">
        <f t="shared" si="19"/>
        <v>3.0435297186241086</v>
      </c>
      <c r="AB29" s="2">
        <f t="shared" si="19"/>
        <v>2.3774268302796044</v>
      </c>
      <c r="AC29" s="2">
        <f t="shared" si="19"/>
        <v>3.3997946561084693</v>
      </c>
      <c r="AD29" s="2">
        <f t="shared" si="19"/>
        <v>6.9302942725185748</v>
      </c>
      <c r="AE29" s="2">
        <f t="shared" si="19"/>
        <v>2.289557413158307</v>
      </c>
      <c r="AF29" s="2">
        <f t="shared" si="19"/>
        <v>2.3771258030094513</v>
      </c>
      <c r="AG29" s="2">
        <f t="shared" si="19"/>
        <v>3.0782436971850071</v>
      </c>
      <c r="AH29" s="2">
        <f t="shared" si="19"/>
        <v>2.3774268302796044</v>
      </c>
      <c r="AI29" s="2">
        <f t="shared" si="19"/>
        <v>5.0708856703224443</v>
      </c>
    </row>
    <row r="30" spans="1:35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 spans="1:35" x14ac:dyDescent="0.25">
      <c r="A31" s="1" t="s">
        <v>88</v>
      </c>
      <c r="B31">
        <v>74.683999999999997</v>
      </c>
      <c r="C31">
        <v>73.853999999999999</v>
      </c>
      <c r="D31">
        <v>57.295000000000002</v>
      </c>
      <c r="E31">
        <v>66.332000000000008</v>
      </c>
      <c r="F31">
        <v>76.929999999999993</v>
      </c>
      <c r="G31">
        <v>59.955999999999996</v>
      </c>
      <c r="H31">
        <v>67.051999999999992</v>
      </c>
      <c r="I31">
        <v>61.667000000000009</v>
      </c>
      <c r="J31">
        <v>65.866000000000014</v>
      </c>
      <c r="K31">
        <v>73.49199999999999</v>
      </c>
      <c r="L31">
        <v>57.295000000000002</v>
      </c>
      <c r="M31">
        <v>74.436999999999998</v>
      </c>
      <c r="N31">
        <v>65.866000000000014</v>
      </c>
      <c r="O31">
        <v>19.709000000000003</v>
      </c>
      <c r="P31">
        <v>65.866000000000014</v>
      </c>
      <c r="Q31">
        <v>29.515000000000004</v>
      </c>
      <c r="S31" s="1" t="s">
        <v>88</v>
      </c>
      <c r="T31">
        <v>76.530000000000015</v>
      </c>
      <c r="U31">
        <v>71.216666666666669</v>
      </c>
      <c r="V31">
        <v>78.108333333333334</v>
      </c>
      <c r="W31">
        <v>73.456666666666663</v>
      </c>
      <c r="X31">
        <v>72.571666666666673</v>
      </c>
      <c r="Y31">
        <v>79.108333333333334</v>
      </c>
      <c r="Z31">
        <v>75.658333333333331</v>
      </c>
      <c r="AA31">
        <v>68.416666666666671</v>
      </c>
      <c r="AB31">
        <v>69.573333333333338</v>
      </c>
      <c r="AC31">
        <v>77.106666666666669</v>
      </c>
      <c r="AD31">
        <v>78.108333333333334</v>
      </c>
      <c r="AE31">
        <v>61.038333333333334</v>
      </c>
      <c r="AF31">
        <v>69.573333333333338</v>
      </c>
      <c r="AG31">
        <v>17.065000000000001</v>
      </c>
      <c r="AH31">
        <v>69.573333333333338</v>
      </c>
      <c r="AI31">
        <v>39.654999999999994</v>
      </c>
    </row>
    <row r="32" spans="1:35" x14ac:dyDescent="0.25">
      <c r="B32">
        <v>75.599999999999994</v>
      </c>
      <c r="C32">
        <v>73.858999999999995</v>
      </c>
      <c r="D32">
        <v>62.540999999999997</v>
      </c>
      <c r="E32">
        <v>68.695999999999998</v>
      </c>
      <c r="F32">
        <v>76.981999999999999</v>
      </c>
      <c r="G32">
        <v>64.522999999999996</v>
      </c>
      <c r="H32">
        <v>69.962999999999994</v>
      </c>
      <c r="I32">
        <v>63.588000000000001</v>
      </c>
      <c r="J32">
        <v>66.468999999999994</v>
      </c>
      <c r="K32">
        <v>73.992999999999995</v>
      </c>
      <c r="L32">
        <v>62.540999999999997</v>
      </c>
      <c r="M32">
        <v>70.397000000000006</v>
      </c>
      <c r="N32">
        <v>66.468999999999994</v>
      </c>
      <c r="O32">
        <v>12.904999999999998</v>
      </c>
      <c r="P32">
        <v>66.468999999999994</v>
      </c>
      <c r="Q32">
        <v>31.078000000000003</v>
      </c>
      <c r="T32">
        <v>77.164999999999992</v>
      </c>
      <c r="U32">
        <v>74.243333333333325</v>
      </c>
      <c r="V32">
        <v>63.941666666666663</v>
      </c>
      <c r="W32">
        <v>67.556666666666658</v>
      </c>
      <c r="X32">
        <v>75.393333333333331</v>
      </c>
      <c r="Y32">
        <v>64.484999999999999</v>
      </c>
      <c r="Z32">
        <v>69.27000000000001</v>
      </c>
      <c r="AA32">
        <v>66.14</v>
      </c>
      <c r="AB32">
        <v>68.530000000000015</v>
      </c>
      <c r="AC32">
        <v>75.913333333333341</v>
      </c>
      <c r="AD32">
        <v>63.941666666666663</v>
      </c>
      <c r="AE32">
        <v>73.116666666666674</v>
      </c>
      <c r="AF32">
        <v>68.529166666666683</v>
      </c>
      <c r="AG32">
        <v>13.518333333333331</v>
      </c>
      <c r="AH32">
        <v>68.530000000000015</v>
      </c>
      <c r="AI32">
        <v>35.87166666666667</v>
      </c>
    </row>
    <row r="33" spans="1:35" x14ac:dyDescent="0.25">
      <c r="B33">
        <v>72.278999999999996</v>
      </c>
      <c r="C33">
        <v>68.876999999999995</v>
      </c>
      <c r="D33">
        <v>74.938999999999993</v>
      </c>
      <c r="E33">
        <v>71.435999999999993</v>
      </c>
      <c r="F33">
        <v>71.523999999999972</v>
      </c>
      <c r="G33">
        <v>76.95</v>
      </c>
      <c r="H33">
        <v>73.921000000000021</v>
      </c>
      <c r="I33">
        <v>62.55</v>
      </c>
      <c r="J33">
        <v>64.857000000000014</v>
      </c>
      <c r="K33">
        <v>70.594999999999999</v>
      </c>
      <c r="L33">
        <v>74.938999999999993</v>
      </c>
      <c r="M33">
        <v>54.774999999999999</v>
      </c>
      <c r="N33">
        <v>64.856999999999999</v>
      </c>
      <c r="O33">
        <v>20.161999999999999</v>
      </c>
      <c r="P33">
        <v>64.857000000000014</v>
      </c>
      <c r="Q33">
        <v>28.748000000000001</v>
      </c>
      <c r="T33">
        <v>77.601666666666674</v>
      </c>
      <c r="U33">
        <v>70.141666666666652</v>
      </c>
      <c r="V33">
        <v>76.010000000000005</v>
      </c>
      <c r="W33">
        <v>72.153333333333322</v>
      </c>
      <c r="X33">
        <v>71.746666666666655</v>
      </c>
      <c r="Y33">
        <v>77.314999999999998</v>
      </c>
      <c r="Z33">
        <v>74.401666666666657</v>
      </c>
      <c r="AA33">
        <v>67.048333333333332</v>
      </c>
      <c r="AB33">
        <v>68.096666666666664</v>
      </c>
      <c r="AC33">
        <v>76.14</v>
      </c>
      <c r="AD33">
        <v>76.010000000000005</v>
      </c>
      <c r="AE33">
        <v>60.180000000000007</v>
      </c>
      <c r="AF33">
        <v>68.095000000000013</v>
      </c>
      <c r="AG33">
        <v>15.828333333333335</v>
      </c>
      <c r="AH33">
        <v>68.096666666666664</v>
      </c>
      <c r="AI33">
        <v>36.273333333333333</v>
      </c>
    </row>
    <row r="34" spans="1:35" x14ac:dyDescent="0.25">
      <c r="B34" s="2">
        <f t="shared" ref="B34:Q34" si="20">AVERAGE(B31:B33)</f>
        <v>74.187666666666658</v>
      </c>
      <c r="C34" s="2">
        <f t="shared" si="20"/>
        <v>72.196666666666658</v>
      </c>
      <c r="D34" s="2">
        <f t="shared" si="20"/>
        <v>64.924999999999997</v>
      </c>
      <c r="E34" s="2">
        <f t="shared" si="20"/>
        <v>68.821333333333328</v>
      </c>
      <c r="F34" s="2">
        <f t="shared" si="20"/>
        <v>75.145333333333312</v>
      </c>
      <c r="G34" s="2">
        <f t="shared" si="20"/>
        <v>67.142999999999986</v>
      </c>
      <c r="H34" s="2">
        <f t="shared" si="20"/>
        <v>70.311999999999998</v>
      </c>
      <c r="I34" s="2">
        <f t="shared" si="20"/>
        <v>62.601666666666667</v>
      </c>
      <c r="J34" s="2">
        <f t="shared" si="20"/>
        <v>65.730666666666664</v>
      </c>
      <c r="K34" s="2">
        <f t="shared" si="20"/>
        <v>72.693333333333328</v>
      </c>
      <c r="L34" s="2">
        <f t="shared" si="20"/>
        <v>64.924999999999997</v>
      </c>
      <c r="M34" s="2">
        <f t="shared" si="20"/>
        <v>66.536333333333332</v>
      </c>
      <c r="N34" s="2">
        <f t="shared" si="20"/>
        <v>65.730666666666664</v>
      </c>
      <c r="O34" s="2">
        <f t="shared" si="20"/>
        <v>17.592000000000002</v>
      </c>
      <c r="P34" s="2">
        <f t="shared" si="20"/>
        <v>65.730666666666664</v>
      </c>
      <c r="Q34" s="2">
        <f t="shared" si="20"/>
        <v>29.780333333333335</v>
      </c>
      <c r="T34" s="2">
        <f>AVERAGE(T31:T33)</f>
        <v>77.098888888888894</v>
      </c>
      <c r="U34" s="2">
        <f t="shared" ref="U34:AI34" si="21">AVERAGE(U31:U33)</f>
        <v>71.86722222222221</v>
      </c>
      <c r="V34" s="2">
        <f t="shared" si="21"/>
        <v>72.686666666666667</v>
      </c>
      <c r="W34" s="2">
        <f t="shared" si="21"/>
        <v>71.055555555555543</v>
      </c>
      <c r="X34" s="2">
        <f t="shared" si="21"/>
        <v>73.237222222222215</v>
      </c>
      <c r="Y34" s="2">
        <f t="shared" si="21"/>
        <v>73.636111111111106</v>
      </c>
      <c r="Z34" s="2">
        <f t="shared" si="21"/>
        <v>73.11</v>
      </c>
      <c r="AA34" s="2">
        <f t="shared" si="21"/>
        <v>67.201666666666668</v>
      </c>
      <c r="AB34" s="2">
        <f t="shared" si="21"/>
        <v>68.733333333333334</v>
      </c>
      <c r="AC34" s="2">
        <f t="shared" si="21"/>
        <v>76.38666666666667</v>
      </c>
      <c r="AD34" s="2">
        <f>AVERAGE(AD31:AD33)</f>
        <v>72.686666666666667</v>
      </c>
      <c r="AE34" s="2">
        <f t="shared" si="21"/>
        <v>64.778333333333336</v>
      </c>
      <c r="AF34" s="2">
        <f t="shared" si="21"/>
        <v>68.732500000000016</v>
      </c>
      <c r="AG34" s="2">
        <f t="shared" si="21"/>
        <v>15.470555555555556</v>
      </c>
      <c r="AH34" s="2">
        <f t="shared" si="21"/>
        <v>68.733333333333334</v>
      </c>
      <c r="AI34" s="2">
        <f t="shared" si="21"/>
        <v>37.266666666666673</v>
      </c>
    </row>
    <row r="35" spans="1:35" x14ac:dyDescent="0.25">
      <c r="B35" s="2">
        <f t="shared" ref="B35:Q35" si="22">_xlfn.STDEV.S(B31:B33)</f>
        <v>1.7152318599341989</v>
      </c>
      <c r="C35" s="2">
        <f t="shared" si="22"/>
        <v>2.8749167524179442</v>
      </c>
      <c r="D35" s="2">
        <f t="shared" si="22"/>
        <v>9.0603684251801653</v>
      </c>
      <c r="E35" s="2">
        <f t="shared" si="22"/>
        <v>2.5543072120113695</v>
      </c>
      <c r="F35" s="2">
        <f t="shared" si="22"/>
        <v>3.1362744352708387</v>
      </c>
      <c r="G35" s="2">
        <f t="shared" si="22"/>
        <v>8.7947318890345709</v>
      </c>
      <c r="H35" s="2">
        <f t="shared" si="22"/>
        <v>3.4477733394177901</v>
      </c>
      <c r="I35" s="2">
        <f t="shared" si="22"/>
        <v>0.96154164409729359</v>
      </c>
      <c r="J35" s="2">
        <f t="shared" si="22"/>
        <v>0.81447672362893164</v>
      </c>
      <c r="K35" s="2">
        <f t="shared" si="22"/>
        <v>1.8343942687801118</v>
      </c>
      <c r="L35" s="2">
        <f t="shared" si="22"/>
        <v>9.0603684251801653</v>
      </c>
      <c r="M35" s="2">
        <f t="shared" si="22"/>
        <v>10.383983885452333</v>
      </c>
      <c r="N35" s="2">
        <f t="shared" si="22"/>
        <v>0.81447672362893919</v>
      </c>
      <c r="O35" s="2">
        <f t="shared" si="22"/>
        <v>4.0653756284013722</v>
      </c>
      <c r="P35" s="2">
        <f t="shared" si="22"/>
        <v>0.81447672362893164</v>
      </c>
      <c r="Q35" s="2">
        <f t="shared" si="22"/>
        <v>1.1874452969856484</v>
      </c>
      <c r="T35" s="2">
        <f>_xlfn.STDEV.S(T31:T33)</f>
        <v>0.53888344785339681</v>
      </c>
      <c r="U35" s="2">
        <f t="shared" ref="U35:AI35" si="23">_xlfn.STDEV.S(U31:U33)</f>
        <v>2.1268131698057693</v>
      </c>
      <c r="V35" s="2">
        <f t="shared" si="23"/>
        <v>7.645719027301781</v>
      </c>
      <c r="W35" s="2">
        <f t="shared" si="23"/>
        <v>3.0994091432137587</v>
      </c>
      <c r="X35" s="2">
        <f t="shared" si="23"/>
        <v>1.9122676571527848</v>
      </c>
      <c r="Y35" s="2">
        <f t="shared" si="23"/>
        <v>7.9756590346526872</v>
      </c>
      <c r="Z35" s="2">
        <f t="shared" si="23"/>
        <v>3.3843762760334024</v>
      </c>
      <c r="AA35" s="2">
        <f t="shared" si="23"/>
        <v>1.1460524033006154</v>
      </c>
      <c r="AB35" s="2">
        <f t="shared" si="23"/>
        <v>0.75904179360852497</v>
      </c>
      <c r="AC35" s="2">
        <f t="shared" si="23"/>
        <v>0.63375424609578945</v>
      </c>
      <c r="AD35" s="2">
        <f t="shared" si="23"/>
        <v>7.645719027301781</v>
      </c>
      <c r="AE35" s="2">
        <f t="shared" si="23"/>
        <v>7.233950242510045</v>
      </c>
      <c r="AF35" s="2">
        <f t="shared" si="23"/>
        <v>0.75985241622596467</v>
      </c>
      <c r="AG35" s="2">
        <f t="shared" si="23"/>
        <v>1.8001985487203414</v>
      </c>
      <c r="AH35" s="2">
        <f t="shared" si="23"/>
        <v>0.75904179360852497</v>
      </c>
      <c r="AI35" s="2">
        <f t="shared" si="23"/>
        <v>2.0780847218318823</v>
      </c>
    </row>
    <row r="37" spans="1:35" x14ac:dyDescent="0.25">
      <c r="A37" s="1" t="s">
        <v>89</v>
      </c>
      <c r="B37">
        <v>74.626000000000005</v>
      </c>
      <c r="C37">
        <v>74.158000000000001</v>
      </c>
      <c r="D37">
        <v>52.551000000000002</v>
      </c>
      <c r="E37">
        <v>62.350999999999999</v>
      </c>
      <c r="F37">
        <v>77.088999999999999</v>
      </c>
      <c r="G37">
        <v>54.024999999999999</v>
      </c>
      <c r="H37">
        <v>62.878999999999998</v>
      </c>
      <c r="I37">
        <v>59.106000000000009</v>
      </c>
      <c r="J37">
        <v>64.280999999999992</v>
      </c>
      <c r="K37">
        <v>72.716999999999999</v>
      </c>
      <c r="L37">
        <v>52.551000000000002</v>
      </c>
      <c r="M37">
        <v>76.010999999999996</v>
      </c>
      <c r="N37">
        <v>64.280999999999992</v>
      </c>
      <c r="O37">
        <v>27.538999999999998</v>
      </c>
      <c r="P37">
        <v>64.280999999999992</v>
      </c>
      <c r="Q37">
        <v>26.571000000000005</v>
      </c>
      <c r="S37" s="1" t="s">
        <v>89</v>
      </c>
      <c r="T37">
        <v>76.498333333333321</v>
      </c>
      <c r="U37">
        <v>71.5</v>
      </c>
      <c r="V37">
        <v>71.561666666666667</v>
      </c>
      <c r="W37">
        <v>70.7</v>
      </c>
      <c r="X37">
        <v>73.193333333333342</v>
      </c>
      <c r="Y37">
        <v>72.651666666666685</v>
      </c>
      <c r="Z37">
        <v>72.88666666666667</v>
      </c>
      <c r="AA37">
        <v>67.05</v>
      </c>
      <c r="AB37">
        <v>68.188333333333333</v>
      </c>
      <c r="AC37">
        <v>75.3</v>
      </c>
      <c r="AD37">
        <v>71.561666666666667</v>
      </c>
      <c r="AE37">
        <v>64.813333333333318</v>
      </c>
      <c r="AF37">
        <v>68.1875</v>
      </c>
      <c r="AG37">
        <v>9.5966666666666676</v>
      </c>
      <c r="AH37">
        <v>68.188333333333333</v>
      </c>
      <c r="AI37">
        <v>35.695</v>
      </c>
    </row>
    <row r="38" spans="1:35" x14ac:dyDescent="0.25">
      <c r="B38">
        <v>75.044000000000011</v>
      </c>
      <c r="C38">
        <v>74.72999999999999</v>
      </c>
      <c r="D38">
        <v>62.164000000000001</v>
      </c>
      <c r="E38">
        <v>67.217999999999989</v>
      </c>
      <c r="F38">
        <v>78.298000000000002</v>
      </c>
      <c r="G38">
        <v>65.783999999999992</v>
      </c>
      <c r="H38">
        <v>71.366</v>
      </c>
      <c r="I38">
        <v>63.820999999999984</v>
      </c>
      <c r="J38">
        <v>66.21599999999998</v>
      </c>
      <c r="K38">
        <v>73.453000000000003</v>
      </c>
      <c r="L38">
        <v>62.164000000000001</v>
      </c>
      <c r="M38">
        <v>70.265000000000015</v>
      </c>
      <c r="N38">
        <v>66.214499999999987</v>
      </c>
      <c r="O38">
        <v>11.022</v>
      </c>
      <c r="P38">
        <v>66.21599999999998</v>
      </c>
      <c r="Q38">
        <v>31.657999999999998</v>
      </c>
      <c r="T38">
        <v>75.790000000000006</v>
      </c>
      <c r="U38">
        <v>68.808333333333337</v>
      </c>
      <c r="V38">
        <v>76.488333333333344</v>
      </c>
      <c r="W38">
        <v>71.314999999999998</v>
      </c>
      <c r="X38">
        <v>69.961666666666659</v>
      </c>
      <c r="Y38">
        <v>76.983333333333334</v>
      </c>
      <c r="Z38">
        <v>73.151666666666657</v>
      </c>
      <c r="AA38">
        <v>65.426666666666677</v>
      </c>
      <c r="AB38">
        <v>67.015000000000001</v>
      </c>
      <c r="AC38">
        <v>74.066666666666663</v>
      </c>
      <c r="AD38">
        <v>76.488333333333344</v>
      </c>
      <c r="AE38">
        <v>57.54</v>
      </c>
      <c r="AF38">
        <v>67.014166666666668</v>
      </c>
      <c r="AG38">
        <v>18.951666666666668</v>
      </c>
      <c r="AH38">
        <v>67.015000000000001</v>
      </c>
      <c r="AI38">
        <v>34.04</v>
      </c>
    </row>
    <row r="39" spans="1:35" x14ac:dyDescent="0.25">
      <c r="B39">
        <v>73.448999999999984</v>
      </c>
      <c r="C39">
        <v>69.150999999999996</v>
      </c>
      <c r="D39">
        <v>73.004999999999995</v>
      </c>
      <c r="E39">
        <v>71.929999999999993</v>
      </c>
      <c r="F39">
        <v>72.399000000000001</v>
      </c>
      <c r="G39">
        <v>75.611999999999995</v>
      </c>
      <c r="H39">
        <v>73.872</v>
      </c>
      <c r="I39">
        <v>63.982000000000014</v>
      </c>
      <c r="J39">
        <v>65.756</v>
      </c>
      <c r="K39">
        <v>72.640000000000015</v>
      </c>
      <c r="L39">
        <v>73.004999999999995</v>
      </c>
      <c r="M39">
        <v>58.506999999999991</v>
      </c>
      <c r="N39">
        <v>65.756</v>
      </c>
      <c r="O39">
        <v>14.947999999999999</v>
      </c>
      <c r="P39">
        <v>65.756</v>
      </c>
      <c r="Q39">
        <v>30.972999999999995</v>
      </c>
      <c r="T39">
        <v>78.203333333333333</v>
      </c>
      <c r="U39">
        <v>70.581666666666663</v>
      </c>
      <c r="V39">
        <v>77.823333333333338</v>
      </c>
      <c r="W39">
        <v>72.986666666666665</v>
      </c>
      <c r="X39">
        <v>71.711666666666659</v>
      </c>
      <c r="Y39">
        <v>78.42</v>
      </c>
      <c r="Z39">
        <v>74.896666666666661</v>
      </c>
      <c r="AA39">
        <v>67.698333333333338</v>
      </c>
      <c r="AB39">
        <v>69.203333333333333</v>
      </c>
      <c r="AC39">
        <v>77.460000000000008</v>
      </c>
      <c r="AD39">
        <v>77.823333333333338</v>
      </c>
      <c r="AE39">
        <v>60.581666666666656</v>
      </c>
      <c r="AF39">
        <v>69.202500000000001</v>
      </c>
      <c r="AG39">
        <v>17.240000000000002</v>
      </c>
      <c r="AH39">
        <v>69.203333333333333</v>
      </c>
      <c r="AI39">
        <v>37.916666666666671</v>
      </c>
    </row>
    <row r="40" spans="1:35" x14ac:dyDescent="0.25">
      <c r="B40" s="2">
        <f t="shared" ref="B40:Q40" si="24">AVERAGE(B37:B39)</f>
        <v>74.373000000000005</v>
      </c>
      <c r="C40" s="2">
        <f t="shared" si="24"/>
        <v>72.679666666666662</v>
      </c>
      <c r="D40" s="2">
        <f t="shared" si="24"/>
        <v>62.573333333333331</v>
      </c>
      <c r="E40" s="2">
        <f t="shared" si="24"/>
        <v>67.166333333333327</v>
      </c>
      <c r="F40" s="2">
        <f t="shared" si="24"/>
        <v>75.928666666666672</v>
      </c>
      <c r="G40" s="2">
        <f t="shared" si="24"/>
        <v>65.140333333333331</v>
      </c>
      <c r="H40" s="2">
        <f t="shared" si="24"/>
        <v>69.372333333333344</v>
      </c>
      <c r="I40" s="2">
        <f t="shared" si="24"/>
        <v>62.302999999999997</v>
      </c>
      <c r="J40" s="2">
        <f t="shared" si="24"/>
        <v>65.417666666666648</v>
      </c>
      <c r="K40" s="2">
        <f t="shared" si="24"/>
        <v>72.936666666666682</v>
      </c>
      <c r="L40" s="2">
        <f t="shared" si="24"/>
        <v>62.573333333333331</v>
      </c>
      <c r="M40" s="2">
        <f t="shared" si="24"/>
        <v>68.26100000000001</v>
      </c>
      <c r="N40" s="2">
        <f t="shared" si="24"/>
        <v>65.41716666666666</v>
      </c>
      <c r="O40" s="2">
        <f t="shared" si="24"/>
        <v>17.836333333333332</v>
      </c>
      <c r="P40" s="2">
        <f t="shared" si="24"/>
        <v>65.417666666666648</v>
      </c>
      <c r="Q40" s="2">
        <f t="shared" si="24"/>
        <v>29.733999999999998</v>
      </c>
      <c r="T40" s="2">
        <f>AVERAGE(T37:T39)</f>
        <v>76.830555555555563</v>
      </c>
      <c r="U40" s="2">
        <f t="shared" ref="U40:AI40" si="25">AVERAGE(U37:U39)</f>
        <v>70.296666666666667</v>
      </c>
      <c r="V40" s="2">
        <f t="shared" si="25"/>
        <v>75.291111111111107</v>
      </c>
      <c r="W40" s="2">
        <f t="shared" si="25"/>
        <v>71.667222222222222</v>
      </c>
      <c r="X40" s="2">
        <f t="shared" si="25"/>
        <v>71.62222222222222</v>
      </c>
      <c r="Y40" s="2">
        <f t="shared" si="25"/>
        <v>76.018333333333331</v>
      </c>
      <c r="Z40" s="2">
        <f t="shared" si="25"/>
        <v>73.644999999999996</v>
      </c>
      <c r="AA40" s="2">
        <f t="shared" si="25"/>
        <v>66.725000000000009</v>
      </c>
      <c r="AB40" s="2">
        <f t="shared" si="25"/>
        <v>68.135555555555541</v>
      </c>
      <c r="AC40" s="2">
        <f t="shared" si="25"/>
        <v>75.608888888888899</v>
      </c>
      <c r="AD40" s="2">
        <f>AVERAGE(AD37:AD39)</f>
        <v>75.291111111111107</v>
      </c>
      <c r="AE40" s="2">
        <f t="shared" si="25"/>
        <v>60.978333333333325</v>
      </c>
      <c r="AF40" s="2">
        <f t="shared" si="25"/>
        <v>68.134722222222209</v>
      </c>
      <c r="AG40" s="2">
        <f t="shared" si="25"/>
        <v>15.26277777777778</v>
      </c>
      <c r="AH40" s="2">
        <f t="shared" si="25"/>
        <v>68.135555555555541</v>
      </c>
      <c r="AI40" s="2">
        <f t="shared" si="25"/>
        <v>35.88388888888889</v>
      </c>
    </row>
    <row r="41" spans="1:35" x14ac:dyDescent="0.25">
      <c r="B41" s="2">
        <f t="shared" ref="B41:Q41" si="26">_xlfn.STDEV.S(B37:B39)</f>
        <v>0.82705078441412749</v>
      </c>
      <c r="C41" s="2">
        <f t="shared" si="26"/>
        <v>3.06926902263932</v>
      </c>
      <c r="D41" s="2">
        <f t="shared" si="26"/>
        <v>10.233141958036802</v>
      </c>
      <c r="E41" s="2">
        <f t="shared" si="26"/>
        <v>4.7897090029910272</v>
      </c>
      <c r="F41" s="2">
        <f t="shared" si="26"/>
        <v>3.1159798351936319</v>
      </c>
      <c r="G41" s="2">
        <f t="shared" si="26"/>
        <v>10.807884729831848</v>
      </c>
      <c r="H41" s="2">
        <f t="shared" si="26"/>
        <v>5.7612969315366263</v>
      </c>
      <c r="I41" s="2">
        <f t="shared" si="26"/>
        <v>2.7698532452099278</v>
      </c>
      <c r="J41" s="2">
        <f t="shared" si="26"/>
        <v>1.0108948181355599</v>
      </c>
      <c r="K41" s="2">
        <f t="shared" si="26"/>
        <v>0.44881213590246283</v>
      </c>
      <c r="L41" s="2">
        <f t="shared" si="26"/>
        <v>10.233141958036802</v>
      </c>
      <c r="M41" s="2">
        <f t="shared" si="26"/>
        <v>8.9224164888217707</v>
      </c>
      <c r="N41" s="2">
        <f t="shared" si="26"/>
        <v>1.0103027186607647</v>
      </c>
      <c r="O41" s="2">
        <f t="shared" si="26"/>
        <v>8.6290019314711799</v>
      </c>
      <c r="P41" s="2">
        <f t="shared" si="26"/>
        <v>1.0108948181355599</v>
      </c>
      <c r="Q41" s="2">
        <f t="shared" si="26"/>
        <v>2.7605675141173371</v>
      </c>
      <c r="T41" s="2">
        <f>_xlfn.STDEV.S(T37:T39)</f>
        <v>1.2404931068523297</v>
      </c>
      <c r="U41" s="2">
        <f t="shared" ref="U41:AI41" si="27">_xlfn.STDEV.S(U37:U39)</f>
        <v>1.3682785210296566</v>
      </c>
      <c r="V41" s="2">
        <f t="shared" si="27"/>
        <v>3.2980483847494062</v>
      </c>
      <c r="W41" s="2">
        <f t="shared" si="27"/>
        <v>1.183324334864063</v>
      </c>
      <c r="X41" s="2">
        <f t="shared" si="27"/>
        <v>1.6176889665793666</v>
      </c>
      <c r="Y41" s="2">
        <f t="shared" si="27"/>
        <v>3.002804707454525</v>
      </c>
      <c r="Z41" s="2">
        <f t="shared" si="27"/>
        <v>1.0920431920639992</v>
      </c>
      <c r="AA41" s="2">
        <f t="shared" si="27"/>
        <v>1.1701863574282096</v>
      </c>
      <c r="AB41" s="2">
        <f t="shared" si="27"/>
        <v>1.0951209133309499</v>
      </c>
      <c r="AC41" s="2">
        <f t="shared" si="27"/>
        <v>1.7176254064949839</v>
      </c>
      <c r="AD41" s="2">
        <f t="shared" si="27"/>
        <v>3.2980483847494062</v>
      </c>
      <c r="AE41" s="2">
        <f t="shared" si="27"/>
        <v>3.6528554279874981</v>
      </c>
      <c r="AF41" s="2">
        <f t="shared" si="27"/>
        <v>1.0951209133309499</v>
      </c>
      <c r="AG41" s="2">
        <f t="shared" si="27"/>
        <v>4.9810703706168482</v>
      </c>
      <c r="AH41" s="2">
        <f t="shared" si="27"/>
        <v>1.0951209133309499</v>
      </c>
      <c r="AI41" s="2">
        <f t="shared" si="27"/>
        <v>1.9452237327285471</v>
      </c>
    </row>
    <row r="43" spans="1:35" x14ac:dyDescent="0.25">
      <c r="A43" s="1" t="s">
        <v>90</v>
      </c>
      <c r="B43">
        <v>74.924999999999997</v>
      </c>
      <c r="C43">
        <v>72.60499999999999</v>
      </c>
      <c r="D43">
        <v>62.809999999999988</v>
      </c>
      <c r="E43">
        <v>67.154000000000011</v>
      </c>
      <c r="F43">
        <v>75.90100000000001</v>
      </c>
      <c r="G43">
        <v>64.967999999999989</v>
      </c>
      <c r="H43">
        <v>69.768000000000001</v>
      </c>
      <c r="I43">
        <v>62.922000000000004</v>
      </c>
      <c r="J43">
        <v>66.084999999999994</v>
      </c>
      <c r="K43">
        <v>72.789000000000016</v>
      </c>
      <c r="L43">
        <v>62.809999999999988</v>
      </c>
      <c r="M43">
        <v>69.36</v>
      </c>
      <c r="N43">
        <v>66.084999999999994</v>
      </c>
      <c r="O43">
        <v>13.606</v>
      </c>
      <c r="P43">
        <v>66.084999999999994</v>
      </c>
      <c r="Q43">
        <v>30.048000000000002</v>
      </c>
      <c r="S43" s="1" t="s">
        <v>90</v>
      </c>
      <c r="T43">
        <v>76.59</v>
      </c>
      <c r="U43">
        <v>70.08</v>
      </c>
      <c r="V43">
        <v>78.836666666666687</v>
      </c>
      <c r="W43">
        <v>73.37166666666667</v>
      </c>
      <c r="X43">
        <v>71.826666666666668</v>
      </c>
      <c r="Y43">
        <v>80.196666666666673</v>
      </c>
      <c r="Z43">
        <v>75.723333333333343</v>
      </c>
      <c r="AA43">
        <v>67.51666666666668</v>
      </c>
      <c r="AB43">
        <v>68.484999999999999</v>
      </c>
      <c r="AC43">
        <v>74.95</v>
      </c>
      <c r="AD43">
        <v>78.836666666666687</v>
      </c>
      <c r="AE43">
        <v>58.133333333333326</v>
      </c>
      <c r="AF43">
        <v>68.484999999999999</v>
      </c>
      <c r="AG43">
        <v>20.701666666666668</v>
      </c>
      <c r="AH43">
        <v>68.484999999999999</v>
      </c>
      <c r="AI43">
        <v>37.593333333333327</v>
      </c>
    </row>
    <row r="44" spans="1:35" x14ac:dyDescent="0.25">
      <c r="B44">
        <v>76.239000000000004</v>
      </c>
      <c r="C44">
        <v>76.688999999999993</v>
      </c>
      <c r="D44">
        <v>52.647000000000006</v>
      </c>
      <c r="E44">
        <v>62.672000000000004</v>
      </c>
      <c r="F44">
        <v>79.850999999999999</v>
      </c>
      <c r="G44">
        <v>56.17199999999999</v>
      </c>
      <c r="H44">
        <v>65.474999999999994</v>
      </c>
      <c r="I44">
        <v>61.173999999999999</v>
      </c>
      <c r="J44">
        <v>66.396999999999991</v>
      </c>
      <c r="K44">
        <v>75.92</v>
      </c>
      <c r="L44">
        <v>52.647000000000006</v>
      </c>
      <c r="M44">
        <v>80.150000000000006</v>
      </c>
      <c r="N44">
        <v>66.398499999999999</v>
      </c>
      <c r="O44">
        <v>27.500999999999998</v>
      </c>
      <c r="P44">
        <v>66.396999999999991</v>
      </c>
      <c r="Q44">
        <v>31.295999999999999</v>
      </c>
      <c r="T44">
        <v>77.44</v>
      </c>
      <c r="U44">
        <v>72.01166666666667</v>
      </c>
      <c r="V44">
        <v>74.740000000000009</v>
      </c>
      <c r="W44">
        <v>72.621666666666655</v>
      </c>
      <c r="X44">
        <v>73.796666666666667</v>
      </c>
      <c r="Y44">
        <v>75.98833333333333</v>
      </c>
      <c r="Z44">
        <v>74.833333333333329</v>
      </c>
      <c r="AA44">
        <v>68.87833333333333</v>
      </c>
      <c r="AB44">
        <v>69.793333333333337</v>
      </c>
      <c r="AC44">
        <v>77.381666666666675</v>
      </c>
      <c r="AD44">
        <v>74.740000000000009</v>
      </c>
      <c r="AE44">
        <v>64.844999999999985</v>
      </c>
      <c r="AF44">
        <v>69.792500000000004</v>
      </c>
      <c r="AG44">
        <v>9.8933333333333326</v>
      </c>
      <c r="AH44">
        <v>69.793333333333337</v>
      </c>
      <c r="AI44">
        <v>39.213333333333331</v>
      </c>
    </row>
    <row r="45" spans="1:35" x14ac:dyDescent="0.25">
      <c r="B45">
        <v>74.905000000000001</v>
      </c>
      <c r="C45">
        <v>74.832999999999998</v>
      </c>
      <c r="D45">
        <v>59.100999999999999</v>
      </c>
      <c r="E45">
        <v>65.617999999999995</v>
      </c>
      <c r="F45">
        <v>78.236999999999995</v>
      </c>
      <c r="G45">
        <v>61.201999999999998</v>
      </c>
      <c r="H45">
        <v>68.459000000000003</v>
      </c>
      <c r="I45">
        <v>63.041000000000011</v>
      </c>
      <c r="J45">
        <v>66.828999999999994</v>
      </c>
      <c r="K45">
        <v>73.334000000000003</v>
      </c>
      <c r="L45">
        <v>59.100999999999999</v>
      </c>
      <c r="M45">
        <v>74.554000000000002</v>
      </c>
      <c r="N45">
        <v>66.827500000000015</v>
      </c>
      <c r="O45">
        <v>18.295000000000002</v>
      </c>
      <c r="P45">
        <v>66.828999999999994</v>
      </c>
      <c r="Q45">
        <v>31.580000000000002</v>
      </c>
      <c r="T45">
        <v>77.456666666666663</v>
      </c>
      <c r="U45">
        <v>70.704999999999998</v>
      </c>
      <c r="V45">
        <v>79.766666666666666</v>
      </c>
      <c r="W45">
        <v>74.05</v>
      </c>
      <c r="X45">
        <v>72.435000000000002</v>
      </c>
      <c r="Y45">
        <v>81.095000000000013</v>
      </c>
      <c r="Z45">
        <v>76.473333333333343</v>
      </c>
      <c r="AA45">
        <v>68.850000000000009</v>
      </c>
      <c r="AB45">
        <v>69.931666666666672</v>
      </c>
      <c r="AC45">
        <v>77.768333333333331</v>
      </c>
      <c r="AD45">
        <v>79.766666666666666</v>
      </c>
      <c r="AE45">
        <v>60.091666666666661</v>
      </c>
      <c r="AF45">
        <v>69.929166666666674</v>
      </c>
      <c r="AG45">
        <v>19.676666666666666</v>
      </c>
      <c r="AH45">
        <v>69.931666666666672</v>
      </c>
      <c r="AI45">
        <v>40.643333333333331</v>
      </c>
    </row>
    <row r="46" spans="1:35" x14ac:dyDescent="0.25">
      <c r="B46" s="2">
        <f t="shared" ref="B46:M46" si="28">AVERAGE(B43:B45)</f>
        <v>75.356333333333325</v>
      </c>
      <c r="C46" s="2">
        <f t="shared" si="28"/>
        <v>74.708999999999989</v>
      </c>
      <c r="D46" s="2">
        <f t="shared" si="28"/>
        <v>58.186</v>
      </c>
      <c r="E46" s="2">
        <f t="shared" si="28"/>
        <v>65.14800000000001</v>
      </c>
      <c r="F46" s="2">
        <f t="shared" si="28"/>
        <v>77.99633333333334</v>
      </c>
      <c r="G46" s="2">
        <f t="shared" si="28"/>
        <v>60.780666666666662</v>
      </c>
      <c r="H46" s="2">
        <f t="shared" si="28"/>
        <v>67.900666666666666</v>
      </c>
      <c r="I46" s="2">
        <f t="shared" si="28"/>
        <v>62.378999999999998</v>
      </c>
      <c r="J46" s="2">
        <f t="shared" si="28"/>
        <v>66.436999999999998</v>
      </c>
      <c r="K46" s="2">
        <f t="shared" si="28"/>
        <v>74.01433333333334</v>
      </c>
      <c r="L46" s="2">
        <f>AVERAGE(L43:L45)</f>
        <v>58.186</v>
      </c>
      <c r="M46" s="2">
        <f t="shared" si="28"/>
        <v>74.688000000000002</v>
      </c>
      <c r="N46" s="2">
        <f>AVERAGE(N43:N45)</f>
        <v>66.436999999999998</v>
      </c>
      <c r="O46" s="2">
        <f t="shared" ref="O46:Q46" si="29">AVERAGE(O43:O45)</f>
        <v>19.800666666666668</v>
      </c>
      <c r="P46" s="2">
        <f t="shared" si="29"/>
        <v>66.436999999999998</v>
      </c>
      <c r="Q46" s="2">
        <f t="shared" si="29"/>
        <v>30.974666666666668</v>
      </c>
      <c r="T46" s="2">
        <f>AVERAGE(T43:T45)</f>
        <v>77.162222222222226</v>
      </c>
      <c r="U46" s="2">
        <f t="shared" ref="U46:AE46" si="30">AVERAGE(U43:U45)</f>
        <v>70.932222222222222</v>
      </c>
      <c r="V46" s="2">
        <f t="shared" si="30"/>
        <v>77.781111111111116</v>
      </c>
      <c r="W46" s="2">
        <f t="shared" si="30"/>
        <v>73.347777777777779</v>
      </c>
      <c r="X46" s="2">
        <f t="shared" si="30"/>
        <v>72.686111111111117</v>
      </c>
      <c r="Y46" s="2">
        <f t="shared" si="30"/>
        <v>79.093333333333348</v>
      </c>
      <c r="Z46" s="2">
        <f t="shared" si="30"/>
        <v>75.676666666666677</v>
      </c>
      <c r="AA46" s="2">
        <f t="shared" si="30"/>
        <v>68.415000000000006</v>
      </c>
      <c r="AB46" s="2">
        <f t="shared" si="30"/>
        <v>69.403333333333336</v>
      </c>
      <c r="AC46" s="2">
        <f t="shared" si="30"/>
        <v>76.7</v>
      </c>
      <c r="AD46" s="2">
        <f>AVERAGE(AD43:AD45)</f>
        <v>77.781111111111116</v>
      </c>
      <c r="AE46" s="2">
        <f t="shared" si="30"/>
        <v>61.023333333333319</v>
      </c>
      <c r="AF46" s="2">
        <f>AVERAGE(AF43:AF45)</f>
        <v>69.402222222222221</v>
      </c>
      <c r="AG46" s="2">
        <f t="shared" ref="AG46:AI46" si="31">AVERAGE(AG43:AG45)</f>
        <v>16.757222222222222</v>
      </c>
      <c r="AH46" s="2">
        <f t="shared" si="31"/>
        <v>69.403333333333336</v>
      </c>
      <c r="AI46" s="2">
        <f t="shared" si="31"/>
        <v>39.15</v>
      </c>
    </row>
    <row r="47" spans="1:35" x14ac:dyDescent="0.25">
      <c r="B47" s="2">
        <f>_xlfn.STDEV.S(B43:B45)</f>
        <v>0.76447716338248961</v>
      </c>
      <c r="C47" s="2">
        <f t="shared" ref="C47:Q47" si="32">_xlfn.STDEV.S(C43:C45)</f>
        <v>2.0448217526229535</v>
      </c>
      <c r="D47" s="2">
        <f t="shared" si="32"/>
        <v>5.1429136683401477</v>
      </c>
      <c r="E47" s="2">
        <f t="shared" si="32"/>
        <v>2.2776645933938582</v>
      </c>
      <c r="F47" s="2">
        <f t="shared" si="32"/>
        <v>1.9859671027822461</v>
      </c>
      <c r="G47" s="2">
        <f t="shared" si="32"/>
        <v>4.4131106187510571</v>
      </c>
      <c r="H47" s="2">
        <f t="shared" si="32"/>
        <v>2.2002873297215868</v>
      </c>
      <c r="I47" s="2">
        <f t="shared" si="32"/>
        <v>1.0452554711648296</v>
      </c>
      <c r="J47" s="2">
        <f t="shared" si="32"/>
        <v>0.37360942172273975</v>
      </c>
      <c r="K47" s="2">
        <f t="shared" si="32"/>
        <v>1.6727015075420106</v>
      </c>
      <c r="L47" s="2">
        <f t="shared" si="32"/>
        <v>5.1429136683401477</v>
      </c>
      <c r="M47" s="2">
        <f t="shared" si="32"/>
        <v>5.3962479557559284</v>
      </c>
      <c r="N47" s="2">
        <f t="shared" si="32"/>
        <v>0.37274421524687412</v>
      </c>
      <c r="O47" s="2">
        <f t="shared" si="32"/>
        <v>7.068806853588038</v>
      </c>
      <c r="P47" s="2">
        <f t="shared" si="32"/>
        <v>0.37360942172273975</v>
      </c>
      <c r="Q47" s="2">
        <f t="shared" si="32"/>
        <v>0.81498302640811648</v>
      </c>
      <c r="T47" s="2">
        <f>_xlfn.STDEV.S(T43:T45)</f>
        <v>0.49562904288201737</v>
      </c>
      <c r="U47" s="2">
        <f t="shared" ref="U47:AI47" si="33">_xlfn.STDEV.S(U43:U45)</f>
        <v>0.98567564719916212</v>
      </c>
      <c r="V47" s="2">
        <f t="shared" si="33"/>
        <v>2.6744144391983427</v>
      </c>
      <c r="W47" s="2">
        <f t="shared" si="33"/>
        <v>0.71446626025099547</v>
      </c>
      <c r="X47" s="2">
        <f t="shared" si="33"/>
        <v>1.0087207703783001</v>
      </c>
      <c r="Y47" s="2">
        <f t="shared" si="33"/>
        <v>2.7262647421782953</v>
      </c>
      <c r="Z47" s="2">
        <f t="shared" si="33"/>
        <v>0.82099533088401055</v>
      </c>
      <c r="AA47" s="2">
        <f t="shared" si="33"/>
        <v>0.77810846144851054</v>
      </c>
      <c r="AB47" s="2">
        <f t="shared" si="33"/>
        <v>0.79830201747904639</v>
      </c>
      <c r="AC47" s="2">
        <f t="shared" si="33"/>
        <v>1.5278261608500412</v>
      </c>
      <c r="AD47" s="2">
        <f t="shared" si="33"/>
        <v>2.6744144391983427</v>
      </c>
      <c r="AE47" s="2">
        <f t="shared" si="33"/>
        <v>3.4514662745628</v>
      </c>
      <c r="AF47" s="2">
        <f t="shared" si="33"/>
        <v>0.79727153351173541</v>
      </c>
      <c r="AG47" s="2">
        <f t="shared" si="33"/>
        <v>5.966354352471817</v>
      </c>
      <c r="AH47" s="2">
        <f t="shared" si="33"/>
        <v>0.79830201747904639</v>
      </c>
      <c r="AI47" s="2">
        <f t="shared" si="33"/>
        <v>1.5259860200320774</v>
      </c>
    </row>
    <row r="49" spans="1:35" x14ac:dyDescent="0.25">
      <c r="A49" s="1" t="s">
        <v>91</v>
      </c>
      <c r="B49">
        <v>73.894999999999996</v>
      </c>
      <c r="C49">
        <v>73.472000000000008</v>
      </c>
      <c r="D49">
        <v>55.515000000000001</v>
      </c>
      <c r="E49">
        <v>63.928000000000011</v>
      </c>
      <c r="F49">
        <v>76.262000000000015</v>
      </c>
      <c r="G49">
        <v>57.162999999999997</v>
      </c>
      <c r="H49">
        <v>64.971000000000004</v>
      </c>
      <c r="I49">
        <v>60.172000000000004</v>
      </c>
      <c r="J49">
        <v>64.100999999999999</v>
      </c>
      <c r="K49">
        <v>71.61399999999999</v>
      </c>
      <c r="L49">
        <v>55.515000000000001</v>
      </c>
      <c r="M49">
        <v>72.685000000000002</v>
      </c>
      <c r="N49">
        <v>64.099999999999994</v>
      </c>
      <c r="O49">
        <v>21.336000000000002</v>
      </c>
      <c r="P49">
        <v>64.100999999999999</v>
      </c>
      <c r="Q49">
        <v>26.757000000000005</v>
      </c>
      <c r="S49" s="1" t="s">
        <v>91</v>
      </c>
      <c r="T49">
        <v>79.263333333333335</v>
      </c>
      <c r="U49">
        <v>71.786666666666662</v>
      </c>
      <c r="V49">
        <v>74.245000000000005</v>
      </c>
      <c r="W49">
        <v>71.596666666666678</v>
      </c>
      <c r="X49">
        <v>72.731666666666669</v>
      </c>
      <c r="Y49">
        <v>74.915000000000006</v>
      </c>
      <c r="Z49">
        <v>73.768333333333331</v>
      </c>
      <c r="AA49">
        <v>67.48</v>
      </c>
      <c r="AB49">
        <v>69.168333333333337</v>
      </c>
      <c r="AC49">
        <v>76.600000000000009</v>
      </c>
      <c r="AD49">
        <v>74.245000000000005</v>
      </c>
      <c r="AE49">
        <v>64.094999999999999</v>
      </c>
      <c r="AF49">
        <v>69.17</v>
      </c>
      <c r="AG49">
        <v>10.15</v>
      </c>
      <c r="AH49">
        <v>69.168333333333337</v>
      </c>
      <c r="AI49">
        <v>38.243333333333332</v>
      </c>
    </row>
    <row r="50" spans="1:35" x14ac:dyDescent="0.25">
      <c r="B50" s="1">
        <v>76.272000000000006</v>
      </c>
      <c r="C50" s="1">
        <v>74.792999999999992</v>
      </c>
      <c r="D50" s="1">
        <v>59.957999999999991</v>
      </c>
      <c r="E50" s="1">
        <v>68.039000000000001</v>
      </c>
      <c r="F50" s="1">
        <v>78.722000000000008</v>
      </c>
      <c r="G50" s="1">
        <v>64.304000000000002</v>
      </c>
      <c r="H50" s="1">
        <v>70.519000000000005</v>
      </c>
      <c r="I50" s="1">
        <v>63.539000000000001</v>
      </c>
      <c r="J50" s="1">
        <v>65.99199999999999</v>
      </c>
      <c r="K50" s="1">
        <v>75.263000000000005</v>
      </c>
      <c r="L50" s="1">
        <v>59.957999999999991</v>
      </c>
      <c r="M50" s="1">
        <v>72.03</v>
      </c>
      <c r="N50" s="1">
        <v>65.994</v>
      </c>
      <c r="O50" s="1">
        <v>15.491</v>
      </c>
      <c r="P50" s="1">
        <v>65.99199999999999</v>
      </c>
      <c r="Q50" s="1">
        <v>31.859000000000009</v>
      </c>
      <c r="T50">
        <v>77.233333333333334</v>
      </c>
      <c r="U50">
        <v>69.953333333333333</v>
      </c>
      <c r="V50">
        <v>77.50500000000001</v>
      </c>
      <c r="W50">
        <v>72.623333333333335</v>
      </c>
      <c r="X50">
        <v>72.196666666666673</v>
      </c>
      <c r="Y50">
        <v>79.778333333333322</v>
      </c>
      <c r="Z50">
        <v>75.676666666666662</v>
      </c>
      <c r="AA50">
        <v>67.504999999999995</v>
      </c>
      <c r="AB50">
        <v>68.226666666666659</v>
      </c>
      <c r="AC50">
        <v>76.053333333333342</v>
      </c>
      <c r="AD50">
        <v>77.50500000000001</v>
      </c>
      <c r="AE50">
        <v>58.945</v>
      </c>
      <c r="AF50">
        <v>68.224999999999994</v>
      </c>
      <c r="AG50">
        <v>18.565000000000001</v>
      </c>
      <c r="AH50">
        <v>68.226666666666659</v>
      </c>
      <c r="AI50">
        <v>37.613333333333337</v>
      </c>
    </row>
    <row r="51" spans="1:35" x14ac:dyDescent="0.25">
      <c r="B51">
        <v>74.132000000000005</v>
      </c>
      <c r="C51">
        <v>72.16</v>
      </c>
      <c r="D51">
        <v>63.438999999999986</v>
      </c>
      <c r="E51">
        <v>69.269000000000005</v>
      </c>
      <c r="F51">
        <v>76.578999999999994</v>
      </c>
      <c r="G51">
        <v>67.652999999999992</v>
      </c>
      <c r="H51">
        <v>71.656999999999996</v>
      </c>
      <c r="I51">
        <v>63.217000000000006</v>
      </c>
      <c r="J51">
        <v>65.323000000000008</v>
      </c>
      <c r="K51">
        <v>72.757999999999996</v>
      </c>
      <c r="L51">
        <v>63.438999999999986</v>
      </c>
      <c r="M51">
        <v>67.205000000000013</v>
      </c>
      <c r="N51">
        <v>65.321999999999974</v>
      </c>
      <c r="O51">
        <v>17.175000000000001</v>
      </c>
      <c r="P51">
        <v>65.323000000000008</v>
      </c>
      <c r="Q51">
        <v>29.374000000000002</v>
      </c>
      <c r="T51">
        <v>72.353333333333325</v>
      </c>
      <c r="U51">
        <v>66.803333333333342</v>
      </c>
      <c r="V51">
        <v>72.016666666666666</v>
      </c>
      <c r="W51">
        <v>68.321666666666673</v>
      </c>
      <c r="X51">
        <v>68.148333333333326</v>
      </c>
      <c r="Y51">
        <v>72.853333333333339</v>
      </c>
      <c r="Z51">
        <v>70.400000000000006</v>
      </c>
      <c r="AA51">
        <v>62.390000000000008</v>
      </c>
      <c r="AB51">
        <v>63.933333333333337</v>
      </c>
      <c r="AC51">
        <v>69.61333333333333</v>
      </c>
      <c r="AD51">
        <v>72.016666666666666</v>
      </c>
      <c r="AE51">
        <v>55.856666666666662</v>
      </c>
      <c r="AF51">
        <v>63.936666666666667</v>
      </c>
      <c r="AG51">
        <v>16.161666666666665</v>
      </c>
      <c r="AH51">
        <v>63.933333333333337</v>
      </c>
      <c r="AI51">
        <v>27.348333333333329</v>
      </c>
    </row>
    <row r="52" spans="1:35" x14ac:dyDescent="0.25">
      <c r="B52" s="2">
        <f t="shared" ref="B52:Q52" si="34">AVERAGE(B49:B51)</f>
        <v>74.766333333333336</v>
      </c>
      <c r="C52" s="2">
        <f t="shared" si="34"/>
        <v>73.474999999999994</v>
      </c>
      <c r="D52" s="2">
        <f t="shared" si="34"/>
        <v>59.637333333333324</v>
      </c>
      <c r="E52" s="2">
        <f t="shared" si="34"/>
        <v>67.078666666666678</v>
      </c>
      <c r="F52" s="2">
        <f t="shared" si="34"/>
        <v>77.187666666666686</v>
      </c>
      <c r="G52" s="2">
        <f t="shared" si="34"/>
        <v>63.04</v>
      </c>
      <c r="H52" s="2">
        <f t="shared" si="34"/>
        <v>69.048999999999992</v>
      </c>
      <c r="I52" s="2">
        <f t="shared" si="34"/>
        <v>62.309333333333342</v>
      </c>
      <c r="J52" s="2">
        <f t="shared" si="34"/>
        <v>65.138666666666666</v>
      </c>
      <c r="K52" s="2">
        <f t="shared" si="34"/>
        <v>73.211666666666659</v>
      </c>
      <c r="L52" s="2">
        <f t="shared" si="34"/>
        <v>59.637333333333324</v>
      </c>
      <c r="M52" s="2">
        <f t="shared" si="34"/>
        <v>70.64</v>
      </c>
      <c r="N52" s="2">
        <f t="shared" si="34"/>
        <v>65.138666666666651</v>
      </c>
      <c r="O52" s="2">
        <f t="shared" si="34"/>
        <v>18.000666666666664</v>
      </c>
      <c r="P52" s="2">
        <f t="shared" si="34"/>
        <v>65.138666666666666</v>
      </c>
      <c r="Q52" s="2">
        <f t="shared" si="34"/>
        <v>29.330000000000002</v>
      </c>
      <c r="T52" s="2">
        <f>AVERAGE(T49:T51)</f>
        <v>76.283333333333331</v>
      </c>
      <c r="U52" s="2">
        <f t="shared" ref="U52:AI52" si="35">AVERAGE(U49:U51)</f>
        <v>69.51444444444445</v>
      </c>
      <c r="V52" s="2">
        <f t="shared" si="35"/>
        <v>74.588888888888889</v>
      </c>
      <c r="W52" s="2">
        <f t="shared" si="35"/>
        <v>70.847222222222229</v>
      </c>
      <c r="X52" s="2">
        <f t="shared" si="35"/>
        <v>71.025555555555556</v>
      </c>
      <c r="Y52" s="2">
        <f t="shared" si="35"/>
        <v>75.848888888888894</v>
      </c>
      <c r="Z52" s="2">
        <f t="shared" si="35"/>
        <v>73.281666666666666</v>
      </c>
      <c r="AA52" s="2">
        <f t="shared" si="35"/>
        <v>65.791666666666671</v>
      </c>
      <c r="AB52" s="2">
        <f t="shared" si="35"/>
        <v>67.109444444444435</v>
      </c>
      <c r="AC52" s="2">
        <f t="shared" si="35"/>
        <v>74.088888888888903</v>
      </c>
      <c r="AD52" s="2">
        <f>AVERAGE(AD49:AD51)</f>
        <v>74.588888888888889</v>
      </c>
      <c r="AE52" s="2">
        <f t="shared" si="35"/>
        <v>59.632222222222218</v>
      </c>
      <c r="AF52" s="2">
        <f t="shared" si="35"/>
        <v>67.11055555555555</v>
      </c>
      <c r="AG52" s="2">
        <f t="shared" si="35"/>
        <v>14.958888888888888</v>
      </c>
      <c r="AH52" s="2">
        <f t="shared" si="35"/>
        <v>67.109444444444435</v>
      </c>
      <c r="AI52" s="2">
        <f t="shared" si="35"/>
        <v>34.401666666666664</v>
      </c>
    </row>
    <row r="53" spans="1:35" x14ac:dyDescent="0.25">
      <c r="B53" s="2">
        <f t="shared" ref="B53:Q53" si="36">_xlfn.STDEV.S(B49:B51)</f>
        <v>1.3093190342056982</v>
      </c>
      <c r="C53" s="2">
        <f t="shared" si="36"/>
        <v>1.3165025636131493</v>
      </c>
      <c r="D53" s="2">
        <f t="shared" si="36"/>
        <v>3.971720575938503</v>
      </c>
      <c r="E53" s="2">
        <f t="shared" si="36"/>
        <v>2.7970073888592624</v>
      </c>
      <c r="F53" s="2">
        <f t="shared" si="36"/>
        <v>1.3381914412121072</v>
      </c>
      <c r="G53" s="2">
        <f t="shared" si="36"/>
        <v>5.3580124113331413</v>
      </c>
      <c r="H53" s="2">
        <f t="shared" si="36"/>
        <v>3.5771949904918494</v>
      </c>
      <c r="I53" s="2">
        <f t="shared" si="36"/>
        <v>1.8579737170728039</v>
      </c>
      <c r="J53" s="2">
        <f t="shared" si="36"/>
        <v>0.95888181405912964</v>
      </c>
      <c r="K53" s="2">
        <f t="shared" si="36"/>
        <v>1.8663226766380356</v>
      </c>
      <c r="L53" s="2">
        <f t="shared" si="36"/>
        <v>3.971720575938503</v>
      </c>
      <c r="M53" s="2">
        <f t="shared" si="36"/>
        <v>2.9927704556146573</v>
      </c>
      <c r="N53" s="2">
        <f t="shared" si="36"/>
        <v>0.96021733650946661</v>
      </c>
      <c r="O53" s="2">
        <f t="shared" si="36"/>
        <v>3.0087040953429609</v>
      </c>
      <c r="P53" s="2">
        <f t="shared" si="36"/>
        <v>0.95888181405912964</v>
      </c>
      <c r="Q53" s="2">
        <f t="shared" si="36"/>
        <v>2.5512845784035951</v>
      </c>
      <c r="T53" s="2">
        <f t="shared" ref="T53:AI53" si="37">_xlfn.STDEV.S(T49:T51)</f>
        <v>3.5516052708599304</v>
      </c>
      <c r="U53" s="2">
        <f t="shared" si="37"/>
        <v>2.5204901051919122</v>
      </c>
      <c r="V53" s="2">
        <f t="shared" si="37"/>
        <v>2.7602799442031962</v>
      </c>
      <c r="W53" s="2">
        <f t="shared" si="37"/>
        <v>2.2466273076011638</v>
      </c>
      <c r="X53" s="2">
        <f t="shared" si="37"/>
        <v>2.5060650504400459</v>
      </c>
      <c r="Y53" s="2">
        <f t="shared" si="37"/>
        <v>3.5557021237151636</v>
      </c>
      <c r="Z53" s="2">
        <f t="shared" si="37"/>
        <v>2.6717851917980013</v>
      </c>
      <c r="AA53" s="2">
        <f t="shared" si="37"/>
        <v>2.9459562680619187</v>
      </c>
      <c r="AB53" s="2">
        <f t="shared" si="37"/>
        <v>2.7905994643392229</v>
      </c>
      <c r="AC53" s="2">
        <f t="shared" si="37"/>
        <v>3.8855706478275893</v>
      </c>
      <c r="AD53" s="2">
        <f t="shared" si="37"/>
        <v>2.7602799442031962</v>
      </c>
      <c r="AE53" s="2">
        <f t="shared" si="37"/>
        <v>4.1619394294985632</v>
      </c>
      <c r="AF53" s="2">
        <f t="shared" si="37"/>
        <v>2.7889844494473706</v>
      </c>
      <c r="AG53" s="2">
        <f t="shared" si="37"/>
        <v>4.3345198162007561</v>
      </c>
      <c r="AH53" s="2">
        <f t="shared" si="37"/>
        <v>2.7905994643392229</v>
      </c>
      <c r="AI53" s="2">
        <f t="shared" si="37"/>
        <v>6.116482513122496</v>
      </c>
    </row>
    <row r="55" spans="1:35" x14ac:dyDescent="0.25">
      <c r="A55" s="1" t="s">
        <v>92</v>
      </c>
      <c r="B55">
        <v>70.631</v>
      </c>
      <c r="C55">
        <v>72.080999999999989</v>
      </c>
      <c r="D55">
        <v>40.735000000000007</v>
      </c>
      <c r="E55">
        <v>47.536999999999999</v>
      </c>
      <c r="F55">
        <v>70.515000000000001</v>
      </c>
      <c r="G55">
        <v>39.978999999999999</v>
      </c>
      <c r="H55">
        <v>48.747</v>
      </c>
      <c r="I55">
        <v>50.166000000000004</v>
      </c>
      <c r="J55">
        <v>58.582999999999991</v>
      </c>
      <c r="K55">
        <v>65.982000000000014</v>
      </c>
      <c r="L55">
        <v>40.735000000000007</v>
      </c>
      <c r="M55">
        <v>76.430999999999997</v>
      </c>
      <c r="N55">
        <v>58.582999999999991</v>
      </c>
      <c r="O55">
        <v>40.631000000000007</v>
      </c>
      <c r="P55">
        <v>58.582999999999991</v>
      </c>
      <c r="Q55">
        <v>17.809999999999999</v>
      </c>
      <c r="S55" s="1" t="s">
        <v>92</v>
      </c>
      <c r="T55">
        <v>79.041666666666657</v>
      </c>
      <c r="U55">
        <v>72.36666666666666</v>
      </c>
      <c r="V55">
        <v>73.983333333333334</v>
      </c>
      <c r="W55">
        <v>72.031666666666652</v>
      </c>
      <c r="X55">
        <v>73.25500000000001</v>
      </c>
      <c r="Y55">
        <v>74.27</v>
      </c>
      <c r="Z55">
        <v>73.693333333333328</v>
      </c>
      <c r="AA55">
        <v>67.905000000000001</v>
      </c>
      <c r="AB55">
        <v>69.893333333333331</v>
      </c>
      <c r="AC55">
        <v>76.986666666666665</v>
      </c>
      <c r="AD55">
        <v>73.983333333333334</v>
      </c>
      <c r="AE55">
        <v>65.806666666666672</v>
      </c>
      <c r="AF55">
        <v>69.89500000000001</v>
      </c>
      <c r="AG55">
        <v>9.5966666666666658</v>
      </c>
      <c r="AH55">
        <v>69.893333333333331</v>
      </c>
      <c r="AI55">
        <v>39.073333333333331</v>
      </c>
    </row>
    <row r="56" spans="1:35" x14ac:dyDescent="0.25">
      <c r="B56">
        <v>74.108000000000004</v>
      </c>
      <c r="C56">
        <v>71.25</v>
      </c>
      <c r="D56">
        <v>71.387</v>
      </c>
      <c r="E56">
        <v>71.949000000000012</v>
      </c>
      <c r="F56">
        <v>74.001999999999995</v>
      </c>
      <c r="G56">
        <v>73.581000000000003</v>
      </c>
      <c r="H56">
        <v>73.73299999999999</v>
      </c>
      <c r="I56">
        <v>63.810999999999993</v>
      </c>
      <c r="J56">
        <v>66.066000000000003</v>
      </c>
      <c r="K56">
        <v>72.429999999999993</v>
      </c>
      <c r="L56">
        <v>71.387</v>
      </c>
      <c r="M56">
        <v>60.742999999999995</v>
      </c>
      <c r="N56">
        <v>66.064999999999998</v>
      </c>
      <c r="O56">
        <v>10.850000000000001</v>
      </c>
      <c r="P56">
        <v>66.066000000000003</v>
      </c>
      <c r="Q56">
        <v>31.308999999999997</v>
      </c>
      <c r="T56">
        <v>75.081666666666663</v>
      </c>
      <c r="U56">
        <v>68.111666666666665</v>
      </c>
      <c r="V56">
        <v>76.87</v>
      </c>
      <c r="W56">
        <v>71.086666666666659</v>
      </c>
      <c r="X56">
        <v>69.23833333333333</v>
      </c>
      <c r="Y56">
        <v>78.25500000000001</v>
      </c>
      <c r="Z56">
        <v>73.393333333333331</v>
      </c>
      <c r="AA56">
        <v>64.55</v>
      </c>
      <c r="AB56">
        <v>65.84333333333332</v>
      </c>
      <c r="AC56">
        <v>73.453333333333333</v>
      </c>
      <c r="AD56">
        <v>76.87</v>
      </c>
      <c r="AE56">
        <v>54.81666666666667</v>
      </c>
      <c r="AF56">
        <v>65.843333333333334</v>
      </c>
      <c r="AG56">
        <v>22.055000000000003</v>
      </c>
      <c r="AH56">
        <v>65.84333333333332</v>
      </c>
      <c r="AI56">
        <v>32.659999999999997</v>
      </c>
    </row>
    <row r="57" spans="1:35" x14ac:dyDescent="0.25">
      <c r="B57">
        <v>74.016999999999982</v>
      </c>
      <c r="C57">
        <v>71.902000000000001</v>
      </c>
      <c r="D57">
        <v>63.496999999999993</v>
      </c>
      <c r="E57">
        <v>66.150000000000006</v>
      </c>
      <c r="F57">
        <v>74.819999999999979</v>
      </c>
      <c r="G57">
        <v>66.335000000000008</v>
      </c>
      <c r="H57">
        <v>70.164999999999992</v>
      </c>
      <c r="I57">
        <v>63.034000000000013</v>
      </c>
      <c r="J57">
        <v>66.161000000000001</v>
      </c>
      <c r="K57">
        <v>73.061999999999998</v>
      </c>
      <c r="L57">
        <v>63.496999999999993</v>
      </c>
      <c r="M57">
        <v>68.820999999999998</v>
      </c>
      <c r="N57">
        <v>66.158999999999992</v>
      </c>
      <c r="O57">
        <v>8.6909999999999989</v>
      </c>
      <c r="P57">
        <v>66.161000000000001</v>
      </c>
      <c r="Q57">
        <v>29.947000000000003</v>
      </c>
      <c r="T57">
        <v>76.528333333333322</v>
      </c>
      <c r="U57">
        <v>69.76166666666667</v>
      </c>
      <c r="V57">
        <v>74.191666666666663</v>
      </c>
      <c r="W57">
        <v>71.064999999999998</v>
      </c>
      <c r="X57">
        <v>72.038333333333341</v>
      </c>
      <c r="Y57">
        <v>76.426666666666677</v>
      </c>
      <c r="Z57">
        <v>74.103333333333325</v>
      </c>
      <c r="AA57">
        <v>66.816666666666663</v>
      </c>
      <c r="AB57">
        <v>67.524999999999991</v>
      </c>
      <c r="AC57">
        <v>76.251666666666679</v>
      </c>
      <c r="AD57">
        <v>74.191666666666663</v>
      </c>
      <c r="AE57">
        <v>60.863333333333337</v>
      </c>
      <c r="AF57">
        <v>67.527500000000018</v>
      </c>
      <c r="AG57">
        <v>13.455</v>
      </c>
      <c r="AH57">
        <v>67.524999999999991</v>
      </c>
      <c r="AI57">
        <v>35.805</v>
      </c>
    </row>
    <row r="58" spans="1:35" x14ac:dyDescent="0.25">
      <c r="B58" s="2">
        <f>AVERAGE(B55:B57)</f>
        <v>72.918666666666653</v>
      </c>
      <c r="C58" s="2">
        <f t="shared" ref="C58:Q58" si="38">AVERAGE(C55:C57)</f>
        <v>71.74433333333333</v>
      </c>
      <c r="D58" s="2">
        <f t="shared" si="38"/>
        <v>58.539666666666669</v>
      </c>
      <c r="E58" s="2">
        <f t="shared" si="38"/>
        <v>61.878666666666675</v>
      </c>
      <c r="F58" s="2">
        <f t="shared" si="38"/>
        <v>73.112333333333325</v>
      </c>
      <c r="G58" s="2">
        <f t="shared" si="38"/>
        <v>59.965000000000003</v>
      </c>
      <c r="H58" s="2">
        <f t="shared" si="38"/>
        <v>64.214999999999989</v>
      </c>
      <c r="I58" s="2">
        <f t="shared" si="38"/>
        <v>59.003666666666675</v>
      </c>
      <c r="J58" s="2">
        <f t="shared" si="38"/>
        <v>63.603333333333332</v>
      </c>
      <c r="K58" s="2">
        <f t="shared" si="38"/>
        <v>70.49133333333333</v>
      </c>
      <c r="L58" s="2">
        <f>AVERAGE(L55:L57)</f>
        <v>58.539666666666669</v>
      </c>
      <c r="M58" s="2">
        <f t="shared" si="38"/>
        <v>68.664999999999992</v>
      </c>
      <c r="N58" s="2">
        <f t="shared" si="38"/>
        <v>63.602333333333327</v>
      </c>
      <c r="O58" s="2">
        <f t="shared" si="38"/>
        <v>20.057333333333336</v>
      </c>
      <c r="P58" s="2">
        <f t="shared" si="38"/>
        <v>63.603333333333332</v>
      </c>
      <c r="Q58" s="2">
        <f t="shared" si="38"/>
        <v>26.355333333333334</v>
      </c>
      <c r="T58" s="2">
        <f>AVERAGE(T55:T57)</f>
        <v>76.883888888888876</v>
      </c>
      <c r="U58" s="2">
        <f t="shared" ref="U58:AI58" si="39">AVERAGE(U55:U57)</f>
        <v>70.08</v>
      </c>
      <c r="V58" s="2">
        <f t="shared" si="39"/>
        <v>75.015000000000001</v>
      </c>
      <c r="W58" s="2">
        <f t="shared" si="39"/>
        <v>71.394444444444431</v>
      </c>
      <c r="X58" s="2">
        <f t="shared" si="39"/>
        <v>71.51055555555557</v>
      </c>
      <c r="Y58" s="2">
        <f t="shared" si="39"/>
        <v>76.317222222222227</v>
      </c>
      <c r="Z58" s="2">
        <f t="shared" si="39"/>
        <v>73.72999999999999</v>
      </c>
      <c r="AA58" s="2">
        <f t="shared" si="39"/>
        <v>66.423888888888882</v>
      </c>
      <c r="AB58" s="2">
        <f t="shared" si="39"/>
        <v>67.753888888888881</v>
      </c>
      <c r="AC58" s="2">
        <f t="shared" si="39"/>
        <v>75.563888888888883</v>
      </c>
      <c r="AD58" s="2">
        <f>AVERAGE(AD55:AD57)</f>
        <v>75.015000000000001</v>
      </c>
      <c r="AE58" s="2">
        <f t="shared" si="39"/>
        <v>60.495555555555562</v>
      </c>
      <c r="AF58" s="2">
        <f t="shared" si="39"/>
        <v>67.755277777777792</v>
      </c>
      <c r="AG58" s="2">
        <f t="shared" si="39"/>
        <v>15.035555555555556</v>
      </c>
      <c r="AH58" s="2">
        <f t="shared" si="39"/>
        <v>67.753888888888881</v>
      </c>
      <c r="AI58" s="2">
        <f t="shared" si="39"/>
        <v>35.846111111111107</v>
      </c>
    </row>
    <row r="59" spans="1:35" x14ac:dyDescent="0.25">
      <c r="B59" s="2">
        <f>_xlfn.STDEV.S(B55:B57)</f>
        <v>1.9816998595481903</v>
      </c>
      <c r="C59" s="2">
        <f t="shared" ref="C59:Q59" si="40">_xlfn.STDEV.S(C55:C57)</f>
        <v>0.43736064447241907</v>
      </c>
      <c r="D59" s="2">
        <f t="shared" si="40"/>
        <v>15.915955558285939</v>
      </c>
      <c r="E59" s="2">
        <f t="shared" si="40"/>
        <v>12.754201360074767</v>
      </c>
      <c r="F59" s="2">
        <f t="shared" si="40"/>
        <v>2.2862384681684658</v>
      </c>
      <c r="G59" s="2">
        <f t="shared" si="40"/>
        <v>17.683502933525357</v>
      </c>
      <c r="H59" s="2">
        <f t="shared" si="40"/>
        <v>13.513952937612267</v>
      </c>
      <c r="I59" s="2">
        <f t="shared" si="40"/>
        <v>7.6634976566403914</v>
      </c>
      <c r="J59" s="2">
        <f t="shared" si="40"/>
        <v>4.3479956685044421</v>
      </c>
      <c r="K59" s="2">
        <f t="shared" si="40"/>
        <v>3.9179613746607114</v>
      </c>
      <c r="L59" s="2">
        <f t="shared" si="40"/>
        <v>15.915955558285939</v>
      </c>
      <c r="M59" s="2">
        <f t="shared" si="40"/>
        <v>7.8451633507531264</v>
      </c>
      <c r="N59" s="2">
        <f t="shared" si="40"/>
        <v>4.3471242601670994</v>
      </c>
      <c r="O59" s="2">
        <f t="shared" si="40"/>
        <v>17.849989925300612</v>
      </c>
      <c r="P59" s="2">
        <f t="shared" si="40"/>
        <v>4.3479956685044421</v>
      </c>
      <c r="Q59" s="2">
        <f t="shared" si="40"/>
        <v>7.4317428866540629</v>
      </c>
      <c r="T59" s="2">
        <f t="shared" ref="T59:AI59" si="41">_xlfn.STDEV.S(T55:T57)</f>
        <v>2.0038000935259994</v>
      </c>
      <c r="U59" s="2">
        <f t="shared" si="41"/>
        <v>2.1452874710241798</v>
      </c>
      <c r="V59" s="2">
        <f t="shared" si="41"/>
        <v>1.6098507522265706</v>
      </c>
      <c r="W59" s="2">
        <f t="shared" si="41"/>
        <v>0.55195695618542151</v>
      </c>
      <c r="X59" s="2">
        <f t="shared" si="41"/>
        <v>2.0596880382268679</v>
      </c>
      <c r="Y59" s="2">
        <f t="shared" si="41"/>
        <v>1.9947530711380903</v>
      </c>
      <c r="Z59" s="2">
        <f t="shared" si="41"/>
        <v>0.35641735835019472</v>
      </c>
      <c r="AA59" s="2">
        <f t="shared" si="41"/>
        <v>1.7116401599159337</v>
      </c>
      <c r="AB59" s="2">
        <f t="shared" si="41"/>
        <v>2.03467874432123</v>
      </c>
      <c r="AC59" s="2">
        <f t="shared" si="41"/>
        <v>1.8643738398762253</v>
      </c>
      <c r="AD59" s="2">
        <f t="shared" si="41"/>
        <v>1.6098507522265706</v>
      </c>
      <c r="AE59" s="2">
        <f t="shared" si="41"/>
        <v>5.5042229579088069</v>
      </c>
      <c r="AF59" s="2">
        <f t="shared" si="41"/>
        <v>2.0354146337986023</v>
      </c>
      <c r="AG59" s="2">
        <f t="shared" si="41"/>
        <v>6.377784431858708</v>
      </c>
      <c r="AH59" s="2">
        <f t="shared" si="41"/>
        <v>2.03467874432123</v>
      </c>
      <c r="AI59" s="2">
        <f t="shared" si="41"/>
        <v>3.2068643101484207</v>
      </c>
    </row>
    <row r="60" spans="1:35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x14ac:dyDescent="0.25">
      <c r="A61" s="1" t="s">
        <v>86</v>
      </c>
      <c r="B61">
        <v>74.924999999999997</v>
      </c>
      <c r="C61">
        <v>72.60499999999999</v>
      </c>
      <c r="D61">
        <v>62.809999999999988</v>
      </c>
      <c r="E61">
        <v>67.154000000000011</v>
      </c>
      <c r="F61">
        <v>75.90100000000001</v>
      </c>
      <c r="G61">
        <v>64.967999999999989</v>
      </c>
      <c r="H61">
        <v>69.768000000000001</v>
      </c>
      <c r="I61">
        <v>62.922000000000004</v>
      </c>
      <c r="J61">
        <v>66.084999999999994</v>
      </c>
      <c r="K61">
        <v>72.789000000000016</v>
      </c>
      <c r="L61">
        <v>62.809999999999988</v>
      </c>
      <c r="M61">
        <v>69.36</v>
      </c>
      <c r="N61">
        <v>66.084999999999994</v>
      </c>
      <c r="O61">
        <v>13.606</v>
      </c>
      <c r="P61">
        <v>66.084999999999994</v>
      </c>
      <c r="Q61">
        <v>30.048000000000002</v>
      </c>
      <c r="S61" s="1" t="s">
        <v>86</v>
      </c>
      <c r="T61">
        <v>76.59</v>
      </c>
      <c r="U61">
        <v>70.08</v>
      </c>
      <c r="V61">
        <v>78.836666666666687</v>
      </c>
      <c r="W61">
        <v>73.37166666666667</v>
      </c>
      <c r="X61">
        <v>71.826666666666668</v>
      </c>
      <c r="Y61">
        <v>80.196666666666673</v>
      </c>
      <c r="Z61">
        <v>75.723333333333343</v>
      </c>
      <c r="AA61">
        <v>67.51666666666668</v>
      </c>
      <c r="AB61">
        <v>68.484999999999999</v>
      </c>
      <c r="AC61">
        <v>74.95</v>
      </c>
      <c r="AD61">
        <v>78.836666666666687</v>
      </c>
      <c r="AE61">
        <v>58.133333333333326</v>
      </c>
      <c r="AF61">
        <v>68.484999999999999</v>
      </c>
      <c r="AG61">
        <v>20.701666666666668</v>
      </c>
      <c r="AH61">
        <v>68.484999999999999</v>
      </c>
      <c r="AI61">
        <v>37.593333333333327</v>
      </c>
    </row>
    <row r="62" spans="1:35" x14ac:dyDescent="0.25">
      <c r="B62">
        <v>76.239000000000004</v>
      </c>
      <c r="C62">
        <v>76.688999999999993</v>
      </c>
      <c r="D62">
        <v>52.647000000000006</v>
      </c>
      <c r="E62">
        <v>62.672000000000004</v>
      </c>
      <c r="F62">
        <v>79.850999999999999</v>
      </c>
      <c r="G62">
        <v>56.17199999999999</v>
      </c>
      <c r="H62">
        <v>65.474999999999994</v>
      </c>
      <c r="I62">
        <v>61.173999999999999</v>
      </c>
      <c r="J62">
        <v>66.396999999999991</v>
      </c>
      <c r="K62">
        <v>75.92</v>
      </c>
      <c r="L62">
        <v>52.647000000000006</v>
      </c>
      <c r="M62">
        <v>80.150000000000006</v>
      </c>
      <c r="N62">
        <v>66.398499999999999</v>
      </c>
      <c r="O62">
        <v>27.500999999999998</v>
      </c>
      <c r="P62">
        <v>66.396999999999991</v>
      </c>
      <c r="Q62">
        <v>31.295999999999999</v>
      </c>
      <c r="T62">
        <v>77.44</v>
      </c>
      <c r="U62">
        <v>72.01166666666667</v>
      </c>
      <c r="V62">
        <v>74.740000000000009</v>
      </c>
      <c r="W62">
        <v>72.621666666666655</v>
      </c>
      <c r="X62">
        <v>73.796666666666667</v>
      </c>
      <c r="Y62">
        <v>75.98833333333333</v>
      </c>
      <c r="Z62">
        <v>74.833333333333329</v>
      </c>
      <c r="AA62">
        <v>68.87833333333333</v>
      </c>
      <c r="AB62">
        <v>69.793333333333337</v>
      </c>
      <c r="AC62">
        <v>77.381666666666675</v>
      </c>
      <c r="AD62">
        <v>74.740000000000009</v>
      </c>
      <c r="AE62">
        <v>64.844999999999985</v>
      </c>
      <c r="AF62">
        <v>69.792500000000004</v>
      </c>
      <c r="AG62">
        <v>9.8933333333333326</v>
      </c>
      <c r="AH62">
        <v>69.793333333333337</v>
      </c>
      <c r="AI62">
        <v>39.213333333333331</v>
      </c>
    </row>
    <row r="63" spans="1:35" x14ac:dyDescent="0.25">
      <c r="B63">
        <v>74.905000000000001</v>
      </c>
      <c r="C63">
        <v>74.832999999999998</v>
      </c>
      <c r="D63">
        <v>59.100999999999999</v>
      </c>
      <c r="E63">
        <v>65.617999999999995</v>
      </c>
      <c r="F63">
        <v>78.236999999999995</v>
      </c>
      <c r="G63">
        <v>61.201999999999998</v>
      </c>
      <c r="H63">
        <v>68.459000000000003</v>
      </c>
      <c r="I63">
        <v>63.041000000000011</v>
      </c>
      <c r="J63">
        <v>66.828999999999994</v>
      </c>
      <c r="K63">
        <v>73.334000000000003</v>
      </c>
      <c r="L63">
        <v>59.100999999999999</v>
      </c>
      <c r="M63">
        <v>74.554000000000002</v>
      </c>
      <c r="N63">
        <v>66.827500000000015</v>
      </c>
      <c r="O63">
        <v>18.295000000000002</v>
      </c>
      <c r="P63">
        <v>66.828999999999994</v>
      </c>
      <c r="Q63">
        <v>31.580000000000002</v>
      </c>
      <c r="T63">
        <v>77.456666666666663</v>
      </c>
      <c r="U63">
        <v>70.704999999999998</v>
      </c>
      <c r="V63">
        <v>79.766666666666666</v>
      </c>
      <c r="W63">
        <v>74.05</v>
      </c>
      <c r="X63">
        <v>72.435000000000002</v>
      </c>
      <c r="Y63">
        <v>81.095000000000013</v>
      </c>
      <c r="Z63">
        <v>76.473333333333343</v>
      </c>
      <c r="AA63">
        <v>68.850000000000009</v>
      </c>
      <c r="AB63">
        <v>69.931666666666672</v>
      </c>
      <c r="AC63">
        <v>77.768333333333331</v>
      </c>
      <c r="AD63">
        <v>79.766666666666666</v>
      </c>
      <c r="AE63">
        <v>60.091666666666661</v>
      </c>
      <c r="AF63">
        <v>69.929166666666674</v>
      </c>
      <c r="AG63">
        <v>19.676666666666666</v>
      </c>
      <c r="AH63">
        <v>69.931666666666672</v>
      </c>
      <c r="AI63">
        <v>40.643333333333331</v>
      </c>
    </row>
    <row r="64" spans="1:35" x14ac:dyDescent="0.25">
      <c r="B64" s="2">
        <f t="shared" ref="B64" si="42">AVERAGE(B61:B63)</f>
        <v>75.356333333333325</v>
      </c>
      <c r="C64" s="2">
        <f t="shared" ref="C64" si="43">AVERAGE(C61:C63)</f>
        <v>74.708999999999989</v>
      </c>
      <c r="D64" s="2">
        <f t="shared" ref="D64" si="44">AVERAGE(D61:D63)</f>
        <v>58.186</v>
      </c>
      <c r="E64" s="2">
        <f t="shared" ref="E64" si="45">AVERAGE(E61:E63)</f>
        <v>65.14800000000001</v>
      </c>
      <c r="F64" s="2">
        <f t="shared" ref="F64" si="46">AVERAGE(F61:F63)</f>
        <v>77.99633333333334</v>
      </c>
      <c r="G64" s="2">
        <f t="shared" ref="G64" si="47">AVERAGE(G61:G63)</f>
        <v>60.780666666666662</v>
      </c>
      <c r="H64" s="2">
        <f t="shared" ref="H64" si="48">AVERAGE(H61:H63)</f>
        <v>67.900666666666666</v>
      </c>
      <c r="I64" s="2">
        <f t="shared" ref="I64" si="49">AVERAGE(I61:I63)</f>
        <v>62.378999999999998</v>
      </c>
      <c r="J64" s="2">
        <f t="shared" ref="J64" si="50">AVERAGE(J61:J63)</f>
        <v>66.436999999999998</v>
      </c>
      <c r="K64" s="2">
        <f t="shared" ref="K64" si="51">AVERAGE(K61:K63)</f>
        <v>74.01433333333334</v>
      </c>
      <c r="L64" s="2">
        <f t="shared" ref="L64" si="52">AVERAGE(L61:L63)</f>
        <v>58.186</v>
      </c>
      <c r="M64" s="2">
        <f t="shared" ref="M64" si="53">AVERAGE(M61:M63)</f>
        <v>74.688000000000002</v>
      </c>
      <c r="N64" s="2">
        <f>AVERAGE(N61:N63)</f>
        <v>66.436999999999998</v>
      </c>
      <c r="O64" s="2">
        <f t="shared" ref="O64" si="54">AVERAGE(O61:O63)</f>
        <v>19.800666666666668</v>
      </c>
      <c r="P64" s="2">
        <f t="shared" ref="P64" si="55">AVERAGE(P61:P63)</f>
        <v>66.436999999999998</v>
      </c>
      <c r="Q64" s="2">
        <f t="shared" ref="Q64" si="56">AVERAGE(Q61:Q63)</f>
        <v>30.974666666666668</v>
      </c>
      <c r="T64" s="2">
        <f>AVERAGE(T61:T63)</f>
        <v>77.162222222222226</v>
      </c>
      <c r="U64" s="2">
        <f t="shared" ref="U64" si="57">AVERAGE(U61:U63)</f>
        <v>70.932222222222222</v>
      </c>
      <c r="V64" s="2">
        <f t="shared" ref="V64" si="58">AVERAGE(V61:V63)</f>
        <v>77.781111111111116</v>
      </c>
      <c r="W64" s="2">
        <f t="shared" ref="W64" si="59">AVERAGE(W61:W63)</f>
        <v>73.347777777777779</v>
      </c>
      <c r="X64" s="2">
        <f t="shared" ref="X64" si="60">AVERAGE(X61:X63)</f>
        <v>72.686111111111117</v>
      </c>
      <c r="Y64" s="2">
        <f t="shared" ref="Y64" si="61">AVERAGE(Y61:Y63)</f>
        <v>79.093333333333348</v>
      </c>
      <c r="Z64" s="2">
        <f t="shared" ref="Z64" si="62">AVERAGE(Z61:Z63)</f>
        <v>75.676666666666677</v>
      </c>
      <c r="AA64" s="2">
        <f t="shared" ref="AA64" si="63">AVERAGE(AA61:AA63)</f>
        <v>68.415000000000006</v>
      </c>
      <c r="AB64" s="2">
        <f t="shared" ref="AB64" si="64">AVERAGE(AB61:AB63)</f>
        <v>69.403333333333336</v>
      </c>
      <c r="AC64" s="2">
        <f t="shared" ref="AC64" si="65">AVERAGE(AC61:AC63)</f>
        <v>76.7</v>
      </c>
      <c r="AD64" s="2">
        <f t="shared" ref="AD64" si="66">AVERAGE(AD61:AD63)</f>
        <v>77.781111111111116</v>
      </c>
      <c r="AE64" s="2">
        <f t="shared" ref="AE64" si="67">AVERAGE(AE61:AE63)</f>
        <v>61.023333333333319</v>
      </c>
      <c r="AF64" s="2">
        <f>AVERAGE(AF61:AF63)</f>
        <v>69.402222222222221</v>
      </c>
      <c r="AG64" s="2">
        <f t="shared" ref="AG64" si="68">AVERAGE(AG61:AG63)</f>
        <v>16.757222222222222</v>
      </c>
      <c r="AH64" s="2">
        <f t="shared" ref="AH64" si="69">AVERAGE(AH61:AH63)</f>
        <v>69.403333333333336</v>
      </c>
      <c r="AI64" s="2">
        <f t="shared" ref="AI64" si="70">AVERAGE(AI61:AI63)</f>
        <v>39.15</v>
      </c>
    </row>
    <row r="65" spans="1:35" x14ac:dyDescent="0.25">
      <c r="B65" s="2">
        <f>_xlfn.STDEV.S(B61:B63)</f>
        <v>0.76447716338248961</v>
      </c>
      <c r="C65" s="2">
        <f t="shared" ref="C65:Q65" si="71">_xlfn.STDEV.S(C61:C63)</f>
        <v>2.0448217526229535</v>
      </c>
      <c r="D65" s="2">
        <f t="shared" si="71"/>
        <v>5.1429136683401477</v>
      </c>
      <c r="E65" s="2">
        <f t="shared" si="71"/>
        <v>2.2776645933938582</v>
      </c>
      <c r="F65" s="2">
        <f t="shared" si="71"/>
        <v>1.9859671027822461</v>
      </c>
      <c r="G65" s="2">
        <f t="shared" si="71"/>
        <v>4.4131106187510571</v>
      </c>
      <c r="H65" s="2">
        <f t="shared" si="71"/>
        <v>2.2002873297215868</v>
      </c>
      <c r="I65" s="2">
        <f t="shared" si="71"/>
        <v>1.0452554711648296</v>
      </c>
      <c r="J65" s="2">
        <f t="shared" si="71"/>
        <v>0.37360942172273975</v>
      </c>
      <c r="K65" s="2">
        <f t="shared" si="71"/>
        <v>1.6727015075420106</v>
      </c>
      <c r="L65" s="2">
        <f t="shared" si="71"/>
        <v>5.1429136683401477</v>
      </c>
      <c r="M65" s="2">
        <f t="shared" si="71"/>
        <v>5.3962479557559284</v>
      </c>
      <c r="N65" s="2">
        <f t="shared" si="71"/>
        <v>0.37274421524687412</v>
      </c>
      <c r="O65" s="2">
        <f t="shared" si="71"/>
        <v>7.068806853588038</v>
      </c>
      <c r="P65" s="2">
        <f t="shared" si="71"/>
        <v>0.37360942172273975</v>
      </c>
      <c r="Q65" s="2">
        <f t="shared" si="71"/>
        <v>0.81498302640811648</v>
      </c>
      <c r="T65" s="2">
        <f>_xlfn.STDEV.S(T61:T63)</f>
        <v>0.49562904288201737</v>
      </c>
      <c r="U65" s="2">
        <f t="shared" ref="U65:AI65" si="72">_xlfn.STDEV.S(U61:U63)</f>
        <v>0.98567564719916212</v>
      </c>
      <c r="V65" s="2">
        <f t="shared" si="72"/>
        <v>2.6744144391983427</v>
      </c>
      <c r="W65" s="2">
        <f t="shared" si="72"/>
        <v>0.71446626025099547</v>
      </c>
      <c r="X65" s="2">
        <f t="shared" si="72"/>
        <v>1.0087207703783001</v>
      </c>
      <c r="Y65" s="2">
        <f t="shared" si="72"/>
        <v>2.7262647421782953</v>
      </c>
      <c r="Z65" s="2">
        <f t="shared" si="72"/>
        <v>0.82099533088401055</v>
      </c>
      <c r="AA65" s="2">
        <f t="shared" si="72"/>
        <v>0.77810846144851054</v>
      </c>
      <c r="AB65" s="2">
        <f t="shared" si="72"/>
        <v>0.79830201747904639</v>
      </c>
      <c r="AC65" s="2">
        <f t="shared" si="72"/>
        <v>1.5278261608500412</v>
      </c>
      <c r="AD65" s="2">
        <f t="shared" si="72"/>
        <v>2.6744144391983427</v>
      </c>
      <c r="AE65" s="2">
        <f t="shared" si="72"/>
        <v>3.4514662745628</v>
      </c>
      <c r="AF65" s="2">
        <f t="shared" si="72"/>
        <v>0.79727153351173541</v>
      </c>
      <c r="AG65" s="2">
        <f t="shared" si="72"/>
        <v>5.966354352471817</v>
      </c>
      <c r="AH65" s="2">
        <f t="shared" si="72"/>
        <v>0.79830201747904639</v>
      </c>
      <c r="AI65" s="2">
        <f t="shared" si="72"/>
        <v>1.5259860200320774</v>
      </c>
    </row>
    <row r="67" spans="1:35" x14ac:dyDescent="0.25">
      <c r="A67" s="1" t="s">
        <v>83</v>
      </c>
      <c r="B67">
        <v>73.244</v>
      </c>
      <c r="C67">
        <v>73.953999999999994</v>
      </c>
      <c r="D67">
        <v>64.454000000000008</v>
      </c>
      <c r="E67">
        <v>67.679000000000002</v>
      </c>
      <c r="F67">
        <v>76.548000000000002</v>
      </c>
      <c r="G67">
        <v>66.112999999999985</v>
      </c>
      <c r="H67">
        <v>70.785999999999987</v>
      </c>
      <c r="I67">
        <v>64.335999999999999</v>
      </c>
      <c r="J67">
        <v>66.988</v>
      </c>
      <c r="K67">
        <v>71.881</v>
      </c>
      <c r="L67">
        <v>64.454000000000008</v>
      </c>
      <c r="M67">
        <v>69.52000000000001</v>
      </c>
      <c r="N67">
        <v>66.986999999999995</v>
      </c>
      <c r="O67">
        <v>11.943</v>
      </c>
      <c r="P67">
        <v>66.988</v>
      </c>
      <c r="Q67">
        <v>32.138999999999996</v>
      </c>
      <c r="S67" s="1" t="s">
        <v>83</v>
      </c>
      <c r="T67">
        <v>77.155000000000001</v>
      </c>
      <c r="U67">
        <v>70.263333333333321</v>
      </c>
      <c r="V67">
        <v>78.625</v>
      </c>
      <c r="W67">
        <v>73.346666666666664</v>
      </c>
      <c r="X67">
        <v>71.694999999999993</v>
      </c>
      <c r="Y67">
        <v>79.686666666666667</v>
      </c>
      <c r="Z67">
        <v>75.448333333333338</v>
      </c>
      <c r="AA67">
        <v>67.64500000000001</v>
      </c>
      <c r="AB67">
        <v>68.608333333333334</v>
      </c>
      <c r="AC67">
        <v>76.403333333333322</v>
      </c>
      <c r="AD67">
        <v>78.625</v>
      </c>
      <c r="AE67">
        <v>58.593333333333334</v>
      </c>
      <c r="AF67">
        <v>68.609166666666667</v>
      </c>
      <c r="AG67">
        <v>20.035</v>
      </c>
      <c r="AH67">
        <v>68.608333333333334</v>
      </c>
      <c r="AI67">
        <v>37.978333333333332</v>
      </c>
    </row>
    <row r="68" spans="1:35" x14ac:dyDescent="0.25">
      <c r="B68">
        <v>75.480999999999995</v>
      </c>
      <c r="C68">
        <v>73.003999999999991</v>
      </c>
      <c r="D68">
        <v>67.337000000000003</v>
      </c>
      <c r="E68">
        <v>69.988</v>
      </c>
      <c r="F68">
        <v>76.344000000000008</v>
      </c>
      <c r="G68">
        <v>69.480999999999995</v>
      </c>
      <c r="H68">
        <v>72.676999999999992</v>
      </c>
      <c r="I68">
        <v>64.675999999999988</v>
      </c>
      <c r="J68">
        <v>67.046999999999997</v>
      </c>
      <c r="K68">
        <v>74.784000000000006</v>
      </c>
      <c r="L68">
        <v>67.337000000000003</v>
      </c>
      <c r="M68">
        <v>66.760999999999996</v>
      </c>
      <c r="N68">
        <v>67.049000000000007</v>
      </c>
      <c r="O68">
        <v>12.561999999999999</v>
      </c>
      <c r="P68">
        <v>67.046999999999997</v>
      </c>
      <c r="Q68">
        <v>32.069000000000003</v>
      </c>
      <c r="T68">
        <v>79.191666666666663</v>
      </c>
      <c r="U68">
        <v>73.163333333333341</v>
      </c>
      <c r="V68">
        <v>75.276666666666671</v>
      </c>
      <c r="W68">
        <v>73.23</v>
      </c>
      <c r="X68">
        <v>74.778333333333336</v>
      </c>
      <c r="Y68">
        <v>76.393333333333331</v>
      </c>
      <c r="Z68">
        <v>75.52</v>
      </c>
      <c r="AA68">
        <v>69.75333333333333</v>
      </c>
      <c r="AB68">
        <v>70.924999999999997</v>
      </c>
      <c r="AC68">
        <v>78.393333333333331</v>
      </c>
      <c r="AD68">
        <v>75.276666666666671</v>
      </c>
      <c r="AE68">
        <v>66.578333333333333</v>
      </c>
      <c r="AF68">
        <v>70.927499999999995</v>
      </c>
      <c r="AG68">
        <v>8.7033333333333331</v>
      </c>
      <c r="AH68">
        <v>70.924999999999997</v>
      </c>
      <c r="AI68">
        <v>41.486666666666672</v>
      </c>
    </row>
    <row r="69" spans="1:35" x14ac:dyDescent="0.25">
      <c r="B69">
        <v>75.010999999999996</v>
      </c>
      <c r="C69">
        <v>74.681000000000012</v>
      </c>
      <c r="D69">
        <v>59.35599999999998</v>
      </c>
      <c r="E69">
        <v>67.770999999999987</v>
      </c>
      <c r="F69">
        <v>79.316000000000003</v>
      </c>
      <c r="G69">
        <v>63.318999999999996</v>
      </c>
      <c r="H69">
        <v>70.186000000000007</v>
      </c>
      <c r="I69">
        <v>63.716999999999999</v>
      </c>
      <c r="J69">
        <v>66.848000000000013</v>
      </c>
      <c r="K69">
        <v>74.057999999999993</v>
      </c>
      <c r="L69">
        <v>59.35599999999998</v>
      </c>
      <c r="M69">
        <v>74.340999999999994</v>
      </c>
      <c r="N69">
        <v>66.848500000000001</v>
      </c>
      <c r="O69">
        <v>17.501999999999999</v>
      </c>
      <c r="P69">
        <v>66.848000000000013</v>
      </c>
      <c r="Q69">
        <v>32.326999999999998</v>
      </c>
      <c r="T69">
        <v>80.184999999999988</v>
      </c>
      <c r="U69">
        <v>76.533333333333331</v>
      </c>
      <c r="V69">
        <v>64.723333333333329</v>
      </c>
      <c r="W69">
        <v>68.695000000000007</v>
      </c>
      <c r="X69">
        <v>77.95</v>
      </c>
      <c r="Y69">
        <v>65.608333333333334</v>
      </c>
      <c r="Z69">
        <v>71.084999999999994</v>
      </c>
      <c r="AA69">
        <v>67.63000000000001</v>
      </c>
      <c r="AB69">
        <v>69.558333333333337</v>
      </c>
      <c r="AC69">
        <v>78.041666666666671</v>
      </c>
      <c r="AD69">
        <v>64.723333333333329</v>
      </c>
      <c r="AE69">
        <v>74.393333333333331</v>
      </c>
      <c r="AF69">
        <v>69.558333333333337</v>
      </c>
      <c r="AG69">
        <v>12.423333333333334</v>
      </c>
      <c r="AH69">
        <v>69.558333333333337</v>
      </c>
      <c r="AI69">
        <v>38.655000000000001</v>
      </c>
    </row>
    <row r="70" spans="1:35" x14ac:dyDescent="0.25">
      <c r="B70" s="2">
        <f t="shared" ref="B70:Q70" si="73">AVERAGE(B67:B69)</f>
        <v>74.578666666666663</v>
      </c>
      <c r="C70" s="2">
        <f t="shared" si="73"/>
        <v>73.879666666666665</v>
      </c>
      <c r="D70" s="2">
        <f t="shared" si="73"/>
        <v>63.715666666666664</v>
      </c>
      <c r="E70" s="2">
        <f t="shared" si="73"/>
        <v>68.479333333333329</v>
      </c>
      <c r="F70" s="2">
        <f t="shared" si="73"/>
        <v>77.402666666666661</v>
      </c>
      <c r="G70" s="2">
        <f t="shared" si="73"/>
        <v>66.304333333333332</v>
      </c>
      <c r="H70" s="2">
        <f t="shared" si="73"/>
        <v>71.216333333333324</v>
      </c>
      <c r="I70" s="2">
        <f t="shared" si="73"/>
        <v>64.242999999999995</v>
      </c>
      <c r="J70" s="2">
        <f t="shared" si="73"/>
        <v>66.960999999999999</v>
      </c>
      <c r="K70" s="2">
        <f t="shared" si="73"/>
        <v>73.574333333333342</v>
      </c>
      <c r="L70" s="2">
        <f t="shared" si="73"/>
        <v>63.715666666666664</v>
      </c>
      <c r="M70" s="2">
        <f t="shared" si="73"/>
        <v>70.207333333333338</v>
      </c>
      <c r="N70" s="2">
        <f t="shared" si="73"/>
        <v>66.961500000000001</v>
      </c>
      <c r="O70" s="2">
        <f t="shared" si="73"/>
        <v>14.002333333333333</v>
      </c>
      <c r="P70" s="2">
        <f t="shared" si="73"/>
        <v>66.960999999999999</v>
      </c>
      <c r="Q70" s="2">
        <f t="shared" si="73"/>
        <v>32.178333333333335</v>
      </c>
      <c r="T70" s="2">
        <f>AVERAGE(T67:T69)</f>
        <v>78.843888888888884</v>
      </c>
      <c r="U70" s="2">
        <f t="shared" ref="U70" si="74">AVERAGE(U67:U69)</f>
        <v>73.320000000000007</v>
      </c>
      <c r="V70" s="2">
        <f t="shared" ref="V70" si="75">AVERAGE(V67:V69)</f>
        <v>72.875</v>
      </c>
      <c r="W70" s="2">
        <f t="shared" ref="W70" si="76">AVERAGE(W67:W69)</f>
        <v>71.757222222222211</v>
      </c>
      <c r="X70" s="2">
        <f t="shared" ref="X70" si="77">AVERAGE(X67:X69)</f>
        <v>74.807777777777787</v>
      </c>
      <c r="Y70" s="2">
        <f t="shared" ref="Y70" si="78">AVERAGE(Y67:Y69)</f>
        <v>73.896111111111111</v>
      </c>
      <c r="Z70" s="2">
        <f t="shared" ref="Z70" si="79">AVERAGE(Z67:Z69)</f>
        <v>74.017777777777781</v>
      </c>
      <c r="AA70" s="2">
        <f t="shared" ref="AA70" si="80">AVERAGE(AA67:AA69)</f>
        <v>68.342777777777783</v>
      </c>
      <c r="AB70" s="2">
        <f t="shared" ref="AB70" si="81">AVERAGE(AB67:AB69)</f>
        <v>69.697222222222223</v>
      </c>
      <c r="AC70" s="2">
        <f t="shared" ref="AC70" si="82">AVERAGE(AC67:AC69)</f>
        <v>77.612777777777765</v>
      </c>
      <c r="AD70" s="2">
        <f t="shared" ref="AD70" si="83">AVERAGE(AD67:AD69)</f>
        <v>72.875</v>
      </c>
      <c r="AE70" s="2">
        <f t="shared" ref="AE70" si="84">AVERAGE(AE67:AE69)</f>
        <v>66.521666666666661</v>
      </c>
      <c r="AF70" s="2">
        <f>AVERAGE(AF67:AF69)</f>
        <v>69.698333333333338</v>
      </c>
      <c r="AG70" s="2">
        <f t="shared" ref="AG70" si="85">AVERAGE(AG67:AG69)</f>
        <v>13.720555555555556</v>
      </c>
      <c r="AH70" s="2">
        <f t="shared" ref="AH70" si="86">AVERAGE(AH67:AH69)</f>
        <v>69.697222222222223</v>
      </c>
      <c r="AI70" s="2">
        <f t="shared" ref="AI70" si="87">AVERAGE(AI67:AI69)</f>
        <v>39.373333333333335</v>
      </c>
    </row>
    <row r="71" spans="1:35" x14ac:dyDescent="0.25">
      <c r="B71" s="2">
        <f t="shared" ref="B71:Q71" si="88">_xlfn.STDEV.S(B67:B69)</f>
        <v>1.1795025787734958</v>
      </c>
      <c r="C71" s="2">
        <f t="shared" si="88"/>
        <v>0.84096749838109108</v>
      </c>
      <c r="D71" s="2">
        <f t="shared" si="88"/>
        <v>4.0414035103331907</v>
      </c>
      <c r="E71" s="2">
        <f t="shared" si="88"/>
        <v>1.3073531784997274</v>
      </c>
      <c r="F71" s="2">
        <f t="shared" si="88"/>
        <v>1.6601317216815441</v>
      </c>
      <c r="G71" s="2">
        <f t="shared" si="88"/>
        <v>3.0854525329898257</v>
      </c>
      <c r="H71" s="2">
        <f t="shared" si="88"/>
        <v>1.3000616652041244</v>
      </c>
      <c r="I71" s="2">
        <f t="shared" si="88"/>
        <v>0.48621702973054659</v>
      </c>
      <c r="J71" s="2">
        <f t="shared" si="88"/>
        <v>0.10221056696838268</v>
      </c>
      <c r="K71" s="2">
        <f t="shared" si="88"/>
        <v>1.510729073438827</v>
      </c>
      <c r="L71" s="2">
        <f t="shared" si="88"/>
        <v>4.0414035103331907</v>
      </c>
      <c r="M71" s="2">
        <f t="shared" si="88"/>
        <v>3.8364593485834457</v>
      </c>
      <c r="N71" s="2">
        <f t="shared" si="88"/>
        <v>0.10265354353357847</v>
      </c>
      <c r="O71" s="2">
        <f t="shared" si="88"/>
        <v>3.0465620514496892</v>
      </c>
      <c r="P71" s="2">
        <f t="shared" si="88"/>
        <v>0.10221056696838268</v>
      </c>
      <c r="Q71" s="2">
        <f t="shared" si="88"/>
        <v>0.13342163742561752</v>
      </c>
      <c r="T71" s="2">
        <f>_xlfn.STDEV.S(T67:T69)</f>
        <v>1.544647868297826</v>
      </c>
      <c r="U71" s="2">
        <f t="shared" ref="U71:AI71" si="89">_xlfn.STDEV.S(U67:U69)</f>
        <v>3.1379345648584458</v>
      </c>
      <c r="V71" s="2">
        <f t="shared" si="89"/>
        <v>7.2553487932084391</v>
      </c>
      <c r="W71" s="2">
        <f t="shared" si="89"/>
        <v>2.6526037173843853</v>
      </c>
      <c r="X71" s="2">
        <f t="shared" si="89"/>
        <v>3.127603952146357</v>
      </c>
      <c r="Y71" s="2">
        <f t="shared" si="89"/>
        <v>7.3638954692120304</v>
      </c>
      <c r="Z71" s="2">
        <f t="shared" si="89"/>
        <v>2.5401128219329485</v>
      </c>
      <c r="AA71" s="2">
        <f t="shared" si="89"/>
        <v>1.221599967862419</v>
      </c>
      <c r="AB71" s="2">
        <f t="shared" si="89"/>
        <v>1.1645615929197126</v>
      </c>
      <c r="AC71" s="2">
        <f t="shared" si="89"/>
        <v>1.0620660333798804</v>
      </c>
      <c r="AD71" s="2">
        <f t="shared" si="89"/>
        <v>7.2553487932084391</v>
      </c>
      <c r="AE71" s="2">
        <f t="shared" si="89"/>
        <v>7.9001524246898756</v>
      </c>
      <c r="AF71" s="2">
        <f t="shared" si="89"/>
        <v>1.1654901806154798</v>
      </c>
      <c r="AG71" s="2">
        <f t="shared" si="89"/>
        <v>5.7761368129123687</v>
      </c>
      <c r="AH71" s="2">
        <f t="shared" si="89"/>
        <v>1.1645615929197126</v>
      </c>
      <c r="AI71" s="2">
        <f t="shared" si="89"/>
        <v>1.8612100305386787</v>
      </c>
    </row>
    <row r="73" spans="1:35" x14ac:dyDescent="0.25">
      <c r="A73" s="1" t="s">
        <v>84</v>
      </c>
      <c r="B73">
        <v>73.402999999999992</v>
      </c>
      <c r="C73">
        <v>72.869</v>
      </c>
      <c r="D73">
        <v>69.094999999999999</v>
      </c>
      <c r="E73">
        <v>71.731999999999999</v>
      </c>
      <c r="F73">
        <v>76.285000000000011</v>
      </c>
      <c r="G73">
        <v>71.722000000000008</v>
      </c>
      <c r="H73">
        <v>73.855000000000004</v>
      </c>
      <c r="I73">
        <v>65.222000000000008</v>
      </c>
      <c r="J73">
        <v>67.378</v>
      </c>
      <c r="K73">
        <v>73.177999999999997</v>
      </c>
      <c r="L73">
        <v>69.094999999999999</v>
      </c>
      <c r="M73">
        <v>65.661000000000001</v>
      </c>
      <c r="N73">
        <v>67.377999999999986</v>
      </c>
      <c r="O73">
        <v>9.6780000000000008</v>
      </c>
      <c r="P73">
        <v>67.378</v>
      </c>
      <c r="Q73">
        <v>33.463999999999999</v>
      </c>
      <c r="S73" s="1" t="s">
        <v>84</v>
      </c>
      <c r="T73">
        <v>78.321666666666673</v>
      </c>
      <c r="U73">
        <v>75.326666666666668</v>
      </c>
      <c r="V73">
        <v>69.225000000000009</v>
      </c>
      <c r="W73">
        <v>71.123333333333335</v>
      </c>
      <c r="X73">
        <v>77.326666666666668</v>
      </c>
      <c r="Y73">
        <v>70.938333333333333</v>
      </c>
      <c r="Z73">
        <v>73.906666666666666</v>
      </c>
      <c r="AA73">
        <v>69.2</v>
      </c>
      <c r="AB73">
        <v>70.535000000000011</v>
      </c>
      <c r="AC73">
        <v>77.855000000000004</v>
      </c>
      <c r="AD73">
        <v>69.225000000000009</v>
      </c>
      <c r="AE73">
        <v>71.84333333333332</v>
      </c>
      <c r="AF73">
        <v>70.534166666666678</v>
      </c>
      <c r="AG73">
        <v>7.6499999999999995</v>
      </c>
      <c r="AH73">
        <v>70.535000000000011</v>
      </c>
      <c r="AI73">
        <v>40.706666666666663</v>
      </c>
    </row>
    <row r="74" spans="1:35" x14ac:dyDescent="0.25">
      <c r="B74">
        <v>73.484999999999985</v>
      </c>
      <c r="C74">
        <v>72.613000000000014</v>
      </c>
      <c r="D74">
        <v>63.044999999999995</v>
      </c>
      <c r="E74">
        <v>70.797999999999988</v>
      </c>
      <c r="F74">
        <v>77.050000000000011</v>
      </c>
      <c r="G74">
        <v>66.369</v>
      </c>
      <c r="H74">
        <v>71.09899999999999</v>
      </c>
      <c r="I74">
        <v>64.195999999999998</v>
      </c>
      <c r="J74">
        <v>67.013999999999996</v>
      </c>
      <c r="K74">
        <v>73.60499999999999</v>
      </c>
      <c r="L74">
        <v>63.044999999999995</v>
      </c>
      <c r="M74">
        <v>70.983000000000018</v>
      </c>
      <c r="N74">
        <v>67.013999999999996</v>
      </c>
      <c r="O74">
        <v>15.427000000000001</v>
      </c>
      <c r="P74">
        <v>67.013999999999996</v>
      </c>
      <c r="Q74">
        <v>32.019000000000005</v>
      </c>
      <c r="T74">
        <v>79.894999999999996</v>
      </c>
      <c r="U74">
        <v>78.668333333333337</v>
      </c>
      <c r="V74">
        <v>61.354999999999997</v>
      </c>
      <c r="W74">
        <v>67.424999999999997</v>
      </c>
      <c r="X74">
        <v>80.118333333333339</v>
      </c>
      <c r="Y74">
        <v>62.376666666666665</v>
      </c>
      <c r="Z74">
        <v>69.98833333333333</v>
      </c>
      <c r="AA74">
        <v>67.61</v>
      </c>
      <c r="AB74">
        <v>70.034999999999997</v>
      </c>
      <c r="AC74">
        <v>78.201666666666668</v>
      </c>
      <c r="AD74">
        <v>61.354999999999997</v>
      </c>
      <c r="AE74">
        <v>78.713333333333338</v>
      </c>
      <c r="AF74">
        <v>70.034166666666664</v>
      </c>
      <c r="AG74">
        <v>17.358333333333331</v>
      </c>
      <c r="AH74">
        <v>70.034999999999997</v>
      </c>
      <c r="AI74">
        <v>39.723333333333336</v>
      </c>
    </row>
    <row r="75" spans="1:35" x14ac:dyDescent="0.25">
      <c r="B75">
        <v>74.718999999999994</v>
      </c>
      <c r="C75">
        <v>73.724999999999994</v>
      </c>
      <c r="D75">
        <v>63.789000000000001</v>
      </c>
      <c r="E75">
        <v>65.602000000000004</v>
      </c>
      <c r="F75">
        <v>74.763999999999996</v>
      </c>
      <c r="G75">
        <v>64.057000000000002</v>
      </c>
      <c r="H75">
        <v>68.67</v>
      </c>
      <c r="I75">
        <v>62.798000000000002</v>
      </c>
      <c r="J75">
        <v>67.407999999999987</v>
      </c>
      <c r="K75">
        <v>72.867999999999995</v>
      </c>
      <c r="L75">
        <v>63.789000000000001</v>
      </c>
      <c r="M75">
        <v>71.021000000000001</v>
      </c>
      <c r="N75">
        <v>67.405000000000001</v>
      </c>
      <c r="O75">
        <v>14.357000000000003</v>
      </c>
      <c r="P75">
        <v>67.407999999999987</v>
      </c>
      <c r="Q75">
        <v>32.206000000000003</v>
      </c>
      <c r="T75" s="1">
        <v>79.475000000000009</v>
      </c>
      <c r="U75" s="1">
        <v>77.276666666666671</v>
      </c>
      <c r="V75" s="1">
        <v>65.685000000000002</v>
      </c>
      <c r="W75" s="1">
        <v>68.568333333333342</v>
      </c>
      <c r="X75" s="1">
        <v>75.540000000000006</v>
      </c>
      <c r="Y75" s="1">
        <v>65.00333333333333</v>
      </c>
      <c r="Z75" s="1">
        <v>69.64</v>
      </c>
      <c r="AA75" s="1">
        <v>66.50333333333333</v>
      </c>
      <c r="AB75" s="1">
        <v>69.678333333333342</v>
      </c>
      <c r="AC75" s="1">
        <v>77.808333333333323</v>
      </c>
      <c r="AD75" s="1">
        <v>65.685000000000002</v>
      </c>
      <c r="AE75" s="1">
        <v>73.67</v>
      </c>
      <c r="AF75" s="1">
        <v>69.677500000000009</v>
      </c>
      <c r="AG75" s="1">
        <v>12.653333333333334</v>
      </c>
      <c r="AH75" s="1">
        <v>69.678333333333342</v>
      </c>
      <c r="AI75" s="1">
        <v>39.585000000000001</v>
      </c>
    </row>
    <row r="76" spans="1:35" x14ac:dyDescent="0.25">
      <c r="B76" s="2">
        <f t="shared" ref="B76" si="90">AVERAGE(B73:B75)</f>
        <v>73.868999999999986</v>
      </c>
      <c r="C76" s="2">
        <f t="shared" ref="C76" si="91">AVERAGE(C73:C75)</f>
        <v>73.069000000000003</v>
      </c>
      <c r="D76" s="2">
        <f t="shared" ref="D76" si="92">AVERAGE(D73:D75)</f>
        <v>65.309666666666658</v>
      </c>
      <c r="E76" s="2">
        <f t="shared" ref="E76" si="93">AVERAGE(E73:E75)</f>
        <v>69.377333333333326</v>
      </c>
      <c r="F76" s="2">
        <f t="shared" ref="F76" si="94">AVERAGE(F73:F75)</f>
        <v>76.033000000000015</v>
      </c>
      <c r="G76" s="2">
        <f t="shared" ref="G76" si="95">AVERAGE(G73:G75)</f>
        <v>67.38266666666668</v>
      </c>
      <c r="H76" s="2">
        <f t="shared" ref="H76" si="96">AVERAGE(H73:H75)</f>
        <v>71.208000000000013</v>
      </c>
      <c r="I76" s="2">
        <f t="shared" ref="I76" si="97">AVERAGE(I73:I75)</f>
        <v>64.072000000000003</v>
      </c>
      <c r="J76" s="2">
        <f t="shared" ref="J76" si="98">AVERAGE(J73:J75)</f>
        <v>67.266666666666666</v>
      </c>
      <c r="K76" s="2">
        <f t="shared" ref="K76" si="99">AVERAGE(K73:K75)</f>
        <v>73.216999999999999</v>
      </c>
      <c r="L76" s="2">
        <f t="shared" ref="L76" si="100">AVERAGE(L73:L75)</f>
        <v>65.309666666666658</v>
      </c>
      <c r="M76" s="2">
        <f t="shared" ref="M76" si="101">AVERAGE(M73:M75)</f>
        <v>69.221666666666678</v>
      </c>
      <c r="N76" s="2">
        <f>AVERAGE(N73:N75)</f>
        <v>67.265666666666661</v>
      </c>
      <c r="O76" s="2">
        <f t="shared" ref="O76" si="102">AVERAGE(O73:O75)</f>
        <v>13.154000000000002</v>
      </c>
      <c r="P76" s="2">
        <f t="shared" ref="P76" si="103">AVERAGE(P73:P75)</f>
        <v>67.266666666666666</v>
      </c>
      <c r="Q76" s="2">
        <f t="shared" ref="Q76" si="104">AVERAGE(Q73:Q75)</f>
        <v>32.563000000000002</v>
      </c>
      <c r="T76" s="2">
        <f t="shared" ref="T76:AI76" si="105">AVERAGE(T73:T75)</f>
        <v>79.230555555555554</v>
      </c>
      <c r="U76" s="2">
        <f t="shared" si="105"/>
        <v>77.090555555555554</v>
      </c>
      <c r="V76" s="2">
        <f t="shared" si="105"/>
        <v>65.421666666666667</v>
      </c>
      <c r="W76" s="2">
        <f t="shared" si="105"/>
        <v>69.038888888888891</v>
      </c>
      <c r="X76" s="2">
        <f t="shared" si="105"/>
        <v>77.661666666666676</v>
      </c>
      <c r="Y76" s="2">
        <f t="shared" si="105"/>
        <v>66.106111111111105</v>
      </c>
      <c r="Z76" s="2">
        <f t="shared" si="105"/>
        <v>71.178333333333327</v>
      </c>
      <c r="AA76" s="2">
        <f t="shared" si="105"/>
        <v>67.771111111111111</v>
      </c>
      <c r="AB76" s="2">
        <f t="shared" si="105"/>
        <v>70.082777777777778</v>
      </c>
      <c r="AC76" s="2">
        <f t="shared" si="105"/>
        <v>77.954999999999998</v>
      </c>
      <c r="AD76" s="2">
        <f t="shared" si="105"/>
        <v>65.421666666666667</v>
      </c>
      <c r="AE76" s="2">
        <f t="shared" si="105"/>
        <v>74.742222222222225</v>
      </c>
      <c r="AF76" s="2">
        <f t="shared" si="105"/>
        <v>70.081944444444446</v>
      </c>
      <c r="AG76" s="2">
        <f t="shared" si="105"/>
        <v>12.553888888888887</v>
      </c>
      <c r="AH76" s="2">
        <f t="shared" si="105"/>
        <v>70.082777777777778</v>
      </c>
      <c r="AI76" s="2">
        <f t="shared" si="105"/>
        <v>40.005000000000003</v>
      </c>
    </row>
    <row r="77" spans="1:35" x14ac:dyDescent="0.25">
      <c r="B77" s="2">
        <f>_xlfn.STDEV.S(B73:B75)</f>
        <v>0.7372625041326899</v>
      </c>
      <c r="C77" s="2">
        <f t="shared" ref="C77:Q77" si="106">_xlfn.STDEV.S(C73:C75)</f>
        <v>0.58235384432490012</v>
      </c>
      <c r="D77" s="2">
        <f t="shared" si="106"/>
        <v>3.2992340525239094</v>
      </c>
      <c r="E77" s="2">
        <f t="shared" si="106"/>
        <v>3.3027178706836735</v>
      </c>
      <c r="F77" s="2">
        <f t="shared" si="106"/>
        <v>1.1636481426960728</v>
      </c>
      <c r="G77" s="2">
        <f t="shared" si="106"/>
        <v>3.9317548668925637</v>
      </c>
      <c r="H77" s="2">
        <f t="shared" si="106"/>
        <v>2.5942179939241821</v>
      </c>
      <c r="I77" s="2">
        <f t="shared" si="106"/>
        <v>1.2167481251269743</v>
      </c>
      <c r="J77" s="2">
        <f t="shared" si="106"/>
        <v>0.21932928061098583</v>
      </c>
      <c r="K77" s="2">
        <f t="shared" si="106"/>
        <v>0.37004459190751304</v>
      </c>
      <c r="L77" s="2">
        <f t="shared" si="106"/>
        <v>3.2992340525239094</v>
      </c>
      <c r="M77" s="2">
        <f t="shared" si="106"/>
        <v>3.0836863221367636</v>
      </c>
      <c r="N77" s="2">
        <f t="shared" si="106"/>
        <v>0.2183674273634531</v>
      </c>
      <c r="O77" s="2">
        <f t="shared" si="106"/>
        <v>3.0574755927071626</v>
      </c>
      <c r="P77" s="2">
        <f t="shared" si="106"/>
        <v>0.21932928061098583</v>
      </c>
      <c r="Q77" s="2">
        <f t="shared" si="106"/>
        <v>0.78587085453017957</v>
      </c>
      <c r="T77" s="2">
        <f t="shared" ref="T77:AI77" si="107">_xlfn.STDEV.S(T73:T75)</f>
        <v>0.81465284585475639</v>
      </c>
      <c r="U77" s="2">
        <f t="shared" si="107"/>
        <v>1.6785892996909757</v>
      </c>
      <c r="V77" s="2">
        <f t="shared" si="107"/>
        <v>3.9416028888427332</v>
      </c>
      <c r="W77" s="2">
        <f t="shared" si="107"/>
        <v>1.893537498772935</v>
      </c>
      <c r="X77" s="2">
        <f t="shared" si="107"/>
        <v>2.3074775790411874</v>
      </c>
      <c r="Y77" s="2">
        <f t="shared" si="107"/>
        <v>4.3860714937342449</v>
      </c>
      <c r="Z77" s="2">
        <f t="shared" si="107"/>
        <v>2.3692163495787195</v>
      </c>
      <c r="AA77" s="2">
        <f t="shared" si="107"/>
        <v>1.3555332420750064</v>
      </c>
      <c r="AB77" s="2">
        <f t="shared" si="107"/>
        <v>0.43032717957559125</v>
      </c>
      <c r="AC77" s="2">
        <f t="shared" si="107"/>
        <v>0.21489015281715268</v>
      </c>
      <c r="AD77" s="2">
        <f t="shared" si="107"/>
        <v>3.9416028888427332</v>
      </c>
      <c r="AE77" s="2">
        <f t="shared" si="107"/>
        <v>3.5582959925181084</v>
      </c>
      <c r="AF77" s="2">
        <f t="shared" si="107"/>
        <v>0.43032717957559125</v>
      </c>
      <c r="AG77" s="2">
        <f t="shared" si="107"/>
        <v>4.8549305788987311</v>
      </c>
      <c r="AH77" s="2">
        <f t="shared" si="107"/>
        <v>0.43032717957559125</v>
      </c>
      <c r="AI77" s="2">
        <f t="shared" si="107"/>
        <v>0.61158491733454945</v>
      </c>
    </row>
    <row r="79" spans="1:35" x14ac:dyDescent="0.25">
      <c r="A79" s="1" t="s">
        <v>85</v>
      </c>
      <c r="B79">
        <v>75.136999999999986</v>
      </c>
      <c r="C79">
        <v>75.14</v>
      </c>
      <c r="D79">
        <v>62.536000000000001</v>
      </c>
      <c r="E79">
        <v>68.241000000000014</v>
      </c>
      <c r="F79">
        <v>78.843000000000004</v>
      </c>
      <c r="G79">
        <v>65.13000000000001</v>
      </c>
      <c r="H79">
        <v>71.191000000000003</v>
      </c>
      <c r="I79">
        <v>64.974000000000004</v>
      </c>
      <c r="J79">
        <v>68.263999999999996</v>
      </c>
      <c r="K79">
        <v>74.179999999999993</v>
      </c>
      <c r="L79">
        <v>62.536000000000001</v>
      </c>
      <c r="M79">
        <v>73.991</v>
      </c>
      <c r="N79">
        <v>68.263499999999993</v>
      </c>
      <c r="O79">
        <v>15.007</v>
      </c>
      <c r="P79">
        <v>68.263999999999996</v>
      </c>
      <c r="Q79">
        <v>34.119000000000007</v>
      </c>
      <c r="S79" s="1" t="s">
        <v>85</v>
      </c>
      <c r="T79">
        <v>77.688333333333347</v>
      </c>
      <c r="U79">
        <v>71.720000000000013</v>
      </c>
      <c r="V79">
        <v>77.371666666666655</v>
      </c>
      <c r="W79">
        <v>73.736666666666665</v>
      </c>
      <c r="X79">
        <v>73.726666666666645</v>
      </c>
      <c r="Y79">
        <v>78.898333333333326</v>
      </c>
      <c r="Z79">
        <v>76.196666666666673</v>
      </c>
      <c r="AA79">
        <v>69.394999999999996</v>
      </c>
      <c r="AB79">
        <v>70.318333333333328</v>
      </c>
      <c r="AC79">
        <v>77.015000000000001</v>
      </c>
      <c r="AD79">
        <v>77.371666666666655</v>
      </c>
      <c r="AE79">
        <v>63.265000000000008</v>
      </c>
      <c r="AF79">
        <v>70.318333333333328</v>
      </c>
      <c r="AG79">
        <v>14.108333333333333</v>
      </c>
      <c r="AH79">
        <v>70.318333333333328</v>
      </c>
      <c r="AI79">
        <v>40.656666666666666</v>
      </c>
    </row>
    <row r="80" spans="1:35" x14ac:dyDescent="0.25">
      <c r="B80">
        <v>74.906000000000006</v>
      </c>
      <c r="C80">
        <v>73.978999999999999</v>
      </c>
      <c r="D80">
        <v>62.102999999999994</v>
      </c>
      <c r="E80">
        <v>68.625</v>
      </c>
      <c r="F80">
        <v>77.84</v>
      </c>
      <c r="G80">
        <v>65.286000000000001</v>
      </c>
      <c r="H80">
        <v>70.683999999999997</v>
      </c>
      <c r="I80">
        <v>64.119999999999976</v>
      </c>
      <c r="J80">
        <v>67.263999999999996</v>
      </c>
      <c r="K80">
        <v>74.337999999999994</v>
      </c>
      <c r="L80">
        <v>62.102999999999994</v>
      </c>
      <c r="M80">
        <v>72.426999999999992</v>
      </c>
      <c r="N80">
        <v>67.264999999999986</v>
      </c>
      <c r="O80">
        <v>13.446999999999997</v>
      </c>
      <c r="P80">
        <v>67.263999999999996</v>
      </c>
      <c r="Q80">
        <v>32.207000000000008</v>
      </c>
      <c r="T80">
        <v>80.063333333333333</v>
      </c>
      <c r="U80">
        <v>78.425000000000011</v>
      </c>
      <c r="V80">
        <v>66.703333333333333</v>
      </c>
      <c r="W80">
        <v>70.416666666666671</v>
      </c>
      <c r="X80">
        <v>79.376666666666665</v>
      </c>
      <c r="Y80">
        <v>67.818333333333342</v>
      </c>
      <c r="Z80">
        <v>72.99166666666666</v>
      </c>
      <c r="AA80">
        <v>69.433333333333323</v>
      </c>
      <c r="AB80">
        <v>71.33</v>
      </c>
      <c r="AC80">
        <v>80.295000000000002</v>
      </c>
      <c r="AD80">
        <v>66.703333333333333</v>
      </c>
      <c r="AE80">
        <v>75.958333333333329</v>
      </c>
      <c r="AF80">
        <v>71.330833333333331</v>
      </c>
      <c r="AG80">
        <v>12.386666666666665</v>
      </c>
      <c r="AH80">
        <v>71.33</v>
      </c>
      <c r="AI80">
        <v>42.555</v>
      </c>
    </row>
    <row r="81" spans="1:35" x14ac:dyDescent="0.25">
      <c r="B81">
        <v>76.707999999999998</v>
      </c>
      <c r="C81">
        <v>73.186999999999998</v>
      </c>
      <c r="D81">
        <v>66.304000000000002</v>
      </c>
      <c r="E81">
        <v>70.921999999999997</v>
      </c>
      <c r="F81">
        <v>75.876000000000005</v>
      </c>
      <c r="G81">
        <v>67.938000000000002</v>
      </c>
      <c r="H81">
        <v>71.549000000000007</v>
      </c>
      <c r="I81">
        <v>64.445999999999998</v>
      </c>
      <c r="J81">
        <v>68.215999999999994</v>
      </c>
      <c r="K81">
        <v>76.018999999999991</v>
      </c>
      <c r="L81">
        <v>66.304000000000002</v>
      </c>
      <c r="M81">
        <v>70.126999999999995</v>
      </c>
      <c r="N81">
        <v>68.215499999999992</v>
      </c>
      <c r="O81">
        <v>9.6980000000000004</v>
      </c>
      <c r="P81">
        <v>68.215999999999994</v>
      </c>
      <c r="Q81">
        <v>34.798000000000002</v>
      </c>
      <c r="T81">
        <v>80.341666666666654</v>
      </c>
      <c r="U81">
        <v>72.678333333333327</v>
      </c>
      <c r="V81">
        <v>76.105000000000004</v>
      </c>
      <c r="W81">
        <v>73.320000000000007</v>
      </c>
      <c r="X81">
        <v>74.33</v>
      </c>
      <c r="Y81">
        <v>77.016666666666666</v>
      </c>
      <c r="Z81">
        <v>75.569999999999993</v>
      </c>
      <c r="AA81">
        <v>69.648333333333326</v>
      </c>
      <c r="AB81">
        <v>71.153333333333322</v>
      </c>
      <c r="AC81">
        <v>78.74666666666667</v>
      </c>
      <c r="AD81">
        <v>76.105000000000004</v>
      </c>
      <c r="AE81">
        <v>66.203333333333333</v>
      </c>
      <c r="AF81">
        <v>71.154166666666654</v>
      </c>
      <c r="AG81">
        <v>9.8983333333333334</v>
      </c>
      <c r="AH81">
        <v>71.153333333333322</v>
      </c>
      <c r="AI81">
        <v>41.508333333333333</v>
      </c>
    </row>
    <row r="82" spans="1:35" x14ac:dyDescent="0.25">
      <c r="B82" s="2">
        <f t="shared" ref="B82" si="108">AVERAGE(B79:B81)</f>
        <v>75.583666666666673</v>
      </c>
      <c r="C82" s="2">
        <f t="shared" ref="C82" si="109">AVERAGE(C79:C81)</f>
        <v>74.10199999999999</v>
      </c>
      <c r="D82" s="2">
        <f t="shared" ref="D82" si="110">AVERAGE(D79:D81)</f>
        <v>63.647666666666659</v>
      </c>
      <c r="E82" s="2">
        <f t="shared" ref="E82" si="111">AVERAGE(E79:E81)</f>
        <v>69.262666666666675</v>
      </c>
      <c r="F82" s="2">
        <f t="shared" ref="F82" si="112">AVERAGE(F79:F81)</f>
        <v>77.519666666666666</v>
      </c>
      <c r="G82" s="2">
        <f t="shared" ref="G82" si="113">AVERAGE(G79:G81)</f>
        <v>66.117999999999995</v>
      </c>
      <c r="H82" s="2">
        <f t="shared" ref="H82" si="114">AVERAGE(H79:H81)</f>
        <v>71.141333333333336</v>
      </c>
      <c r="I82" s="2">
        <f t="shared" ref="I82" si="115">AVERAGE(I79:I81)</f>
        <v>64.513333333333335</v>
      </c>
      <c r="J82" s="2">
        <f t="shared" ref="J82" si="116">AVERAGE(J79:J81)</f>
        <v>67.914666666666662</v>
      </c>
      <c r="K82" s="2">
        <f t="shared" ref="K82" si="117">AVERAGE(K79:K81)</f>
        <v>74.845666666666659</v>
      </c>
      <c r="L82" s="2">
        <f t="shared" ref="L82" si="118">AVERAGE(L79:L81)</f>
        <v>63.647666666666659</v>
      </c>
      <c r="M82" s="2">
        <f t="shared" ref="M82" si="119">AVERAGE(M79:M81)</f>
        <v>72.181666666666672</v>
      </c>
      <c r="N82" s="2">
        <f>AVERAGE(N79:N81)</f>
        <v>67.914666666666662</v>
      </c>
      <c r="O82" s="2">
        <f t="shared" ref="O82" si="120">AVERAGE(O79:O81)</f>
        <v>12.717333333333334</v>
      </c>
      <c r="P82" s="2">
        <f t="shared" ref="P82" si="121">AVERAGE(P79:P81)</f>
        <v>67.914666666666662</v>
      </c>
      <c r="Q82" s="2">
        <f t="shared" ref="Q82" si="122">AVERAGE(Q79:Q81)</f>
        <v>33.708000000000006</v>
      </c>
      <c r="T82" s="2">
        <f>AVERAGE(T79:T81)</f>
        <v>79.36444444444443</v>
      </c>
      <c r="U82" s="2">
        <f t="shared" ref="U82" si="123">AVERAGE(U79:U81)</f>
        <v>74.274444444444455</v>
      </c>
      <c r="V82" s="2">
        <f t="shared" ref="V82" si="124">AVERAGE(V79:V81)</f>
        <v>73.393333333333331</v>
      </c>
      <c r="W82" s="2">
        <f t="shared" ref="W82" si="125">AVERAGE(W79:W81)</f>
        <v>72.491111111111124</v>
      </c>
      <c r="X82" s="2">
        <f t="shared" ref="X82" si="126">AVERAGE(X79:X81)</f>
        <v>75.811111111111089</v>
      </c>
      <c r="Y82" s="2">
        <f t="shared" ref="Y82" si="127">AVERAGE(Y79:Y81)</f>
        <v>74.577777777777783</v>
      </c>
      <c r="Z82" s="2">
        <f t="shared" ref="Z82" si="128">AVERAGE(Z79:Z81)</f>
        <v>74.919444444444437</v>
      </c>
      <c r="AA82" s="2">
        <f t="shared" ref="AA82" si="129">AVERAGE(AA79:AA81)</f>
        <v>69.49222222222221</v>
      </c>
      <c r="AB82" s="2">
        <f t="shared" ref="AB82" si="130">AVERAGE(AB79:AB81)</f>
        <v>70.933888888888873</v>
      </c>
      <c r="AC82" s="2">
        <f t="shared" ref="AC82" si="131">AVERAGE(AC79:AC81)</f>
        <v>78.685555555555553</v>
      </c>
      <c r="AD82" s="2">
        <f t="shared" ref="AD82" si="132">AVERAGE(AD79:AD81)</f>
        <v>73.393333333333331</v>
      </c>
      <c r="AE82" s="2">
        <f t="shared" ref="AE82" si="133">AVERAGE(AE79:AE81)</f>
        <v>68.475555555555559</v>
      </c>
      <c r="AF82" s="2">
        <f>AVERAGE(AF79:AF81)</f>
        <v>70.934444444444424</v>
      </c>
      <c r="AG82" s="2">
        <f t="shared" ref="AG82" si="134">AVERAGE(AG79:AG81)</f>
        <v>12.13111111111111</v>
      </c>
      <c r="AH82" s="2">
        <f t="shared" ref="AH82" si="135">AVERAGE(AH79:AH81)</f>
        <v>70.933888888888873</v>
      </c>
      <c r="AI82" s="2">
        <f t="shared" ref="AI82" si="136">AVERAGE(AI79:AI81)</f>
        <v>41.573333333333331</v>
      </c>
    </row>
    <row r="83" spans="1:35" x14ac:dyDescent="0.25">
      <c r="B83" s="2">
        <f>_xlfn.STDEV.S(B79:B81)</f>
        <v>0.98052757907839272</v>
      </c>
      <c r="C83" s="2">
        <f t="shared" ref="C83:Q83" si="137">_xlfn.STDEV.S(C79:C81)</f>
        <v>0.9822927262277793</v>
      </c>
      <c r="D83" s="2">
        <f t="shared" si="137"/>
        <v>2.3106173056855055</v>
      </c>
      <c r="E83" s="2">
        <f t="shared" si="137"/>
        <v>1.4497945831507697</v>
      </c>
      <c r="F83" s="2">
        <f t="shared" si="137"/>
        <v>1.5092158007830858</v>
      </c>
      <c r="G83" s="2">
        <f t="shared" si="137"/>
        <v>1.5780950541713239</v>
      </c>
      <c r="H83" s="2">
        <f t="shared" si="137"/>
        <v>0.4346335621340548</v>
      </c>
      <c r="I83" s="2">
        <f t="shared" si="137"/>
        <v>0.43096326216203695</v>
      </c>
      <c r="J83" s="2">
        <f t="shared" si="137"/>
        <v>0.56400472811256896</v>
      </c>
      <c r="K83" s="2">
        <f t="shared" si="137"/>
        <v>1.0192027930364649</v>
      </c>
      <c r="L83" s="2">
        <f t="shared" si="137"/>
        <v>2.3106173056855055</v>
      </c>
      <c r="M83" s="2">
        <f t="shared" si="137"/>
        <v>1.9436474303055431</v>
      </c>
      <c r="N83" s="2">
        <f t="shared" si="137"/>
        <v>0.5631394883448837</v>
      </c>
      <c r="O83" s="2">
        <f t="shared" si="137"/>
        <v>2.7286773963466779</v>
      </c>
      <c r="P83" s="2">
        <f t="shared" si="137"/>
        <v>0.56400472811256896</v>
      </c>
      <c r="Q83" s="2">
        <f t="shared" si="137"/>
        <v>1.3435069780243023</v>
      </c>
      <c r="T83" s="2">
        <f>_xlfn.STDEV.S(T79:T81)</f>
        <v>1.458210788502015</v>
      </c>
      <c r="U83" s="2">
        <f t="shared" ref="U83:AI83" si="138">_xlfn.STDEV.S(U79:U81)</f>
        <v>3.6262838084269249</v>
      </c>
      <c r="V83" s="2">
        <f t="shared" si="138"/>
        <v>5.8282232379268963</v>
      </c>
      <c r="W83" s="2">
        <f t="shared" si="138"/>
        <v>1.8085609175785553</v>
      </c>
      <c r="X83" s="2">
        <f t="shared" si="138"/>
        <v>3.1025622624844509</v>
      </c>
      <c r="Y83" s="2">
        <f t="shared" si="138"/>
        <v>5.9289741321124989</v>
      </c>
      <c r="Z83" s="2">
        <f t="shared" si="138"/>
        <v>1.6986533337170842</v>
      </c>
      <c r="AA83" s="2">
        <f t="shared" si="138"/>
        <v>0.13654805150704377</v>
      </c>
      <c r="AB83" s="2">
        <f t="shared" si="138"/>
        <v>0.54035567847415034</v>
      </c>
      <c r="AC83" s="2">
        <f t="shared" si="138"/>
        <v>1.6408537186251333</v>
      </c>
      <c r="AD83" s="2">
        <f t="shared" si="138"/>
        <v>5.8282232379268963</v>
      </c>
      <c r="AE83" s="2">
        <f t="shared" si="138"/>
        <v>6.6447289747700076</v>
      </c>
      <c r="AF83" s="2">
        <f t="shared" si="138"/>
        <v>0.54083033726271612</v>
      </c>
      <c r="AG83" s="2">
        <f t="shared" si="138"/>
        <v>2.1166025799571981</v>
      </c>
      <c r="AH83" s="2">
        <f t="shared" si="138"/>
        <v>0.54035567847415034</v>
      </c>
      <c r="AI83" s="2">
        <f t="shared" si="138"/>
        <v>0.9508344288629389</v>
      </c>
    </row>
    <row r="85" spans="1:35" x14ac:dyDescent="0.25">
      <c r="A85" s="1" t="s">
        <v>87</v>
      </c>
      <c r="B85">
        <v>74.497</v>
      </c>
      <c r="C85">
        <v>71.861999999999995</v>
      </c>
      <c r="D85">
        <v>66.926000000000002</v>
      </c>
      <c r="E85">
        <v>68.367999999999995</v>
      </c>
      <c r="F85">
        <v>73.572000000000017</v>
      </c>
      <c r="G85">
        <v>68.154000000000011</v>
      </c>
      <c r="H85">
        <v>70.572999999999979</v>
      </c>
      <c r="I85">
        <v>63.314</v>
      </c>
      <c r="J85">
        <v>66.638999999999996</v>
      </c>
      <c r="K85">
        <v>72.557999999999993</v>
      </c>
      <c r="L85">
        <v>66.926000000000002</v>
      </c>
      <c r="M85">
        <v>66.350999999999999</v>
      </c>
      <c r="N85">
        <v>66.638499999999993</v>
      </c>
      <c r="O85">
        <v>7.0110000000000001</v>
      </c>
      <c r="P85">
        <v>66.638999999999996</v>
      </c>
      <c r="Q85">
        <v>31.360000000000003</v>
      </c>
      <c r="S85" s="1" t="s">
        <v>87</v>
      </c>
      <c r="T85" s="1">
        <v>79.765000000000001</v>
      </c>
      <c r="U85" s="1">
        <v>74.883333333333326</v>
      </c>
      <c r="V85" s="1">
        <v>68.668333333333337</v>
      </c>
      <c r="W85" s="1">
        <v>70.938333333333347</v>
      </c>
      <c r="X85" s="1">
        <v>77.004999999999995</v>
      </c>
      <c r="Y85" s="1">
        <v>69.935000000000002</v>
      </c>
      <c r="Z85" s="1">
        <v>73.198333333333323</v>
      </c>
      <c r="AA85" s="1">
        <v>69.351666666666674</v>
      </c>
      <c r="AB85" s="1">
        <v>71.00333333333333</v>
      </c>
      <c r="AC85" s="1">
        <v>79.158333333333346</v>
      </c>
      <c r="AD85" s="1">
        <v>68.668333333333337</v>
      </c>
      <c r="AE85" s="1">
        <v>73.341666666666654</v>
      </c>
      <c r="AF85" s="1">
        <v>71.004999999999995</v>
      </c>
      <c r="AG85" s="1">
        <v>7.7249999999999988</v>
      </c>
      <c r="AH85" s="1">
        <v>71.00333333333333</v>
      </c>
      <c r="AI85" s="1">
        <v>40.518333333333331</v>
      </c>
    </row>
    <row r="86" spans="1:35" x14ac:dyDescent="0.25">
      <c r="B86">
        <v>74.497</v>
      </c>
      <c r="C86">
        <v>71.430999999999997</v>
      </c>
      <c r="D86">
        <v>68.479000000000013</v>
      </c>
      <c r="E86">
        <v>70.983999999999995</v>
      </c>
      <c r="F86">
        <v>75.760999999999996</v>
      </c>
      <c r="G86">
        <v>72.207999999999998</v>
      </c>
      <c r="H86">
        <v>73.843999999999994</v>
      </c>
      <c r="I86">
        <v>64.524999999999991</v>
      </c>
      <c r="J86">
        <v>66.218999999999994</v>
      </c>
      <c r="K86">
        <v>72.400999999999996</v>
      </c>
      <c r="L86">
        <v>68.479000000000013</v>
      </c>
      <c r="M86">
        <v>63.957000000000008</v>
      </c>
      <c r="N86">
        <v>66.217999999999989</v>
      </c>
      <c r="O86">
        <v>9.0729999999999986</v>
      </c>
      <c r="P86">
        <v>66.218999999999994</v>
      </c>
      <c r="Q86">
        <v>31.398000000000003</v>
      </c>
      <c r="T86">
        <v>79.696666666666673</v>
      </c>
      <c r="U86">
        <v>73.066666666666663</v>
      </c>
      <c r="V86">
        <v>70.426666666666662</v>
      </c>
      <c r="W86">
        <v>70.97</v>
      </c>
      <c r="X86">
        <v>74.91</v>
      </c>
      <c r="Y86">
        <v>71.839999999999989</v>
      </c>
      <c r="Z86">
        <v>73.274999999999991</v>
      </c>
      <c r="AA86">
        <v>68.558333333333323</v>
      </c>
      <c r="AB86">
        <v>69.913333333333327</v>
      </c>
      <c r="AC86">
        <v>78.65333333333335</v>
      </c>
      <c r="AD86">
        <v>70.426666666666662</v>
      </c>
      <c r="AE86">
        <v>69.401666666666671</v>
      </c>
      <c r="AF86">
        <v>69.914166666666659</v>
      </c>
      <c r="AG86">
        <v>5.2600000000000007</v>
      </c>
      <c r="AH86">
        <v>69.913333333333327</v>
      </c>
      <c r="AI86">
        <v>38.729999999999997</v>
      </c>
    </row>
    <row r="87" spans="1:35" x14ac:dyDescent="0.25">
      <c r="B87">
        <v>74.009999999999991</v>
      </c>
      <c r="C87">
        <v>70.683999999999997</v>
      </c>
      <c r="D87">
        <v>70.134</v>
      </c>
      <c r="E87">
        <v>69.784999999999997</v>
      </c>
      <c r="F87">
        <v>73.27</v>
      </c>
      <c r="G87">
        <v>71.794000000000011</v>
      </c>
      <c r="H87">
        <v>72.432999999999979</v>
      </c>
      <c r="I87">
        <v>63.748000000000005</v>
      </c>
      <c r="J87">
        <v>66.508999999999986</v>
      </c>
      <c r="K87">
        <v>72.864999999999981</v>
      </c>
      <c r="L87">
        <v>70.134</v>
      </c>
      <c r="M87">
        <v>62.883000000000003</v>
      </c>
      <c r="N87">
        <v>66.508499999999998</v>
      </c>
      <c r="O87">
        <v>8.891</v>
      </c>
      <c r="P87">
        <v>66.508999999999986</v>
      </c>
      <c r="Q87">
        <v>31.567999999999994</v>
      </c>
      <c r="T87">
        <v>79.876666666666665</v>
      </c>
      <c r="U87">
        <v>74.013333333333335</v>
      </c>
      <c r="V87">
        <v>69.095000000000013</v>
      </c>
      <c r="W87">
        <v>70.584999999999994</v>
      </c>
      <c r="X87">
        <v>75.733333333333334</v>
      </c>
      <c r="Y87">
        <v>70.089999999999989</v>
      </c>
      <c r="Z87">
        <v>72.635000000000005</v>
      </c>
      <c r="AA87">
        <v>68.144999999999996</v>
      </c>
      <c r="AB87">
        <v>69.803333333333342</v>
      </c>
      <c r="AC87">
        <v>78.338333333333338</v>
      </c>
      <c r="AD87">
        <v>69.095000000000013</v>
      </c>
      <c r="AE87">
        <v>70.50833333333334</v>
      </c>
      <c r="AF87">
        <v>69.801666666666677</v>
      </c>
      <c r="AG87">
        <v>5.7966666666666669</v>
      </c>
      <c r="AH87">
        <v>69.803333333333342</v>
      </c>
      <c r="AI87">
        <v>38.384999999999998</v>
      </c>
    </row>
    <row r="88" spans="1:35" x14ac:dyDescent="0.25">
      <c r="B88" s="2">
        <f t="shared" ref="B88" si="139">AVERAGE(B85:B87)</f>
        <v>74.334666666666664</v>
      </c>
      <c r="C88" s="2">
        <f t="shared" ref="C88" si="140">AVERAGE(C85:C87)</f>
        <v>71.325666666666663</v>
      </c>
      <c r="D88" s="2">
        <f t="shared" ref="D88" si="141">AVERAGE(D85:D87)</f>
        <v>68.513000000000019</v>
      </c>
      <c r="E88" s="2">
        <f t="shared" ref="E88" si="142">AVERAGE(E85:E87)</f>
        <v>69.712333333333319</v>
      </c>
      <c r="F88" s="2">
        <f t="shared" ref="F88" si="143">AVERAGE(F85:F87)</f>
        <v>74.201000000000008</v>
      </c>
      <c r="G88" s="2">
        <f t="shared" ref="G88" si="144">AVERAGE(G85:G87)</f>
        <v>70.718666666666678</v>
      </c>
      <c r="H88" s="2">
        <f t="shared" ref="H88" si="145">AVERAGE(H85:H87)</f>
        <v>72.283333333333317</v>
      </c>
      <c r="I88" s="2">
        <f t="shared" ref="I88" si="146">AVERAGE(I85:I87)</f>
        <v>63.862333333333332</v>
      </c>
      <c r="J88" s="2">
        <f t="shared" ref="J88" si="147">AVERAGE(J85:J87)</f>
        <v>66.455666666666659</v>
      </c>
      <c r="K88" s="2">
        <f t="shared" ref="K88" si="148">AVERAGE(K85:K87)</f>
        <v>72.60799999999999</v>
      </c>
      <c r="L88" s="2">
        <f t="shared" ref="L88" si="149">AVERAGE(L85:L87)</f>
        <v>68.513000000000019</v>
      </c>
      <c r="M88" s="2">
        <f t="shared" ref="M88" si="150">AVERAGE(M85:M87)</f>
        <v>64.397000000000006</v>
      </c>
      <c r="N88" s="2">
        <f>AVERAGE(N85:N87)</f>
        <v>66.454999999999998</v>
      </c>
      <c r="O88" s="2">
        <f t="shared" ref="O88" si="151">AVERAGE(O85:O87)</f>
        <v>8.3250000000000011</v>
      </c>
      <c r="P88" s="2">
        <f t="shared" ref="P88" si="152">AVERAGE(P85:P87)</f>
        <v>66.455666666666659</v>
      </c>
      <c r="Q88" s="2">
        <f t="shared" ref="Q88" si="153">AVERAGE(Q85:Q87)</f>
        <v>31.442000000000004</v>
      </c>
      <c r="T88" s="2">
        <f>AVERAGE(T85:T87)</f>
        <v>79.779444444444451</v>
      </c>
      <c r="U88" s="2">
        <f t="shared" ref="U88" si="154">AVERAGE(U85:U87)</f>
        <v>73.987777777777765</v>
      </c>
      <c r="V88" s="2">
        <f t="shared" ref="V88" si="155">AVERAGE(V85:V87)</f>
        <v>69.396666666666661</v>
      </c>
      <c r="W88" s="2">
        <f t="shared" ref="W88" si="156">AVERAGE(W85:W87)</f>
        <v>70.831111111111113</v>
      </c>
      <c r="X88" s="2">
        <f t="shared" ref="X88" si="157">AVERAGE(X85:X87)</f>
        <v>75.882777777777775</v>
      </c>
      <c r="Y88" s="2">
        <f t="shared" ref="Y88" si="158">AVERAGE(Y85:Y87)</f>
        <v>70.621666666666655</v>
      </c>
      <c r="Z88" s="2">
        <f t="shared" ref="Z88" si="159">AVERAGE(Z85:Z87)</f>
        <v>73.036111111111097</v>
      </c>
      <c r="AA88" s="2">
        <f t="shared" ref="AA88" si="160">AVERAGE(AA85:AA87)</f>
        <v>68.685000000000002</v>
      </c>
      <c r="AB88" s="2">
        <f t="shared" ref="AB88" si="161">AVERAGE(AB85:AB87)</f>
        <v>70.239999999999995</v>
      </c>
      <c r="AC88" s="2">
        <f t="shared" ref="AC88" si="162">AVERAGE(AC85:AC87)</f>
        <v>78.716666666666683</v>
      </c>
      <c r="AD88" s="2">
        <f t="shared" ref="AD88" si="163">AVERAGE(AD85:AD87)</f>
        <v>69.396666666666661</v>
      </c>
      <c r="AE88" s="2">
        <f t="shared" ref="AE88" si="164">AVERAGE(AE85:AE87)</f>
        <v>71.083888888888893</v>
      </c>
      <c r="AF88" s="2">
        <f>AVERAGE(AF85:AF87)</f>
        <v>70.240277777777777</v>
      </c>
      <c r="AG88" s="2">
        <f t="shared" ref="AG88" si="165">AVERAGE(AG85:AG87)</f>
        <v>6.2605555555555554</v>
      </c>
      <c r="AH88" s="2">
        <f t="shared" ref="AH88" si="166">AVERAGE(AH85:AH87)</f>
        <v>70.239999999999995</v>
      </c>
      <c r="AI88" s="2">
        <f t="shared" ref="AI88" si="167">AVERAGE(AI85:AI87)</f>
        <v>39.211111111111109</v>
      </c>
    </row>
    <row r="89" spans="1:35" x14ac:dyDescent="0.25">
      <c r="B89" s="2">
        <f>_xlfn.STDEV.S(B85:B87)</f>
        <v>0.28116958109535295</v>
      </c>
      <c r="C89" s="2">
        <f t="shared" ref="C89:Q89" si="168">_xlfn.STDEV.S(C85:C87)</f>
        <v>0.59602209131317596</v>
      </c>
      <c r="D89" s="2">
        <f t="shared" si="168"/>
        <v>1.6042702390806847</v>
      </c>
      <c r="E89" s="2">
        <f t="shared" si="168"/>
        <v>1.3095130138083138</v>
      </c>
      <c r="F89" s="2">
        <f t="shared" si="168"/>
        <v>1.3594120052434384</v>
      </c>
      <c r="G89" s="2">
        <f t="shared" si="168"/>
        <v>2.230691671507588</v>
      </c>
      <c r="H89" s="2">
        <f t="shared" si="168"/>
        <v>1.6406280301559391</v>
      </c>
      <c r="I89" s="2">
        <f t="shared" si="168"/>
        <v>0.6135424462360588</v>
      </c>
      <c r="J89" s="2">
        <f t="shared" si="168"/>
        <v>0.21501937897160159</v>
      </c>
      <c r="K89" s="2">
        <f t="shared" si="168"/>
        <v>0.23600635584660887</v>
      </c>
      <c r="L89" s="2">
        <f t="shared" si="168"/>
        <v>1.6042702390806847</v>
      </c>
      <c r="M89" s="2">
        <f t="shared" si="168"/>
        <v>1.7753748899880246</v>
      </c>
      <c r="N89" s="2">
        <f t="shared" si="168"/>
        <v>0.2152945656536672</v>
      </c>
      <c r="O89" s="2">
        <f t="shared" si="168"/>
        <v>1.1415901190882725</v>
      </c>
      <c r="P89" s="2">
        <f t="shared" si="168"/>
        <v>0.21501937897160159</v>
      </c>
      <c r="Q89" s="2">
        <f t="shared" si="168"/>
        <v>0.11076100396799811</v>
      </c>
      <c r="T89" s="2">
        <f>_xlfn.STDEV.S(T85:T87)</f>
        <v>9.0865182999215061E-2</v>
      </c>
      <c r="U89" s="2">
        <f t="shared" ref="U89:AI89" si="169">_xlfn.STDEV.S(U85:U87)</f>
        <v>0.90860291616264144</v>
      </c>
      <c r="V89" s="2">
        <f t="shared" si="169"/>
        <v>0.91716198738886934</v>
      </c>
      <c r="W89" s="2">
        <f t="shared" si="169"/>
        <v>0.21372576752396172</v>
      </c>
      <c r="X89" s="2">
        <f t="shared" si="169"/>
        <v>1.0554650545998572</v>
      </c>
      <c r="Y89" s="2">
        <f t="shared" si="169"/>
        <v>1.0579500618334139</v>
      </c>
      <c r="Z89" s="2">
        <f t="shared" si="169"/>
        <v>0.34948109682360695</v>
      </c>
      <c r="AA89" s="2">
        <f t="shared" si="169"/>
        <v>0.61322462804787325</v>
      </c>
      <c r="AB89" s="2">
        <f t="shared" si="169"/>
        <v>0.66335008354060643</v>
      </c>
      <c r="AC89" s="2">
        <f t="shared" si="169"/>
        <v>0.41365243059038814</v>
      </c>
      <c r="AD89" s="2">
        <f t="shared" si="169"/>
        <v>0.91716198738886934</v>
      </c>
      <c r="AE89" s="2">
        <f t="shared" si="169"/>
        <v>2.0320797592978748</v>
      </c>
      <c r="AF89" s="2">
        <f t="shared" si="169"/>
        <v>0.66465338362966675</v>
      </c>
      <c r="AG89" s="2">
        <f t="shared" si="169"/>
        <v>1.2963220764632213</v>
      </c>
      <c r="AH89" s="2">
        <f t="shared" si="169"/>
        <v>0.66335008354060643</v>
      </c>
      <c r="AI89" s="2">
        <f t="shared" si="169"/>
        <v>1.1451544453494924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2AE7A-D8B0-450F-A106-9D831105430F}">
  <dimension ref="A2:AH260"/>
  <sheetViews>
    <sheetView tabSelected="1" topLeftCell="A148" zoomScale="55" zoomScaleNormal="55" workbookViewId="0">
      <selection activeCell="S164" sqref="S164"/>
    </sheetView>
  </sheetViews>
  <sheetFormatPr defaultRowHeight="14.4" x14ac:dyDescent="0.25"/>
  <cols>
    <col min="2" max="2" width="8.44140625" customWidth="1"/>
    <col min="19" max="19" width="7.6640625" customWidth="1"/>
  </cols>
  <sheetData>
    <row r="2" spans="1:34" x14ac:dyDescent="0.25">
      <c r="A2" s="1" t="s">
        <v>71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t="s">
        <v>14</v>
      </c>
      <c r="Q2" s="2" t="s">
        <v>15</v>
      </c>
      <c r="R2" s="2" t="s">
        <v>72</v>
      </c>
      <c r="S2" t="s">
        <v>0</v>
      </c>
      <c r="T2" t="s">
        <v>1</v>
      </c>
      <c r="U2" t="s">
        <v>2</v>
      </c>
      <c r="V2" t="s">
        <v>3</v>
      </c>
      <c r="W2" t="s">
        <v>4</v>
      </c>
      <c r="X2" t="s">
        <v>5</v>
      </c>
      <c r="Y2" t="s">
        <v>6</v>
      </c>
      <c r="Z2" t="s">
        <v>7</v>
      </c>
      <c r="AA2" t="s">
        <v>8</v>
      </c>
      <c r="AB2" t="s">
        <v>9</v>
      </c>
      <c r="AC2" s="2" t="s">
        <v>10</v>
      </c>
      <c r="AD2" s="2" t="s">
        <v>11</v>
      </c>
      <c r="AE2" s="2" t="s">
        <v>12</v>
      </c>
      <c r="AF2" s="2" t="s">
        <v>13</v>
      </c>
      <c r="AG2" t="s">
        <v>14</v>
      </c>
      <c r="AH2" s="2" t="s">
        <v>15</v>
      </c>
    </row>
    <row r="3" spans="1:34" x14ac:dyDescent="0.25">
      <c r="A3" s="1" t="s">
        <v>73</v>
      </c>
      <c r="B3">
        <v>79.37</v>
      </c>
      <c r="C3">
        <v>78.91</v>
      </c>
      <c r="D3">
        <v>73.739999999999995</v>
      </c>
      <c r="E3">
        <v>75.790000000000006</v>
      </c>
      <c r="F3">
        <v>80.87</v>
      </c>
      <c r="G3">
        <v>76.23</v>
      </c>
      <c r="H3">
        <v>78.48</v>
      </c>
      <c r="I3">
        <v>64.239999999999995</v>
      </c>
      <c r="J3">
        <v>67.03</v>
      </c>
      <c r="K3">
        <v>71.53</v>
      </c>
      <c r="L3">
        <v>73.739999999999995</v>
      </c>
      <c r="M3">
        <v>60.31</v>
      </c>
      <c r="N3">
        <f>(L3+M3)/2</f>
        <v>67.025000000000006</v>
      </c>
      <c r="O3">
        <v>13.43</v>
      </c>
      <c r="P3">
        <v>67.03</v>
      </c>
      <c r="Q3">
        <v>31</v>
      </c>
      <c r="R3" s="1"/>
    </row>
    <row r="4" spans="1:34" x14ac:dyDescent="0.25">
      <c r="B4">
        <v>87.52</v>
      </c>
      <c r="C4">
        <v>81.430000000000007</v>
      </c>
      <c r="D4">
        <v>84.16</v>
      </c>
      <c r="E4">
        <v>82.59</v>
      </c>
      <c r="F4">
        <v>83.2</v>
      </c>
      <c r="G4">
        <v>85.25</v>
      </c>
      <c r="H4">
        <v>84.21</v>
      </c>
      <c r="I4">
        <v>72.36</v>
      </c>
      <c r="J4">
        <v>73.06</v>
      </c>
      <c r="K4">
        <v>80.22</v>
      </c>
      <c r="L4">
        <v>84.16</v>
      </c>
      <c r="M4">
        <v>61.97</v>
      </c>
      <c r="N4">
        <f t="shared" ref="N4:N12" si="0">(L4+M4)/2</f>
        <v>73.064999999999998</v>
      </c>
      <c r="O4">
        <v>22.19</v>
      </c>
      <c r="P4">
        <v>73.06</v>
      </c>
      <c r="Q4">
        <v>45.29</v>
      </c>
    </row>
    <row r="5" spans="1:34" x14ac:dyDescent="0.25">
      <c r="B5">
        <v>68.88</v>
      </c>
      <c r="C5">
        <v>68.11</v>
      </c>
      <c r="D5">
        <v>69.78</v>
      </c>
      <c r="E5">
        <v>67.819999999999993</v>
      </c>
      <c r="F5">
        <v>72.67</v>
      </c>
      <c r="G5">
        <v>74.52</v>
      </c>
      <c r="H5">
        <v>73.58</v>
      </c>
      <c r="I5">
        <v>64.430000000000007</v>
      </c>
      <c r="J5">
        <v>66.28</v>
      </c>
      <c r="K5">
        <v>71.319999999999993</v>
      </c>
      <c r="L5">
        <v>69.78</v>
      </c>
      <c r="M5">
        <v>62.78</v>
      </c>
      <c r="N5">
        <f t="shared" si="0"/>
        <v>66.28</v>
      </c>
      <c r="O5">
        <v>7</v>
      </c>
      <c r="P5">
        <v>66.28</v>
      </c>
      <c r="Q5">
        <v>30.92</v>
      </c>
    </row>
    <row r="6" spans="1:34" x14ac:dyDescent="0.25">
      <c r="B6">
        <v>89.26</v>
      </c>
      <c r="C6">
        <v>81.2</v>
      </c>
      <c r="D6">
        <v>77.14</v>
      </c>
      <c r="E6">
        <v>78.8</v>
      </c>
      <c r="F6">
        <v>82.46</v>
      </c>
      <c r="G6">
        <v>77.05</v>
      </c>
      <c r="H6">
        <v>79.66</v>
      </c>
      <c r="I6">
        <v>67.89</v>
      </c>
      <c r="J6">
        <v>70.16</v>
      </c>
      <c r="K6">
        <v>79.22</v>
      </c>
      <c r="L6">
        <v>77.14</v>
      </c>
      <c r="M6">
        <v>63.19</v>
      </c>
      <c r="N6">
        <f t="shared" si="0"/>
        <v>70.164999999999992</v>
      </c>
      <c r="O6">
        <v>13.95</v>
      </c>
      <c r="P6">
        <v>70.16</v>
      </c>
      <c r="Q6">
        <v>37.340000000000003</v>
      </c>
    </row>
    <row r="7" spans="1:34" x14ac:dyDescent="0.25">
      <c r="B7">
        <v>69.430000000000007</v>
      </c>
      <c r="C7">
        <v>70.5</v>
      </c>
      <c r="D7">
        <v>61.6</v>
      </c>
      <c r="E7">
        <v>62.81</v>
      </c>
      <c r="F7">
        <v>75.97</v>
      </c>
      <c r="G7">
        <v>62.42</v>
      </c>
      <c r="H7">
        <v>68.53</v>
      </c>
      <c r="I7">
        <v>63.23</v>
      </c>
      <c r="J7">
        <v>68.489999999999995</v>
      </c>
      <c r="K7">
        <v>75.599999999999994</v>
      </c>
      <c r="L7">
        <v>61.6</v>
      </c>
      <c r="M7">
        <v>75.38</v>
      </c>
      <c r="N7">
        <f t="shared" si="0"/>
        <v>68.489999999999995</v>
      </c>
      <c r="O7">
        <v>13.78</v>
      </c>
      <c r="P7">
        <v>68.489999999999995</v>
      </c>
      <c r="Q7">
        <v>32.590000000000003</v>
      </c>
      <c r="S7">
        <v>83.46</v>
      </c>
      <c r="T7">
        <v>75.84</v>
      </c>
      <c r="U7">
        <v>79.680000000000007</v>
      </c>
      <c r="V7">
        <v>77.430000000000007</v>
      </c>
      <c r="W7">
        <v>76.72</v>
      </c>
      <c r="X7">
        <v>80.540000000000006</v>
      </c>
      <c r="Y7">
        <v>78.59</v>
      </c>
      <c r="Z7">
        <v>69.97</v>
      </c>
      <c r="AA7">
        <v>70.55</v>
      </c>
      <c r="AB7">
        <v>79.06</v>
      </c>
      <c r="AC7">
        <v>79.680000000000007</v>
      </c>
      <c r="AD7">
        <v>61.42</v>
      </c>
      <c r="AE7">
        <f>(AC7+AD7)/2</f>
        <v>70.550000000000011</v>
      </c>
      <c r="AF7">
        <v>18.25</v>
      </c>
      <c r="AG7">
        <v>70.55</v>
      </c>
      <c r="AH7">
        <v>41.14</v>
      </c>
    </row>
    <row r="8" spans="1:34" x14ac:dyDescent="0.25">
      <c r="B8">
        <v>58.89</v>
      </c>
      <c r="C8">
        <v>56.66</v>
      </c>
      <c r="D8">
        <v>59.12</v>
      </c>
      <c r="E8">
        <v>56.87</v>
      </c>
      <c r="F8">
        <v>62.02</v>
      </c>
      <c r="G8">
        <v>65.569999999999993</v>
      </c>
      <c r="H8">
        <v>63.75</v>
      </c>
      <c r="I8">
        <v>57.19</v>
      </c>
      <c r="J8">
        <v>58.57</v>
      </c>
      <c r="K8">
        <v>64.12</v>
      </c>
      <c r="L8">
        <v>59.12</v>
      </c>
      <c r="M8">
        <v>58.01</v>
      </c>
      <c r="N8">
        <f t="shared" si="0"/>
        <v>58.564999999999998</v>
      </c>
      <c r="O8">
        <v>1.1100000000000001</v>
      </c>
      <c r="P8">
        <v>58.57</v>
      </c>
      <c r="Q8">
        <v>15.93</v>
      </c>
      <c r="S8">
        <v>77.930000000000007</v>
      </c>
      <c r="T8">
        <v>72.349999999999994</v>
      </c>
      <c r="U8">
        <v>73.98</v>
      </c>
      <c r="V8">
        <v>73.11</v>
      </c>
      <c r="W8">
        <v>74.78</v>
      </c>
      <c r="X8">
        <v>76.47</v>
      </c>
      <c r="Y8">
        <v>75.62</v>
      </c>
      <c r="Z8">
        <v>66.180000000000007</v>
      </c>
      <c r="AA8">
        <v>65.86</v>
      </c>
      <c r="AB8">
        <v>72.34</v>
      </c>
      <c r="AC8">
        <v>73.98</v>
      </c>
      <c r="AD8">
        <v>57.73</v>
      </c>
      <c r="AE8">
        <f t="shared" ref="AE8:AE12" si="1">(AC8+AD8)/2</f>
        <v>65.855000000000004</v>
      </c>
      <c r="AF8">
        <v>16.239999999999998</v>
      </c>
      <c r="AG8">
        <v>65.86</v>
      </c>
      <c r="AH8">
        <v>32.630000000000003</v>
      </c>
    </row>
    <row r="9" spans="1:34" x14ac:dyDescent="0.25">
      <c r="B9">
        <v>88.44</v>
      </c>
      <c r="C9">
        <v>83.86</v>
      </c>
      <c r="D9">
        <v>72.09</v>
      </c>
      <c r="E9">
        <v>76.569999999999993</v>
      </c>
      <c r="F9">
        <v>84.31</v>
      </c>
      <c r="G9">
        <v>70.489999999999995</v>
      </c>
      <c r="H9">
        <v>76.790000000000006</v>
      </c>
      <c r="I9">
        <v>67.760000000000005</v>
      </c>
      <c r="J9">
        <v>72.98</v>
      </c>
      <c r="K9">
        <v>80.72</v>
      </c>
      <c r="L9">
        <v>72.09</v>
      </c>
      <c r="M9">
        <v>73.87</v>
      </c>
      <c r="N9">
        <f t="shared" si="0"/>
        <v>72.98</v>
      </c>
      <c r="O9">
        <v>1.78</v>
      </c>
      <c r="P9">
        <v>72.98</v>
      </c>
      <c r="Q9">
        <v>40.880000000000003</v>
      </c>
      <c r="S9">
        <v>73.64</v>
      </c>
      <c r="T9">
        <v>68.69</v>
      </c>
      <c r="U9">
        <v>75.33</v>
      </c>
      <c r="V9">
        <v>71.3</v>
      </c>
      <c r="W9">
        <v>72.12</v>
      </c>
      <c r="X9">
        <v>77.78</v>
      </c>
      <c r="Y9">
        <v>74.84</v>
      </c>
      <c r="Z9">
        <v>70.39</v>
      </c>
      <c r="AA9">
        <v>71.42</v>
      </c>
      <c r="AB9">
        <v>78.16</v>
      </c>
      <c r="AC9">
        <v>75.33</v>
      </c>
      <c r="AD9">
        <v>67.5</v>
      </c>
      <c r="AE9">
        <f t="shared" si="1"/>
        <v>71.414999999999992</v>
      </c>
      <c r="AF9">
        <v>7.83</v>
      </c>
      <c r="AG9">
        <v>71.42</v>
      </c>
      <c r="AH9">
        <v>42.24</v>
      </c>
    </row>
    <row r="10" spans="1:34" x14ac:dyDescent="0.25">
      <c r="B10">
        <v>72.17</v>
      </c>
      <c r="C10">
        <v>74.14</v>
      </c>
      <c r="D10">
        <v>65.64</v>
      </c>
      <c r="E10">
        <v>67.59</v>
      </c>
      <c r="F10">
        <v>78.03</v>
      </c>
      <c r="G10">
        <v>65.61</v>
      </c>
      <c r="H10">
        <v>71.28</v>
      </c>
      <c r="I10">
        <v>66.61</v>
      </c>
      <c r="J10">
        <v>71.790000000000006</v>
      </c>
      <c r="K10">
        <v>78.08</v>
      </c>
      <c r="L10">
        <v>65.64</v>
      </c>
      <c r="M10">
        <v>77.94</v>
      </c>
      <c r="N10">
        <f t="shared" si="0"/>
        <v>71.789999999999992</v>
      </c>
      <c r="O10">
        <v>12.3</v>
      </c>
      <c r="P10">
        <v>71.790000000000006</v>
      </c>
      <c r="Q10">
        <v>38.090000000000003</v>
      </c>
      <c r="S10">
        <v>84.11</v>
      </c>
      <c r="T10">
        <v>75.53</v>
      </c>
      <c r="U10">
        <v>81.63</v>
      </c>
      <c r="V10">
        <v>77.83</v>
      </c>
      <c r="W10">
        <v>76.05</v>
      </c>
      <c r="X10">
        <v>81.900000000000006</v>
      </c>
      <c r="Y10">
        <v>78.87</v>
      </c>
      <c r="Z10">
        <v>70.7</v>
      </c>
      <c r="AA10">
        <v>71.709999999999994</v>
      </c>
      <c r="AB10">
        <v>78.41</v>
      </c>
      <c r="AC10">
        <v>81.63</v>
      </c>
      <c r="AD10">
        <v>61.8</v>
      </c>
      <c r="AE10">
        <f t="shared" si="1"/>
        <v>71.715000000000003</v>
      </c>
      <c r="AF10">
        <v>19.84</v>
      </c>
      <c r="AG10">
        <v>71.709999999999994</v>
      </c>
      <c r="AH10">
        <v>43.66</v>
      </c>
    </row>
    <row r="11" spans="1:34" x14ac:dyDescent="0.25">
      <c r="B11">
        <v>66.52</v>
      </c>
      <c r="C11">
        <v>62.35</v>
      </c>
      <c r="D11">
        <v>59.23</v>
      </c>
      <c r="E11">
        <v>60.49</v>
      </c>
      <c r="F11">
        <v>68.38</v>
      </c>
      <c r="G11">
        <v>65.569999999999993</v>
      </c>
      <c r="H11">
        <v>66.95</v>
      </c>
      <c r="I11">
        <v>63.79</v>
      </c>
      <c r="J11">
        <v>64.650000000000006</v>
      </c>
      <c r="K11">
        <v>69.19</v>
      </c>
      <c r="L11">
        <v>59.23</v>
      </c>
      <c r="M11">
        <v>70.069999999999993</v>
      </c>
      <c r="N11">
        <f t="shared" si="0"/>
        <v>64.649999999999991</v>
      </c>
      <c r="O11">
        <v>10.84</v>
      </c>
      <c r="P11">
        <v>64.650000000000006</v>
      </c>
      <c r="Q11">
        <v>28.57</v>
      </c>
      <c r="S11">
        <v>72.73</v>
      </c>
      <c r="T11">
        <v>70.34</v>
      </c>
      <c r="U11">
        <v>80.34</v>
      </c>
      <c r="V11">
        <v>74.27</v>
      </c>
      <c r="W11">
        <v>71.59</v>
      </c>
      <c r="X11">
        <v>82.35</v>
      </c>
      <c r="Y11">
        <v>76.599999999999994</v>
      </c>
      <c r="Z11">
        <v>71.09</v>
      </c>
      <c r="AA11">
        <v>72.040000000000006</v>
      </c>
      <c r="AB11">
        <v>78.290000000000006</v>
      </c>
      <c r="AC11">
        <v>80.34</v>
      </c>
      <c r="AD11">
        <v>63.73</v>
      </c>
      <c r="AE11">
        <f t="shared" si="1"/>
        <v>72.034999999999997</v>
      </c>
      <c r="AF11">
        <v>16.600000000000001</v>
      </c>
      <c r="AG11">
        <v>72.040000000000006</v>
      </c>
      <c r="AH11">
        <v>44.97</v>
      </c>
    </row>
    <row r="12" spans="1:34" x14ac:dyDescent="0.25">
      <c r="B12">
        <v>70.239999999999995</v>
      </c>
      <c r="C12">
        <v>63.07</v>
      </c>
      <c r="D12">
        <v>72.41</v>
      </c>
      <c r="E12">
        <v>65.72</v>
      </c>
      <c r="F12">
        <v>63.89</v>
      </c>
      <c r="G12">
        <v>72.73</v>
      </c>
      <c r="H12">
        <v>68.02</v>
      </c>
      <c r="I12">
        <v>63.33</v>
      </c>
      <c r="J12">
        <v>65.61</v>
      </c>
      <c r="K12">
        <v>71.89</v>
      </c>
      <c r="L12">
        <v>72.41</v>
      </c>
      <c r="M12">
        <v>58.82</v>
      </c>
      <c r="N12">
        <f t="shared" si="0"/>
        <v>65.614999999999995</v>
      </c>
      <c r="O12">
        <v>13.6</v>
      </c>
      <c r="P12">
        <v>65.61</v>
      </c>
      <c r="Q12">
        <v>31.22</v>
      </c>
      <c r="S12">
        <v>74.47</v>
      </c>
      <c r="T12">
        <v>65.09</v>
      </c>
      <c r="U12">
        <v>75.45</v>
      </c>
      <c r="V12">
        <v>68.28</v>
      </c>
      <c r="W12">
        <v>68.66</v>
      </c>
      <c r="X12">
        <v>76.36</v>
      </c>
      <c r="Y12">
        <v>72.31</v>
      </c>
      <c r="Z12">
        <v>66.62</v>
      </c>
      <c r="AA12">
        <v>68.59</v>
      </c>
      <c r="AB12">
        <v>76.040000000000006</v>
      </c>
      <c r="AC12">
        <v>75.45</v>
      </c>
      <c r="AD12">
        <v>61.74</v>
      </c>
      <c r="AE12">
        <f t="shared" si="1"/>
        <v>68.594999999999999</v>
      </c>
      <c r="AF12">
        <v>13.71</v>
      </c>
      <c r="AG12">
        <v>68.59</v>
      </c>
      <c r="AH12">
        <v>36.46</v>
      </c>
    </row>
    <row r="13" spans="1:34" x14ac:dyDescent="0.25">
      <c r="B13" s="2">
        <f>AVERAGE(B3:B12)</f>
        <v>75.071999999999989</v>
      </c>
      <c r="C13" s="2">
        <f t="shared" ref="C13:Q13" si="2">AVERAGE(C3:C12)</f>
        <v>72.022999999999996</v>
      </c>
      <c r="D13" s="2">
        <f t="shared" si="2"/>
        <v>69.491</v>
      </c>
      <c r="E13" s="2">
        <f t="shared" si="2"/>
        <v>69.50500000000001</v>
      </c>
      <c r="F13" s="2">
        <f t="shared" si="2"/>
        <v>75.179999999999993</v>
      </c>
      <c r="G13" s="2">
        <f t="shared" si="2"/>
        <v>71.544000000000011</v>
      </c>
      <c r="H13" s="2">
        <f t="shared" si="2"/>
        <v>73.124999999999986</v>
      </c>
      <c r="I13" s="2">
        <f t="shared" si="2"/>
        <v>65.082999999999998</v>
      </c>
      <c r="J13" s="2">
        <f t="shared" si="2"/>
        <v>67.861999999999995</v>
      </c>
      <c r="K13" s="2">
        <f t="shared" si="2"/>
        <v>74.188999999999993</v>
      </c>
      <c r="L13" s="2">
        <f t="shared" si="2"/>
        <v>69.491</v>
      </c>
      <c r="M13" s="2">
        <f t="shared" si="2"/>
        <v>66.234000000000009</v>
      </c>
      <c r="N13" s="2">
        <f t="shared" si="2"/>
        <v>67.862499999999997</v>
      </c>
      <c r="O13" s="2">
        <f t="shared" si="2"/>
        <v>10.998000000000001</v>
      </c>
      <c r="P13" s="2">
        <f t="shared" si="2"/>
        <v>67.861999999999995</v>
      </c>
      <c r="Q13" s="2">
        <f t="shared" si="2"/>
        <v>33.183000000000007</v>
      </c>
      <c r="S13" s="2">
        <f>AVERAGE(S7:S12)</f>
        <v>77.723333333333343</v>
      </c>
      <c r="T13" s="2">
        <f t="shared" ref="T13:AH13" si="3">AVERAGE(T7:T12)</f>
        <v>71.306666666666672</v>
      </c>
      <c r="U13" s="2">
        <f t="shared" si="3"/>
        <v>77.734999999999999</v>
      </c>
      <c r="V13" s="2">
        <f t="shared" si="3"/>
        <v>73.703333333333333</v>
      </c>
      <c r="W13" s="2">
        <f t="shared" si="3"/>
        <v>73.319999999999993</v>
      </c>
      <c r="X13" s="2">
        <f t="shared" si="3"/>
        <v>79.233333333333334</v>
      </c>
      <c r="Y13" s="2">
        <f t="shared" si="3"/>
        <v>76.138333333333335</v>
      </c>
      <c r="Z13" s="2">
        <f t="shared" si="3"/>
        <v>69.158333333333346</v>
      </c>
      <c r="AA13" s="2">
        <f t="shared" si="3"/>
        <v>70.028333333333322</v>
      </c>
      <c r="AB13" s="2">
        <f t="shared" si="3"/>
        <v>77.050000000000011</v>
      </c>
      <c r="AC13" s="2">
        <f t="shared" si="3"/>
        <v>77.734999999999999</v>
      </c>
      <c r="AD13" s="2">
        <f t="shared" si="3"/>
        <v>62.32</v>
      </c>
      <c r="AE13" s="2">
        <f t="shared" si="3"/>
        <v>70.027500000000018</v>
      </c>
      <c r="AF13" s="2">
        <f t="shared" si="3"/>
        <v>15.411666666666667</v>
      </c>
      <c r="AG13" s="2">
        <f t="shared" si="3"/>
        <v>70.028333333333322</v>
      </c>
      <c r="AH13" s="2">
        <f t="shared" si="3"/>
        <v>40.183333333333337</v>
      </c>
    </row>
    <row r="14" spans="1:34" x14ac:dyDescent="0.25">
      <c r="B14">
        <v>86.46</v>
      </c>
      <c r="C14">
        <v>82.31</v>
      </c>
      <c r="D14">
        <v>72.72</v>
      </c>
      <c r="E14">
        <v>77.05</v>
      </c>
      <c r="F14">
        <v>84.11</v>
      </c>
      <c r="G14">
        <v>73.77</v>
      </c>
      <c r="H14">
        <v>78.599999999999994</v>
      </c>
      <c r="I14">
        <v>67.95</v>
      </c>
      <c r="J14">
        <v>71.03</v>
      </c>
      <c r="K14">
        <v>80.28</v>
      </c>
      <c r="L14">
        <v>72.72</v>
      </c>
      <c r="M14">
        <v>69.33</v>
      </c>
      <c r="N14">
        <f>(L14+M14)/2</f>
        <v>71.025000000000006</v>
      </c>
      <c r="O14">
        <v>3.4</v>
      </c>
      <c r="P14">
        <v>71.03</v>
      </c>
      <c r="Q14">
        <v>38.14</v>
      </c>
    </row>
    <row r="15" spans="1:34" x14ac:dyDescent="0.25">
      <c r="B15">
        <v>86.21</v>
      </c>
      <c r="C15">
        <v>80.209999999999994</v>
      </c>
      <c r="D15">
        <v>74.87</v>
      </c>
      <c r="E15">
        <v>77.3</v>
      </c>
      <c r="F15">
        <v>82.3</v>
      </c>
      <c r="G15">
        <v>76.23</v>
      </c>
      <c r="H15">
        <v>79.150000000000006</v>
      </c>
      <c r="I15">
        <v>67.56</v>
      </c>
      <c r="J15">
        <v>69.81</v>
      </c>
      <c r="K15">
        <v>77.760000000000005</v>
      </c>
      <c r="L15">
        <v>74.87</v>
      </c>
      <c r="M15">
        <v>64.739999999999995</v>
      </c>
      <c r="N15">
        <f t="shared" ref="N15:N23" si="4">(L15+M15)/2</f>
        <v>69.805000000000007</v>
      </c>
      <c r="O15">
        <v>10.119999999999999</v>
      </c>
      <c r="P15">
        <v>69.81</v>
      </c>
      <c r="Q15">
        <v>36.369999999999997</v>
      </c>
    </row>
    <row r="16" spans="1:34" x14ac:dyDescent="0.25">
      <c r="B16">
        <v>68.09</v>
      </c>
      <c r="C16">
        <v>73.040000000000006</v>
      </c>
      <c r="D16">
        <v>61.59</v>
      </c>
      <c r="E16">
        <v>65.84</v>
      </c>
      <c r="F16">
        <v>78.03</v>
      </c>
      <c r="G16">
        <v>65.61</v>
      </c>
      <c r="H16">
        <v>71.28</v>
      </c>
      <c r="I16">
        <v>64.790000000000006</v>
      </c>
      <c r="J16">
        <v>67.709999999999994</v>
      </c>
      <c r="K16">
        <v>72.33</v>
      </c>
      <c r="L16">
        <v>61.59</v>
      </c>
      <c r="M16">
        <v>73.819999999999993</v>
      </c>
      <c r="N16">
        <f t="shared" si="4"/>
        <v>67.704999999999998</v>
      </c>
      <c r="O16">
        <v>12.23</v>
      </c>
      <c r="P16">
        <v>67.709999999999994</v>
      </c>
      <c r="Q16">
        <v>32.950000000000003</v>
      </c>
    </row>
    <row r="17" spans="2:34" x14ac:dyDescent="0.25">
      <c r="B17">
        <v>83.24</v>
      </c>
      <c r="C17">
        <v>80.09</v>
      </c>
      <c r="D17">
        <v>61.89</v>
      </c>
      <c r="E17">
        <v>69.569999999999993</v>
      </c>
      <c r="F17">
        <v>81.72</v>
      </c>
      <c r="G17">
        <v>62.3</v>
      </c>
      <c r="H17">
        <v>70.7</v>
      </c>
      <c r="I17">
        <v>61.31</v>
      </c>
      <c r="J17">
        <v>65.61</v>
      </c>
      <c r="K17">
        <v>73.17</v>
      </c>
      <c r="L17">
        <v>61.89</v>
      </c>
      <c r="M17">
        <v>69.33</v>
      </c>
      <c r="N17">
        <f t="shared" si="4"/>
        <v>65.61</v>
      </c>
      <c r="O17">
        <v>7.44</v>
      </c>
      <c r="P17">
        <v>65.61</v>
      </c>
      <c r="Q17">
        <v>27.76</v>
      </c>
    </row>
    <row r="18" spans="2:34" x14ac:dyDescent="0.25">
      <c r="B18">
        <v>74.47</v>
      </c>
      <c r="C18">
        <v>73.430000000000007</v>
      </c>
      <c r="D18">
        <v>61.31</v>
      </c>
      <c r="E18">
        <v>63.59</v>
      </c>
      <c r="F18">
        <v>76.98</v>
      </c>
      <c r="G18">
        <v>61.78</v>
      </c>
      <c r="H18">
        <v>68.55</v>
      </c>
      <c r="I18">
        <v>64.3</v>
      </c>
      <c r="J18">
        <v>71.06</v>
      </c>
      <c r="K18">
        <v>78.27</v>
      </c>
      <c r="L18">
        <v>61.31</v>
      </c>
      <c r="M18">
        <v>80.819999999999993</v>
      </c>
      <c r="N18">
        <f t="shared" si="4"/>
        <v>71.064999999999998</v>
      </c>
      <c r="O18">
        <v>19.52</v>
      </c>
      <c r="P18">
        <v>71.06</v>
      </c>
      <c r="Q18">
        <v>36.99</v>
      </c>
      <c r="S18">
        <v>81.73</v>
      </c>
      <c r="T18">
        <v>78.959999999999994</v>
      </c>
      <c r="U18">
        <v>75.87</v>
      </c>
      <c r="V18">
        <v>77.09</v>
      </c>
      <c r="W18">
        <v>79.72</v>
      </c>
      <c r="X18">
        <v>76.47</v>
      </c>
      <c r="Y18">
        <v>78.06</v>
      </c>
      <c r="Z18">
        <v>70.709999999999994</v>
      </c>
      <c r="AA18">
        <v>71.66</v>
      </c>
      <c r="AB18">
        <v>78.94</v>
      </c>
      <c r="AC18">
        <v>75.87</v>
      </c>
      <c r="AD18">
        <v>67.45</v>
      </c>
      <c r="AE18">
        <f>(AC18+AD18)/2</f>
        <v>71.66</v>
      </c>
      <c r="AF18">
        <v>8.41</v>
      </c>
      <c r="AG18">
        <v>71.66</v>
      </c>
      <c r="AH18">
        <v>42.51</v>
      </c>
    </row>
    <row r="19" spans="2:34" x14ac:dyDescent="0.25">
      <c r="B19">
        <v>64.28</v>
      </c>
      <c r="C19">
        <v>57.55</v>
      </c>
      <c r="D19">
        <v>59.05</v>
      </c>
      <c r="E19">
        <v>68.58</v>
      </c>
      <c r="F19">
        <v>63.36</v>
      </c>
      <c r="G19">
        <v>68.03</v>
      </c>
      <c r="H19">
        <v>65.61</v>
      </c>
      <c r="I19">
        <v>59.34</v>
      </c>
      <c r="J19">
        <v>60.27</v>
      </c>
      <c r="K19">
        <v>68.010000000000005</v>
      </c>
      <c r="L19">
        <v>59.05</v>
      </c>
      <c r="M19">
        <v>61.5</v>
      </c>
      <c r="N19">
        <f t="shared" si="4"/>
        <v>60.274999999999999</v>
      </c>
      <c r="O19">
        <v>2.4500000000000002</v>
      </c>
      <c r="P19">
        <v>60.27</v>
      </c>
      <c r="Q19">
        <v>21.38</v>
      </c>
      <c r="S19">
        <v>84.73</v>
      </c>
      <c r="T19">
        <v>82.19</v>
      </c>
      <c r="U19">
        <v>67.28</v>
      </c>
      <c r="V19">
        <v>72.5</v>
      </c>
      <c r="W19">
        <v>82.8</v>
      </c>
      <c r="X19">
        <v>69.680000000000007</v>
      </c>
      <c r="Y19">
        <v>75.680000000000007</v>
      </c>
      <c r="Z19">
        <v>69.05</v>
      </c>
      <c r="AA19">
        <v>70.61</v>
      </c>
      <c r="AB19">
        <v>80.34</v>
      </c>
      <c r="AC19">
        <v>67.28</v>
      </c>
      <c r="AD19">
        <v>73.94</v>
      </c>
      <c r="AE19">
        <f t="shared" ref="AE19:AE23" si="5">(AC19+AD19)/2</f>
        <v>70.61</v>
      </c>
      <c r="AF19">
        <v>6.66</v>
      </c>
      <c r="AG19">
        <v>70.61</v>
      </c>
      <c r="AH19">
        <v>41.55</v>
      </c>
    </row>
    <row r="20" spans="2:34" x14ac:dyDescent="0.25">
      <c r="B20">
        <v>86.31</v>
      </c>
      <c r="C20">
        <v>81.25</v>
      </c>
      <c r="D20">
        <v>78.25</v>
      </c>
      <c r="E20">
        <v>78.78</v>
      </c>
      <c r="F20">
        <v>81.739999999999995</v>
      </c>
      <c r="G20">
        <v>77.05</v>
      </c>
      <c r="H20">
        <v>79.319999999999993</v>
      </c>
      <c r="I20">
        <v>68.12</v>
      </c>
      <c r="J20">
        <v>71.66</v>
      </c>
      <c r="K20">
        <v>79.540000000000006</v>
      </c>
      <c r="L20">
        <v>78.25</v>
      </c>
      <c r="M20">
        <v>65.069999999999993</v>
      </c>
      <c r="N20">
        <f t="shared" si="4"/>
        <v>71.66</v>
      </c>
      <c r="O20">
        <v>13.17</v>
      </c>
      <c r="P20">
        <v>71.66</v>
      </c>
      <c r="Q20">
        <v>39.630000000000003</v>
      </c>
      <c r="S20">
        <v>73.31</v>
      </c>
      <c r="T20">
        <v>71.28</v>
      </c>
      <c r="U20">
        <v>63.16</v>
      </c>
      <c r="V20">
        <v>64.88</v>
      </c>
      <c r="W20">
        <v>73.13</v>
      </c>
      <c r="X20">
        <v>64.05</v>
      </c>
      <c r="Y20">
        <v>68.290000000000006</v>
      </c>
      <c r="Z20">
        <v>67.489999999999995</v>
      </c>
      <c r="AA20">
        <v>69.430000000000007</v>
      </c>
      <c r="AB20">
        <v>78.55</v>
      </c>
      <c r="AC20">
        <v>63.16</v>
      </c>
      <c r="AD20">
        <v>75.7</v>
      </c>
      <c r="AE20">
        <f t="shared" si="5"/>
        <v>69.430000000000007</v>
      </c>
      <c r="AF20">
        <v>12.54</v>
      </c>
      <c r="AG20">
        <v>69.430000000000007</v>
      </c>
      <c r="AH20">
        <v>38.979999999999997</v>
      </c>
    </row>
    <row r="21" spans="2:34" x14ac:dyDescent="0.25">
      <c r="B21">
        <v>67.27</v>
      </c>
      <c r="C21">
        <v>67.709999999999994</v>
      </c>
      <c r="D21">
        <v>70.63</v>
      </c>
      <c r="E21">
        <v>67.08</v>
      </c>
      <c r="F21">
        <v>71.17</v>
      </c>
      <c r="G21">
        <v>73.89</v>
      </c>
      <c r="H21">
        <v>72.5</v>
      </c>
      <c r="I21">
        <v>64.58</v>
      </c>
      <c r="J21">
        <v>68.08</v>
      </c>
      <c r="K21">
        <v>75.92</v>
      </c>
      <c r="L21">
        <v>70.63</v>
      </c>
      <c r="M21">
        <v>65.52</v>
      </c>
      <c r="N21">
        <f t="shared" si="4"/>
        <v>68.074999999999989</v>
      </c>
      <c r="O21">
        <v>5.1100000000000003</v>
      </c>
      <c r="P21">
        <v>68.08</v>
      </c>
      <c r="Q21">
        <v>32.799999999999997</v>
      </c>
      <c r="S21">
        <v>88.85</v>
      </c>
      <c r="T21">
        <v>89.14</v>
      </c>
      <c r="U21">
        <v>61.63</v>
      </c>
      <c r="V21">
        <v>70.8</v>
      </c>
      <c r="W21">
        <v>88.12</v>
      </c>
      <c r="X21">
        <v>63.8</v>
      </c>
      <c r="Y21">
        <v>74.02</v>
      </c>
      <c r="Z21">
        <v>69.62</v>
      </c>
      <c r="AA21">
        <v>72.540000000000006</v>
      </c>
      <c r="AB21">
        <v>84.02</v>
      </c>
      <c r="AC21">
        <v>61.63</v>
      </c>
      <c r="AD21">
        <v>83.45</v>
      </c>
      <c r="AE21">
        <f t="shared" si="5"/>
        <v>72.540000000000006</v>
      </c>
      <c r="AF21">
        <v>21.82</v>
      </c>
      <c r="AG21">
        <v>72.540000000000006</v>
      </c>
      <c r="AH21">
        <v>46</v>
      </c>
    </row>
    <row r="22" spans="2:34" x14ac:dyDescent="0.25">
      <c r="B22">
        <v>62.66</v>
      </c>
      <c r="C22">
        <v>60.18</v>
      </c>
      <c r="D22">
        <v>63.6</v>
      </c>
      <c r="E22">
        <v>72.069999999999993</v>
      </c>
      <c r="F22">
        <v>64.489999999999995</v>
      </c>
      <c r="G22">
        <v>72.95</v>
      </c>
      <c r="H22">
        <v>68.459999999999994</v>
      </c>
      <c r="I22">
        <v>60.31</v>
      </c>
      <c r="J22">
        <v>60.87</v>
      </c>
      <c r="K22">
        <v>66.98</v>
      </c>
      <c r="L22">
        <v>63.6</v>
      </c>
      <c r="M22">
        <v>58.14</v>
      </c>
      <c r="N22">
        <f t="shared" si="4"/>
        <v>60.870000000000005</v>
      </c>
      <c r="O22">
        <v>5.45</v>
      </c>
      <c r="P22">
        <v>60.87</v>
      </c>
      <c r="Q22">
        <v>22.94</v>
      </c>
      <c r="S22">
        <v>75.709999999999994</v>
      </c>
      <c r="T22">
        <v>77.62</v>
      </c>
      <c r="U22">
        <v>56.2</v>
      </c>
      <c r="V22">
        <v>63.37</v>
      </c>
      <c r="W22">
        <v>78.38</v>
      </c>
      <c r="X22">
        <v>56.86</v>
      </c>
      <c r="Y22">
        <v>65.91</v>
      </c>
      <c r="Z22">
        <v>67.13</v>
      </c>
      <c r="AA22">
        <v>69.569999999999993</v>
      </c>
      <c r="AB22">
        <v>81.28</v>
      </c>
      <c r="AC22">
        <v>56.2</v>
      </c>
      <c r="AD22">
        <v>82.94</v>
      </c>
      <c r="AE22">
        <f t="shared" si="5"/>
        <v>69.569999999999993</v>
      </c>
      <c r="AF22">
        <v>26.73</v>
      </c>
      <c r="AG22">
        <v>69.569999999999993</v>
      </c>
      <c r="AH22">
        <v>40.229999999999997</v>
      </c>
    </row>
    <row r="23" spans="2:34" x14ac:dyDescent="0.25">
      <c r="B23">
        <v>69.55</v>
      </c>
      <c r="C23">
        <v>58.48</v>
      </c>
      <c r="D23">
        <v>80.56</v>
      </c>
      <c r="E23">
        <v>66.47</v>
      </c>
      <c r="F23">
        <v>60.34</v>
      </c>
      <c r="G23">
        <v>83</v>
      </c>
      <c r="H23">
        <v>69.88</v>
      </c>
      <c r="I23">
        <v>59.88</v>
      </c>
      <c r="J23">
        <v>63.11</v>
      </c>
      <c r="K23">
        <v>71.400000000000006</v>
      </c>
      <c r="L23">
        <v>80.56</v>
      </c>
      <c r="M23">
        <v>45.66</v>
      </c>
      <c r="N23">
        <f t="shared" si="4"/>
        <v>63.11</v>
      </c>
      <c r="O23">
        <v>34.909999999999997</v>
      </c>
      <c r="P23">
        <v>63.11</v>
      </c>
      <c r="Q23">
        <v>28.3</v>
      </c>
      <c r="S23">
        <v>76.06</v>
      </c>
      <c r="T23">
        <v>77.510000000000005</v>
      </c>
      <c r="U23">
        <v>60.65</v>
      </c>
      <c r="V23">
        <v>65.760000000000005</v>
      </c>
      <c r="W23">
        <v>78.400000000000006</v>
      </c>
      <c r="X23">
        <v>59.39</v>
      </c>
      <c r="Y23">
        <v>67.59</v>
      </c>
      <c r="Z23">
        <v>68.819999999999993</v>
      </c>
      <c r="AA23">
        <v>71.88</v>
      </c>
      <c r="AB23">
        <v>78.489999999999995</v>
      </c>
      <c r="AC23">
        <v>60.65</v>
      </c>
      <c r="AD23">
        <v>83.11</v>
      </c>
      <c r="AE23">
        <f t="shared" si="5"/>
        <v>71.88</v>
      </c>
      <c r="AF23">
        <v>22.47</v>
      </c>
      <c r="AG23">
        <v>71.88</v>
      </c>
      <c r="AH23">
        <v>43.37</v>
      </c>
    </row>
    <row r="24" spans="2:34" x14ac:dyDescent="0.25">
      <c r="B24" s="2">
        <f>AVERAGE(B14:B23)</f>
        <v>74.853999999999985</v>
      </c>
      <c r="C24" s="2">
        <f t="shared" ref="C24:Q24" si="6">AVERAGE(C14:C23)</f>
        <v>71.424999999999997</v>
      </c>
      <c r="D24" s="2">
        <f t="shared" si="6"/>
        <v>68.447000000000003</v>
      </c>
      <c r="E24" s="2">
        <f t="shared" si="6"/>
        <v>70.63300000000001</v>
      </c>
      <c r="F24" s="2">
        <f t="shared" si="6"/>
        <v>74.424000000000007</v>
      </c>
      <c r="G24" s="2">
        <f t="shared" si="6"/>
        <v>71.461000000000013</v>
      </c>
      <c r="H24" s="2">
        <f t="shared" si="6"/>
        <v>72.405000000000001</v>
      </c>
      <c r="I24" s="2">
        <f t="shared" si="6"/>
        <v>63.814</v>
      </c>
      <c r="J24" s="2">
        <f t="shared" si="6"/>
        <v>66.921000000000006</v>
      </c>
      <c r="K24" s="2">
        <f t="shared" si="6"/>
        <v>74.366</v>
      </c>
      <c r="L24" s="2">
        <f t="shared" si="6"/>
        <v>68.447000000000003</v>
      </c>
      <c r="M24" s="2">
        <f t="shared" si="6"/>
        <v>65.393000000000001</v>
      </c>
      <c r="N24" s="2">
        <f t="shared" si="6"/>
        <v>66.92</v>
      </c>
      <c r="O24" s="2">
        <f t="shared" si="6"/>
        <v>11.379999999999999</v>
      </c>
      <c r="P24" s="2">
        <f t="shared" si="6"/>
        <v>66.921000000000006</v>
      </c>
      <c r="Q24" s="2">
        <f t="shared" si="6"/>
        <v>31.725999999999999</v>
      </c>
      <c r="S24" s="2">
        <f>AVERAGE(S18:S23)</f>
        <v>80.064999999999998</v>
      </c>
      <c r="T24" s="2">
        <f t="shared" ref="T24:AH24" si="7">AVERAGE(T18:T23)</f>
        <v>79.45</v>
      </c>
      <c r="U24" s="2">
        <f t="shared" si="7"/>
        <v>64.131666666666661</v>
      </c>
      <c r="V24" s="2">
        <f t="shared" si="7"/>
        <v>69.066666666666663</v>
      </c>
      <c r="W24" s="2">
        <f t="shared" si="7"/>
        <v>80.091666666666654</v>
      </c>
      <c r="X24" s="2">
        <f t="shared" si="7"/>
        <v>65.041666666666671</v>
      </c>
      <c r="Y24" s="2">
        <f t="shared" si="7"/>
        <v>71.591666666666683</v>
      </c>
      <c r="Z24" s="2">
        <f t="shared" si="7"/>
        <v>68.803333333333327</v>
      </c>
      <c r="AA24" s="2">
        <f t="shared" si="7"/>
        <v>70.948333333333338</v>
      </c>
      <c r="AB24" s="2">
        <f t="shared" si="7"/>
        <v>80.27</v>
      </c>
      <c r="AC24" s="2">
        <f t="shared" si="7"/>
        <v>64.131666666666661</v>
      </c>
      <c r="AD24" s="2">
        <f t="shared" si="7"/>
        <v>77.765000000000001</v>
      </c>
      <c r="AE24" s="2">
        <f t="shared" si="7"/>
        <v>70.948333333333338</v>
      </c>
      <c r="AF24" s="2">
        <f t="shared" si="7"/>
        <v>16.438333333333333</v>
      </c>
      <c r="AG24" s="2">
        <f t="shared" si="7"/>
        <v>70.948333333333338</v>
      </c>
      <c r="AH24" s="2">
        <f t="shared" si="7"/>
        <v>42.106666666666662</v>
      </c>
    </row>
    <row r="25" spans="2:34" x14ac:dyDescent="0.25">
      <c r="B25" s="1">
        <v>85.53</v>
      </c>
      <c r="C25" s="1">
        <v>79.52</v>
      </c>
      <c r="D25" s="1">
        <v>84.2</v>
      </c>
      <c r="E25" s="1">
        <v>80.48</v>
      </c>
      <c r="F25" s="1">
        <v>79.53</v>
      </c>
      <c r="G25" s="1">
        <v>82.79</v>
      </c>
      <c r="H25" s="1">
        <v>81.12</v>
      </c>
      <c r="I25" s="1">
        <v>68.260000000000005</v>
      </c>
      <c r="J25" s="1">
        <v>71.34</v>
      </c>
      <c r="K25" s="1">
        <v>76.180000000000007</v>
      </c>
      <c r="L25" s="1">
        <v>84.2</v>
      </c>
      <c r="M25" s="1">
        <v>58.47</v>
      </c>
      <c r="N25">
        <f>(L25+M25)/2</f>
        <v>71.335000000000008</v>
      </c>
      <c r="O25" s="1">
        <v>25.73</v>
      </c>
      <c r="P25" s="1">
        <v>71.34</v>
      </c>
      <c r="Q25" s="1">
        <v>40.71</v>
      </c>
    </row>
    <row r="26" spans="2:34" x14ac:dyDescent="0.25">
      <c r="B26">
        <v>91.57</v>
      </c>
      <c r="C26">
        <v>79</v>
      </c>
      <c r="D26">
        <v>86.01</v>
      </c>
      <c r="E26">
        <v>79.81</v>
      </c>
      <c r="F26">
        <v>77.27</v>
      </c>
      <c r="G26">
        <v>83.61</v>
      </c>
      <c r="H26">
        <v>80.31</v>
      </c>
      <c r="I26">
        <v>66.83</v>
      </c>
      <c r="J26">
        <v>72.09</v>
      </c>
      <c r="K26">
        <v>82.75</v>
      </c>
      <c r="L26">
        <v>86.01</v>
      </c>
      <c r="M26">
        <v>58.18</v>
      </c>
      <c r="N26">
        <f t="shared" ref="N26:N34" si="8">(L26+M26)/2</f>
        <v>72.094999999999999</v>
      </c>
      <c r="O26">
        <v>27.83</v>
      </c>
      <c r="P26">
        <v>72.09</v>
      </c>
      <c r="Q26">
        <v>43.62</v>
      </c>
    </row>
    <row r="27" spans="2:34" x14ac:dyDescent="0.25">
      <c r="B27">
        <v>67.540000000000006</v>
      </c>
      <c r="C27">
        <v>63.67</v>
      </c>
      <c r="D27">
        <v>73.900000000000006</v>
      </c>
      <c r="E27">
        <v>66.430000000000007</v>
      </c>
      <c r="F27">
        <v>66.3</v>
      </c>
      <c r="G27">
        <v>77.709999999999994</v>
      </c>
      <c r="H27">
        <v>71.55</v>
      </c>
      <c r="I27">
        <v>57.95</v>
      </c>
      <c r="J27">
        <v>61.02</v>
      </c>
      <c r="K27">
        <v>71.34</v>
      </c>
      <c r="L27">
        <v>73.900000000000006</v>
      </c>
      <c r="M27">
        <v>48.14</v>
      </c>
      <c r="N27">
        <f t="shared" si="8"/>
        <v>61.02</v>
      </c>
      <c r="O27">
        <v>25.76</v>
      </c>
      <c r="P27">
        <v>61.02</v>
      </c>
      <c r="Q27">
        <v>21.94</v>
      </c>
    </row>
    <row r="28" spans="2:34" x14ac:dyDescent="0.25">
      <c r="B28">
        <v>90.4</v>
      </c>
      <c r="C28">
        <v>79.02</v>
      </c>
      <c r="D28">
        <v>79.19</v>
      </c>
      <c r="E28">
        <v>76.78</v>
      </c>
      <c r="F28">
        <v>78.150000000000006</v>
      </c>
      <c r="G28">
        <v>76.23</v>
      </c>
      <c r="H28">
        <v>77.180000000000007</v>
      </c>
      <c r="I28">
        <v>65.150000000000006</v>
      </c>
      <c r="J28">
        <v>69.709999999999994</v>
      </c>
      <c r="K28">
        <v>82.83</v>
      </c>
      <c r="L28">
        <v>79.19</v>
      </c>
      <c r="M28">
        <v>60.24</v>
      </c>
      <c r="N28">
        <f t="shared" si="8"/>
        <v>69.715000000000003</v>
      </c>
      <c r="O28">
        <v>18.95</v>
      </c>
      <c r="P28">
        <v>69.709999999999994</v>
      </c>
      <c r="Q28">
        <v>37.76</v>
      </c>
    </row>
    <row r="29" spans="2:34" x14ac:dyDescent="0.25">
      <c r="B29">
        <v>69.73</v>
      </c>
      <c r="C29">
        <v>67.86</v>
      </c>
      <c r="D29">
        <v>70.959999999999994</v>
      </c>
      <c r="E29">
        <v>65.86</v>
      </c>
      <c r="F29">
        <v>69.180000000000007</v>
      </c>
      <c r="G29">
        <v>70.06</v>
      </c>
      <c r="H29">
        <v>69.62</v>
      </c>
      <c r="I29">
        <v>60.32</v>
      </c>
      <c r="J29">
        <v>65.27</v>
      </c>
      <c r="K29">
        <v>73.489999999999995</v>
      </c>
      <c r="L29">
        <v>70.959999999999994</v>
      </c>
      <c r="M29">
        <v>59.58</v>
      </c>
      <c r="N29">
        <f t="shared" si="8"/>
        <v>65.27</v>
      </c>
      <c r="O29">
        <v>11.38</v>
      </c>
      <c r="P29">
        <v>65.27</v>
      </c>
      <c r="Q29">
        <v>28.3</v>
      </c>
      <c r="S29">
        <v>83.3</v>
      </c>
      <c r="T29">
        <v>76.05</v>
      </c>
      <c r="U29">
        <v>77.819999999999993</v>
      </c>
      <c r="V29">
        <v>76.069999999999993</v>
      </c>
      <c r="W29">
        <v>76</v>
      </c>
      <c r="X29">
        <v>77.38</v>
      </c>
      <c r="Y29">
        <v>76.680000000000007</v>
      </c>
      <c r="Z29">
        <v>68.77</v>
      </c>
      <c r="AA29">
        <v>70.27</v>
      </c>
      <c r="AB29">
        <v>77.819999999999993</v>
      </c>
      <c r="AC29">
        <v>77.819999999999993</v>
      </c>
      <c r="AD29">
        <v>62.72</v>
      </c>
      <c r="AE29">
        <f>(AC29+AD29)/2</f>
        <v>70.27</v>
      </c>
      <c r="AF29">
        <v>15.1</v>
      </c>
      <c r="AG29">
        <v>70.27</v>
      </c>
      <c r="AH29">
        <v>40.04</v>
      </c>
    </row>
    <row r="30" spans="2:34" x14ac:dyDescent="0.25">
      <c r="B30">
        <v>62.25</v>
      </c>
      <c r="C30">
        <v>52.19</v>
      </c>
      <c r="D30">
        <v>61.6</v>
      </c>
      <c r="E30">
        <v>78.099999999999994</v>
      </c>
      <c r="F30">
        <v>57.62</v>
      </c>
      <c r="G30">
        <v>71.31</v>
      </c>
      <c r="H30">
        <v>63.74</v>
      </c>
      <c r="I30">
        <v>54.42</v>
      </c>
      <c r="J30">
        <v>55.73</v>
      </c>
      <c r="K30">
        <v>67.56</v>
      </c>
      <c r="L30">
        <v>61.6</v>
      </c>
      <c r="M30">
        <v>49.86</v>
      </c>
      <c r="N30">
        <f t="shared" si="8"/>
        <v>55.730000000000004</v>
      </c>
      <c r="O30">
        <v>11.73</v>
      </c>
      <c r="P30">
        <v>55.73</v>
      </c>
      <c r="Q30">
        <v>13.31</v>
      </c>
      <c r="S30">
        <v>82.18</v>
      </c>
      <c r="T30">
        <v>76.52</v>
      </c>
      <c r="U30">
        <v>77.17</v>
      </c>
      <c r="V30">
        <v>76.599999999999994</v>
      </c>
      <c r="W30">
        <v>78.38</v>
      </c>
      <c r="X30">
        <v>78.73</v>
      </c>
      <c r="Y30">
        <v>78.56</v>
      </c>
      <c r="Z30">
        <v>70.150000000000006</v>
      </c>
      <c r="AA30">
        <v>70.5</v>
      </c>
      <c r="AB30">
        <v>77.680000000000007</v>
      </c>
      <c r="AC30">
        <v>77.17</v>
      </c>
      <c r="AD30">
        <v>63.83</v>
      </c>
      <c r="AE30">
        <f t="shared" ref="AE30:AE34" si="9">(AC30+AD30)/2</f>
        <v>70.5</v>
      </c>
      <c r="AF30">
        <v>13.34</v>
      </c>
      <c r="AG30">
        <v>70.5</v>
      </c>
      <c r="AH30">
        <v>41.26</v>
      </c>
    </row>
    <row r="31" spans="2:34" x14ac:dyDescent="0.25">
      <c r="B31">
        <v>90.54</v>
      </c>
      <c r="C31">
        <v>82.11</v>
      </c>
      <c r="D31">
        <v>81.099999999999994</v>
      </c>
      <c r="E31">
        <v>79.8</v>
      </c>
      <c r="F31">
        <v>81.900000000000006</v>
      </c>
      <c r="G31">
        <v>77.87</v>
      </c>
      <c r="H31">
        <v>79.83</v>
      </c>
      <c r="I31">
        <v>69.06</v>
      </c>
      <c r="J31">
        <v>73.3</v>
      </c>
      <c r="K31">
        <v>83.17</v>
      </c>
      <c r="L31">
        <v>81.099999999999994</v>
      </c>
      <c r="M31">
        <v>65.5</v>
      </c>
      <c r="N31">
        <f t="shared" si="8"/>
        <v>73.3</v>
      </c>
      <c r="O31">
        <v>15.6</v>
      </c>
      <c r="P31">
        <v>73.3</v>
      </c>
      <c r="Q31">
        <v>43.93</v>
      </c>
      <c r="S31">
        <v>76.89</v>
      </c>
      <c r="T31">
        <v>66.34</v>
      </c>
      <c r="U31">
        <v>77.73</v>
      </c>
      <c r="V31">
        <v>70.87</v>
      </c>
      <c r="W31">
        <v>68.930000000000007</v>
      </c>
      <c r="X31">
        <v>79.739999999999995</v>
      </c>
      <c r="Y31">
        <v>73.94</v>
      </c>
      <c r="Z31">
        <v>69.72</v>
      </c>
      <c r="AA31">
        <v>71.180000000000007</v>
      </c>
      <c r="AB31">
        <v>78.73</v>
      </c>
      <c r="AC31">
        <v>77.73</v>
      </c>
      <c r="AD31">
        <v>64.63</v>
      </c>
      <c r="AE31">
        <f t="shared" si="9"/>
        <v>71.180000000000007</v>
      </c>
      <c r="AF31">
        <v>13.1</v>
      </c>
      <c r="AG31">
        <v>71.180000000000007</v>
      </c>
      <c r="AH31">
        <v>41.33</v>
      </c>
    </row>
    <row r="32" spans="2:34" x14ac:dyDescent="0.25">
      <c r="B32">
        <v>69.23</v>
      </c>
      <c r="C32">
        <v>68.33</v>
      </c>
      <c r="D32">
        <v>67.84</v>
      </c>
      <c r="E32">
        <v>63.79</v>
      </c>
      <c r="F32">
        <v>68.150000000000006</v>
      </c>
      <c r="G32">
        <v>68.150000000000006</v>
      </c>
      <c r="H32">
        <v>68.150000000000006</v>
      </c>
      <c r="I32">
        <v>59.98</v>
      </c>
      <c r="J32">
        <v>65.03</v>
      </c>
      <c r="K32">
        <v>72.45</v>
      </c>
      <c r="L32">
        <v>67.84</v>
      </c>
      <c r="M32">
        <v>62.21</v>
      </c>
      <c r="N32">
        <f t="shared" si="8"/>
        <v>65.025000000000006</v>
      </c>
      <c r="O32">
        <v>5.63</v>
      </c>
      <c r="P32">
        <v>65.03</v>
      </c>
      <c r="Q32">
        <v>28.86</v>
      </c>
      <c r="S32">
        <v>85.44</v>
      </c>
      <c r="T32">
        <v>79.02</v>
      </c>
      <c r="U32">
        <v>76.37</v>
      </c>
      <c r="V32">
        <v>77.150000000000006</v>
      </c>
      <c r="W32">
        <v>79.81</v>
      </c>
      <c r="X32">
        <v>76.92</v>
      </c>
      <c r="Y32">
        <v>78.34</v>
      </c>
      <c r="Z32">
        <v>71.8</v>
      </c>
      <c r="AA32">
        <v>73.150000000000006</v>
      </c>
      <c r="AB32">
        <v>81.06</v>
      </c>
      <c r="AC32">
        <v>76.37</v>
      </c>
      <c r="AD32">
        <v>69.92</v>
      </c>
      <c r="AE32">
        <f t="shared" si="9"/>
        <v>73.14500000000001</v>
      </c>
      <c r="AF32">
        <v>6.46</v>
      </c>
      <c r="AG32">
        <v>73.150000000000006</v>
      </c>
      <c r="AH32">
        <v>45.23</v>
      </c>
    </row>
    <row r="33" spans="1:34" x14ac:dyDescent="0.25">
      <c r="B33">
        <v>67.930000000000007</v>
      </c>
      <c r="C33">
        <v>64.510000000000005</v>
      </c>
      <c r="D33">
        <v>70.61</v>
      </c>
      <c r="E33">
        <v>78.09</v>
      </c>
      <c r="F33">
        <v>69.63</v>
      </c>
      <c r="G33">
        <v>77.05</v>
      </c>
      <c r="H33">
        <v>73.150000000000006</v>
      </c>
      <c r="I33">
        <v>68.12</v>
      </c>
      <c r="J33">
        <v>68.63</v>
      </c>
      <c r="K33">
        <v>73.73</v>
      </c>
      <c r="L33">
        <v>70.61</v>
      </c>
      <c r="M33">
        <v>66.66</v>
      </c>
      <c r="N33">
        <f t="shared" si="8"/>
        <v>68.634999999999991</v>
      </c>
      <c r="O33">
        <v>3.95</v>
      </c>
      <c r="P33">
        <v>68.63</v>
      </c>
      <c r="Q33">
        <v>37.99</v>
      </c>
      <c r="S33">
        <v>75.180000000000007</v>
      </c>
      <c r="T33">
        <v>70.13</v>
      </c>
      <c r="U33">
        <v>77.569999999999993</v>
      </c>
      <c r="V33">
        <v>72.06</v>
      </c>
      <c r="W33">
        <v>71.260000000000005</v>
      </c>
      <c r="X33">
        <v>77.78</v>
      </c>
      <c r="Y33">
        <v>74.38</v>
      </c>
      <c r="Z33">
        <v>70.73</v>
      </c>
      <c r="AA33">
        <v>73</v>
      </c>
      <c r="AB33">
        <v>78.489999999999995</v>
      </c>
      <c r="AC33">
        <v>77.569999999999993</v>
      </c>
      <c r="AD33">
        <v>68.430000000000007</v>
      </c>
      <c r="AE33">
        <f t="shared" si="9"/>
        <v>73</v>
      </c>
      <c r="AF33">
        <v>9.14</v>
      </c>
      <c r="AG33">
        <v>73</v>
      </c>
      <c r="AH33">
        <v>45.15</v>
      </c>
    </row>
    <row r="34" spans="1:34" x14ac:dyDescent="0.25">
      <c r="B34">
        <v>71.94</v>
      </c>
      <c r="C34">
        <v>61.09</v>
      </c>
      <c r="D34">
        <v>80.05</v>
      </c>
      <c r="E34">
        <v>67.73</v>
      </c>
      <c r="F34">
        <v>62.69</v>
      </c>
      <c r="G34">
        <v>83</v>
      </c>
      <c r="H34">
        <v>71.430000000000007</v>
      </c>
      <c r="I34">
        <v>63.47</v>
      </c>
      <c r="J34">
        <v>66.72</v>
      </c>
      <c r="K34">
        <v>74.680000000000007</v>
      </c>
      <c r="L34">
        <v>80.05</v>
      </c>
      <c r="M34">
        <v>53.39</v>
      </c>
      <c r="N34">
        <f t="shared" si="8"/>
        <v>66.72</v>
      </c>
      <c r="O34">
        <v>26.67</v>
      </c>
      <c r="P34">
        <v>66.72</v>
      </c>
      <c r="Q34">
        <v>35.03</v>
      </c>
      <c r="S34">
        <v>78.650000000000006</v>
      </c>
      <c r="T34">
        <v>65.73</v>
      </c>
      <c r="U34">
        <v>77.12</v>
      </c>
      <c r="V34">
        <v>69.05</v>
      </c>
      <c r="W34">
        <v>68.7</v>
      </c>
      <c r="X34">
        <v>78.48</v>
      </c>
      <c r="Y34">
        <v>73.27</v>
      </c>
      <c r="Z34">
        <v>66.84</v>
      </c>
      <c r="AA34">
        <v>68.97</v>
      </c>
      <c r="AB34">
        <v>78.53</v>
      </c>
      <c r="AC34">
        <v>77.12</v>
      </c>
      <c r="AD34">
        <v>60.82</v>
      </c>
      <c r="AE34">
        <f t="shared" si="9"/>
        <v>68.97</v>
      </c>
      <c r="AF34">
        <v>16.3</v>
      </c>
      <c r="AG34">
        <v>68.97</v>
      </c>
      <c r="AH34">
        <v>37.51</v>
      </c>
    </row>
    <row r="35" spans="1:34" x14ac:dyDescent="0.25">
      <c r="B35" s="2">
        <f>AVERAGE(B25:B34)</f>
        <v>76.666000000000011</v>
      </c>
      <c r="C35" s="2">
        <f t="shared" ref="C35:Q35" si="10">AVERAGE(C25:C34)</f>
        <v>69.73</v>
      </c>
      <c r="D35" s="2">
        <f t="shared" si="10"/>
        <v>75.546000000000006</v>
      </c>
      <c r="E35" s="2">
        <f t="shared" si="10"/>
        <v>73.686999999999998</v>
      </c>
      <c r="F35" s="2">
        <f t="shared" si="10"/>
        <v>71.042000000000002</v>
      </c>
      <c r="G35" s="2">
        <f t="shared" si="10"/>
        <v>76.777999999999992</v>
      </c>
      <c r="H35" s="2">
        <f t="shared" si="10"/>
        <v>73.60799999999999</v>
      </c>
      <c r="I35" s="2">
        <f t="shared" si="10"/>
        <v>63.356000000000016</v>
      </c>
      <c r="J35" s="2">
        <f t="shared" si="10"/>
        <v>66.884</v>
      </c>
      <c r="K35" s="2">
        <f t="shared" si="10"/>
        <v>75.818000000000012</v>
      </c>
      <c r="L35" s="2">
        <f t="shared" si="10"/>
        <v>75.546000000000006</v>
      </c>
      <c r="M35" s="2">
        <f t="shared" si="10"/>
        <v>58.222999999999999</v>
      </c>
      <c r="N35" s="2">
        <f t="shared" si="10"/>
        <v>66.884500000000003</v>
      </c>
      <c r="O35" s="2">
        <f t="shared" si="10"/>
        <v>17.323</v>
      </c>
      <c r="P35" s="2">
        <f t="shared" si="10"/>
        <v>66.884</v>
      </c>
      <c r="Q35" s="2">
        <f t="shared" si="10"/>
        <v>33.145000000000003</v>
      </c>
      <c r="S35" s="2">
        <f>AVERAGE(S29:S34)</f>
        <v>80.273333333333326</v>
      </c>
      <c r="T35" s="2">
        <f t="shared" ref="T35:AH35" si="11">AVERAGE(T29:T34)</f>
        <v>72.298333333333332</v>
      </c>
      <c r="U35" s="2">
        <f t="shared" si="11"/>
        <v>77.296666666666667</v>
      </c>
      <c r="V35" s="2">
        <f t="shared" si="11"/>
        <v>73.63333333333334</v>
      </c>
      <c r="W35" s="2">
        <f t="shared" si="11"/>
        <v>73.846666666666664</v>
      </c>
      <c r="X35" s="2">
        <f t="shared" si="11"/>
        <v>78.171666666666681</v>
      </c>
      <c r="Y35" s="2">
        <f t="shared" si="11"/>
        <v>75.861666666666665</v>
      </c>
      <c r="Z35" s="2">
        <f t="shared" si="11"/>
        <v>69.668333333333337</v>
      </c>
      <c r="AA35" s="2">
        <f t="shared" si="11"/>
        <v>71.178333333333342</v>
      </c>
      <c r="AB35" s="2">
        <f t="shared" si="11"/>
        <v>78.718333333333348</v>
      </c>
      <c r="AC35" s="2">
        <f t="shared" si="11"/>
        <v>77.296666666666667</v>
      </c>
      <c r="AD35" s="2">
        <f t="shared" si="11"/>
        <v>65.058333333333337</v>
      </c>
      <c r="AE35" s="2">
        <f t="shared" si="11"/>
        <v>71.177500000000009</v>
      </c>
      <c r="AF35" s="2">
        <f t="shared" si="11"/>
        <v>12.24</v>
      </c>
      <c r="AG35" s="2">
        <f t="shared" si="11"/>
        <v>71.178333333333342</v>
      </c>
      <c r="AH35" s="2">
        <f t="shared" si="11"/>
        <v>41.75333333333333</v>
      </c>
    </row>
    <row r="36" spans="1:34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x14ac:dyDescent="0.25">
      <c r="B37" s="2">
        <f>AVERAGE(B13,B24,B35)</f>
        <v>75.530666666666662</v>
      </c>
      <c r="C37" s="2">
        <f t="shared" ref="C37:Q37" si="12">AVERAGE(C13,C24,C35)</f>
        <v>71.059333333333328</v>
      </c>
      <c r="D37" s="2">
        <f t="shared" si="12"/>
        <v>71.161333333333332</v>
      </c>
      <c r="E37" s="2">
        <f t="shared" si="12"/>
        <v>71.27500000000002</v>
      </c>
      <c r="F37" s="2">
        <f t="shared" si="12"/>
        <v>73.548666666666662</v>
      </c>
      <c r="G37" s="2">
        <f t="shared" si="12"/>
        <v>73.26100000000001</v>
      </c>
      <c r="H37" s="2">
        <f t="shared" si="12"/>
        <v>73.045999999999992</v>
      </c>
      <c r="I37" s="2">
        <f t="shared" si="12"/>
        <v>64.084333333333333</v>
      </c>
      <c r="J37" s="2">
        <f t="shared" si="12"/>
        <v>67.222333333333339</v>
      </c>
      <c r="K37" s="2">
        <f t="shared" si="12"/>
        <v>74.791000000000011</v>
      </c>
      <c r="L37" s="2">
        <f t="shared" si="12"/>
        <v>71.161333333333332</v>
      </c>
      <c r="M37" s="2">
        <f t="shared" si="12"/>
        <v>63.283333333333339</v>
      </c>
      <c r="N37" s="2">
        <f t="shared" si="12"/>
        <v>67.222333333333339</v>
      </c>
      <c r="O37" s="2">
        <f t="shared" si="12"/>
        <v>13.233666666666666</v>
      </c>
      <c r="P37" s="2">
        <f t="shared" si="12"/>
        <v>67.222333333333339</v>
      </c>
      <c r="Q37" s="2">
        <f t="shared" si="12"/>
        <v>32.684666666666665</v>
      </c>
      <c r="S37" s="2">
        <f>AVERAGE(S13,S24,S35)</f>
        <v>79.353888888888889</v>
      </c>
      <c r="T37" s="2">
        <f t="shared" ref="T37" si="13">AVERAGE(T13,T24,T35)</f>
        <v>74.351666666666674</v>
      </c>
      <c r="U37" s="2">
        <f t="shared" ref="U37" si="14">AVERAGE(U13,U24,U35)</f>
        <v>73.054444444444457</v>
      </c>
      <c r="V37" s="2">
        <f t="shared" ref="V37" si="15">AVERAGE(V13,V24,V35)</f>
        <v>72.134444444444441</v>
      </c>
      <c r="W37" s="2">
        <f t="shared" ref="W37" si="16">AVERAGE(W13,W24,W35)</f>
        <v>75.752777777777766</v>
      </c>
      <c r="X37" s="2">
        <f t="shared" ref="X37" si="17">AVERAGE(X13,X24,X35)</f>
        <v>74.148888888888891</v>
      </c>
      <c r="Y37" s="2">
        <f t="shared" ref="Y37" si="18">AVERAGE(Y13,Y24,Y35)</f>
        <v>74.530555555555566</v>
      </c>
      <c r="Z37" s="2">
        <f t="shared" ref="Z37" si="19">AVERAGE(Z13,Z24,Z35)</f>
        <v>69.209999999999994</v>
      </c>
      <c r="AA37" s="2">
        <f t="shared" ref="AA37" si="20">AVERAGE(AA13,AA24,AA35)</f>
        <v>70.718333333333334</v>
      </c>
      <c r="AB37" s="2">
        <f t="shared" ref="AB37" si="21">AVERAGE(AB13,AB24,AB35)</f>
        <v>78.679444444444457</v>
      </c>
      <c r="AC37" s="2">
        <f t="shared" ref="AC37" si="22">AVERAGE(AC13,AC24,AC35)</f>
        <v>73.054444444444457</v>
      </c>
      <c r="AD37" s="2">
        <f t="shared" ref="AD37" si="23">AVERAGE(AD13,AD24,AD35)</f>
        <v>68.38111111111111</v>
      </c>
      <c r="AE37" s="2">
        <f>AVERAGE(AE13,AE24,AE35)</f>
        <v>70.717777777777783</v>
      </c>
      <c r="AF37" s="2">
        <f t="shared" ref="AF37" si="24">AVERAGE(AF13,AF24,AF35)</f>
        <v>14.696666666666667</v>
      </c>
      <c r="AG37" s="2">
        <f t="shared" ref="AG37" si="25">AVERAGE(AG13,AG24,AG35)</f>
        <v>70.718333333333334</v>
      </c>
      <c r="AH37" s="2">
        <f t="shared" ref="AH37" si="26">AVERAGE(AH13,AH24,AH35)</f>
        <v>41.347777777777772</v>
      </c>
    </row>
    <row r="38" spans="1:34" x14ac:dyDescent="0.25">
      <c r="B38" s="2">
        <f>_xlfn.STDEV.S(B13,B24,B35)</f>
        <v>0.98925089503793784</v>
      </c>
      <c r="C38" s="2">
        <f t="shared" ref="C38:Q38" si="27">_xlfn.STDEV.S(C13,C24,C35)</f>
        <v>1.1894310965050994</v>
      </c>
      <c r="D38" s="2">
        <f t="shared" si="27"/>
        <v>3.8329440816862115</v>
      </c>
      <c r="E38" s="2">
        <f t="shared" si="27"/>
        <v>2.1636552405593577</v>
      </c>
      <c r="F38" s="2">
        <f t="shared" si="27"/>
        <v>2.2035011534676632</v>
      </c>
      <c r="G38" s="2">
        <f t="shared" si="27"/>
        <v>3.0460940563285188</v>
      </c>
      <c r="H38" s="2">
        <f t="shared" si="27"/>
        <v>0.60537839406440042</v>
      </c>
      <c r="I38" s="2">
        <f t="shared" si="27"/>
        <v>0.89467442867968461</v>
      </c>
      <c r="J38" s="2">
        <f t="shared" si="27"/>
        <v>0.5542764051746456</v>
      </c>
      <c r="K38" s="2">
        <f t="shared" si="27"/>
        <v>0.89380031326914222</v>
      </c>
      <c r="L38" s="2">
        <f t="shared" si="27"/>
        <v>3.8329440816862115</v>
      </c>
      <c r="M38" s="2">
        <f t="shared" si="27"/>
        <v>4.4025050066221807</v>
      </c>
      <c r="N38" s="2">
        <f t="shared" si="27"/>
        <v>0.5546846701805721</v>
      </c>
      <c r="O38" s="2">
        <f t="shared" si="27"/>
        <v>3.546613361128236</v>
      </c>
      <c r="P38" s="2">
        <f t="shared" si="27"/>
        <v>0.5542764051746456</v>
      </c>
      <c r="Q38" s="2">
        <f t="shared" si="27"/>
        <v>0.8304470683513423</v>
      </c>
      <c r="S38" s="2">
        <f>_xlfn.STDEV.S(S13,S24,S35)</f>
        <v>1.4159393557844329</v>
      </c>
      <c r="T38" s="2">
        <f t="shared" ref="T38:AH38" si="28">_xlfn.STDEV.S(T13,T24,T35)</f>
        <v>4.443039812760829</v>
      </c>
      <c r="U38" s="2">
        <f t="shared" si="28"/>
        <v>7.7304596552521723</v>
      </c>
      <c r="V38" s="2">
        <f t="shared" si="28"/>
        <v>2.6570040215194242</v>
      </c>
      <c r="W38" s="2">
        <f t="shared" si="28"/>
        <v>3.76680395521681</v>
      </c>
      <c r="X38" s="2">
        <f t="shared" si="28"/>
        <v>7.9049292521490351</v>
      </c>
      <c r="Y38" s="2">
        <f t="shared" si="28"/>
        <v>2.5489089895555295</v>
      </c>
      <c r="Z38" s="2">
        <f t="shared" si="28"/>
        <v>0.43480838691696894</v>
      </c>
      <c r="AA38" s="2">
        <f t="shared" si="28"/>
        <v>0.60852280154486638</v>
      </c>
      <c r="AB38" s="2">
        <f t="shared" si="28"/>
        <v>1.610352215901613</v>
      </c>
      <c r="AC38" s="2">
        <f t="shared" si="28"/>
        <v>7.7304596552521723</v>
      </c>
      <c r="AD38" s="2">
        <f t="shared" si="28"/>
        <v>8.2412162555274779</v>
      </c>
      <c r="AE38" s="2">
        <f t="shared" si="28"/>
        <v>0.60868045651896951</v>
      </c>
      <c r="AF38" s="2">
        <f t="shared" si="28"/>
        <v>2.1885884593601341</v>
      </c>
      <c r="AG38" s="2">
        <f t="shared" si="28"/>
        <v>0.60852280154486638</v>
      </c>
      <c r="AH38" s="2">
        <f t="shared" si="28"/>
        <v>1.0237964930879819</v>
      </c>
    </row>
    <row r="39" spans="1:34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x14ac:dyDescent="0.25">
      <c r="A40" s="1" t="s">
        <v>75</v>
      </c>
      <c r="B40">
        <v>79.42</v>
      </c>
      <c r="C40">
        <v>78.91</v>
      </c>
      <c r="D40">
        <v>73.739999999999995</v>
      </c>
      <c r="E40">
        <v>75.790000000000006</v>
      </c>
      <c r="F40">
        <v>80.87</v>
      </c>
      <c r="G40">
        <v>76.23</v>
      </c>
      <c r="H40">
        <v>78.48</v>
      </c>
      <c r="I40">
        <v>64.239999999999995</v>
      </c>
      <c r="J40">
        <v>67.03</v>
      </c>
      <c r="K40">
        <v>71.62</v>
      </c>
      <c r="L40">
        <v>73.739999999999995</v>
      </c>
      <c r="M40">
        <v>60.31</v>
      </c>
      <c r="N40">
        <f>(L40+M40)/2</f>
        <v>67.025000000000006</v>
      </c>
      <c r="O40">
        <v>13.43</v>
      </c>
      <c r="P40">
        <v>67.03</v>
      </c>
      <c r="Q40">
        <v>31</v>
      </c>
    </row>
    <row r="41" spans="1:34" x14ac:dyDescent="0.25">
      <c r="B41">
        <v>87.78</v>
      </c>
      <c r="C41">
        <v>81.55</v>
      </c>
      <c r="D41">
        <v>80.81</v>
      </c>
      <c r="E41">
        <v>81.02</v>
      </c>
      <c r="F41">
        <v>83.33</v>
      </c>
      <c r="G41">
        <v>81.97</v>
      </c>
      <c r="H41">
        <v>82.64</v>
      </c>
      <c r="I41">
        <v>70.69</v>
      </c>
      <c r="J41">
        <v>71.89</v>
      </c>
      <c r="K41">
        <v>80.52</v>
      </c>
      <c r="L41">
        <v>80.81</v>
      </c>
      <c r="M41">
        <v>62.98</v>
      </c>
      <c r="N41">
        <f t="shared" ref="N41:N49" si="29">(L41+M41)/2</f>
        <v>71.894999999999996</v>
      </c>
      <c r="O41">
        <v>17.829999999999998</v>
      </c>
      <c r="P41">
        <v>71.89</v>
      </c>
      <c r="Q41">
        <v>42.03</v>
      </c>
    </row>
    <row r="42" spans="1:34" x14ac:dyDescent="0.25">
      <c r="B42">
        <v>68.67</v>
      </c>
      <c r="C42">
        <v>70.319999999999993</v>
      </c>
      <c r="D42">
        <v>66.56</v>
      </c>
      <c r="E42">
        <v>67.349999999999994</v>
      </c>
      <c r="F42">
        <v>75.17</v>
      </c>
      <c r="G42">
        <v>71.34</v>
      </c>
      <c r="H42">
        <v>73.2</v>
      </c>
      <c r="I42">
        <v>64.75</v>
      </c>
      <c r="J42">
        <v>66.680000000000007</v>
      </c>
      <c r="K42">
        <v>71.13</v>
      </c>
      <c r="L42">
        <v>66.56</v>
      </c>
      <c r="M42">
        <v>66.81</v>
      </c>
      <c r="N42">
        <f t="shared" si="29"/>
        <v>66.685000000000002</v>
      </c>
      <c r="O42">
        <v>0.25</v>
      </c>
      <c r="P42">
        <v>66.680000000000007</v>
      </c>
      <c r="Q42">
        <v>31.67</v>
      </c>
    </row>
    <row r="43" spans="1:34" x14ac:dyDescent="0.25">
      <c r="B43">
        <v>89.55</v>
      </c>
      <c r="C43">
        <v>84.4</v>
      </c>
      <c r="D43">
        <v>72.400000000000006</v>
      </c>
      <c r="E43">
        <v>77.59</v>
      </c>
      <c r="F43">
        <v>85.44</v>
      </c>
      <c r="G43">
        <v>72.13</v>
      </c>
      <c r="H43">
        <v>78.22</v>
      </c>
      <c r="I43">
        <v>68.55</v>
      </c>
      <c r="J43">
        <v>72.650000000000006</v>
      </c>
      <c r="K43">
        <v>79.37</v>
      </c>
      <c r="L43">
        <v>72.400000000000006</v>
      </c>
      <c r="M43">
        <v>72.900000000000006</v>
      </c>
      <c r="N43">
        <f t="shared" si="29"/>
        <v>72.650000000000006</v>
      </c>
      <c r="O43">
        <v>0.5</v>
      </c>
      <c r="P43">
        <v>72.650000000000006</v>
      </c>
      <c r="Q43">
        <v>40.68</v>
      </c>
    </row>
    <row r="44" spans="1:34" x14ac:dyDescent="0.25">
      <c r="B44">
        <v>69.3</v>
      </c>
      <c r="C44">
        <v>75.14</v>
      </c>
      <c r="D44">
        <v>59.54</v>
      </c>
      <c r="E44">
        <v>62.85</v>
      </c>
      <c r="F44">
        <v>78.989999999999995</v>
      </c>
      <c r="G44">
        <v>59.87</v>
      </c>
      <c r="H44">
        <v>68.12</v>
      </c>
      <c r="I44">
        <v>63.85</v>
      </c>
      <c r="J44">
        <v>69.75</v>
      </c>
      <c r="K44">
        <v>75.39</v>
      </c>
      <c r="L44">
        <v>59.54</v>
      </c>
      <c r="M44">
        <v>79.95</v>
      </c>
      <c r="N44">
        <f t="shared" si="29"/>
        <v>69.745000000000005</v>
      </c>
      <c r="O44">
        <v>20.41</v>
      </c>
      <c r="P44">
        <v>69.75</v>
      </c>
      <c r="Q44">
        <v>35.72</v>
      </c>
      <c r="S44">
        <v>83.47</v>
      </c>
      <c r="T44">
        <v>76.52</v>
      </c>
      <c r="U44">
        <v>78.150000000000006</v>
      </c>
      <c r="V44">
        <v>77.010000000000005</v>
      </c>
      <c r="W44">
        <v>77.33</v>
      </c>
      <c r="X44">
        <v>78.73</v>
      </c>
      <c r="Y44">
        <v>78.03</v>
      </c>
      <c r="Z44">
        <v>70.010000000000005</v>
      </c>
      <c r="AA44">
        <v>70.83</v>
      </c>
      <c r="AB44">
        <v>79.09</v>
      </c>
      <c r="AC44">
        <v>78.150000000000006</v>
      </c>
      <c r="AD44">
        <v>63.51</v>
      </c>
      <c r="AE44">
        <f>(AC44+AD44)/2</f>
        <v>70.83</v>
      </c>
      <c r="AF44">
        <v>14.64</v>
      </c>
      <c r="AG44">
        <v>70.83</v>
      </c>
      <c r="AH44">
        <v>41.11</v>
      </c>
    </row>
    <row r="45" spans="1:34" x14ac:dyDescent="0.25">
      <c r="B45">
        <v>58.83</v>
      </c>
      <c r="C45">
        <v>58.45</v>
      </c>
      <c r="D45">
        <v>54.97</v>
      </c>
      <c r="E45">
        <v>55.94</v>
      </c>
      <c r="F45">
        <v>66.38</v>
      </c>
      <c r="G45">
        <v>63.11</v>
      </c>
      <c r="H45">
        <v>64.709999999999994</v>
      </c>
      <c r="I45">
        <v>59.54</v>
      </c>
      <c r="J45">
        <v>60.1</v>
      </c>
      <c r="K45">
        <v>64.010000000000005</v>
      </c>
      <c r="L45">
        <v>54.97</v>
      </c>
      <c r="M45">
        <v>65.239999999999995</v>
      </c>
      <c r="N45">
        <f t="shared" si="29"/>
        <v>60.104999999999997</v>
      </c>
      <c r="O45">
        <v>10.27</v>
      </c>
      <c r="P45">
        <v>60.1</v>
      </c>
      <c r="Q45">
        <v>20.309999999999999</v>
      </c>
      <c r="S45">
        <v>77.790000000000006</v>
      </c>
      <c r="T45">
        <v>72.680000000000007</v>
      </c>
      <c r="U45">
        <v>73.98</v>
      </c>
      <c r="V45">
        <v>73.27</v>
      </c>
      <c r="W45">
        <v>75.11</v>
      </c>
      <c r="X45">
        <v>76.47</v>
      </c>
      <c r="Y45">
        <v>75.78</v>
      </c>
      <c r="Z45">
        <v>66.45</v>
      </c>
      <c r="AA45">
        <v>66.13</v>
      </c>
      <c r="AB45">
        <v>72.11</v>
      </c>
      <c r="AC45">
        <v>73.98</v>
      </c>
      <c r="AD45">
        <v>58.28</v>
      </c>
      <c r="AE45">
        <f t="shared" ref="AE45:AE49" si="30">(AC45+AD45)/2</f>
        <v>66.13</v>
      </c>
      <c r="AF45">
        <v>15.7</v>
      </c>
      <c r="AG45">
        <v>66.13</v>
      </c>
      <c r="AH45">
        <v>33.18</v>
      </c>
    </row>
    <row r="46" spans="1:34" x14ac:dyDescent="0.25">
      <c r="B46">
        <v>88.57</v>
      </c>
      <c r="C46">
        <v>84.45</v>
      </c>
      <c r="D46">
        <v>66.11</v>
      </c>
      <c r="E46">
        <v>73.290000000000006</v>
      </c>
      <c r="F46">
        <v>84.95</v>
      </c>
      <c r="G46">
        <v>64.75</v>
      </c>
      <c r="H46">
        <v>73.489999999999995</v>
      </c>
      <c r="I46">
        <v>65.59</v>
      </c>
      <c r="J46">
        <v>71.78</v>
      </c>
      <c r="K46">
        <v>80.63</v>
      </c>
      <c r="L46">
        <v>66.11</v>
      </c>
      <c r="M46">
        <v>77.45</v>
      </c>
      <c r="N46">
        <f t="shared" si="29"/>
        <v>71.78</v>
      </c>
      <c r="O46">
        <v>11.34</v>
      </c>
      <c r="P46">
        <v>71.78</v>
      </c>
      <c r="Q46">
        <v>38.33</v>
      </c>
      <c r="S46">
        <v>73.53</v>
      </c>
      <c r="T46">
        <v>69.88</v>
      </c>
      <c r="U46">
        <v>74.290000000000006</v>
      </c>
      <c r="V46">
        <v>71.44</v>
      </c>
      <c r="W46">
        <v>73.75</v>
      </c>
      <c r="X46">
        <v>77.12</v>
      </c>
      <c r="Y46">
        <v>75.400000000000006</v>
      </c>
      <c r="Z46">
        <v>71.459999999999994</v>
      </c>
      <c r="AA46">
        <v>72.45</v>
      </c>
      <c r="AB46">
        <v>77.930000000000007</v>
      </c>
      <c r="AC46">
        <v>74.290000000000006</v>
      </c>
      <c r="AD46">
        <v>70.61</v>
      </c>
      <c r="AE46">
        <f t="shared" si="30"/>
        <v>72.45</v>
      </c>
      <c r="AF46">
        <v>3.68</v>
      </c>
      <c r="AG46">
        <v>72.45</v>
      </c>
      <c r="AH46">
        <v>44.34</v>
      </c>
    </row>
    <row r="47" spans="1:34" x14ac:dyDescent="0.25">
      <c r="B47">
        <v>72.19</v>
      </c>
      <c r="C47">
        <v>74.900000000000006</v>
      </c>
      <c r="D47">
        <v>61.26</v>
      </c>
      <c r="E47">
        <v>65.75</v>
      </c>
      <c r="F47">
        <v>79.03</v>
      </c>
      <c r="G47">
        <v>62.42</v>
      </c>
      <c r="H47">
        <v>69.75</v>
      </c>
      <c r="I47">
        <v>65.52</v>
      </c>
      <c r="J47">
        <v>70.599999999999994</v>
      </c>
      <c r="K47">
        <v>77.97</v>
      </c>
      <c r="L47">
        <v>61.26</v>
      </c>
      <c r="M47">
        <v>79.930000000000007</v>
      </c>
      <c r="N47">
        <f t="shared" si="29"/>
        <v>70.594999999999999</v>
      </c>
      <c r="O47">
        <v>18.670000000000002</v>
      </c>
      <c r="P47">
        <v>70.599999999999994</v>
      </c>
      <c r="Q47">
        <v>36.590000000000003</v>
      </c>
      <c r="S47">
        <v>83.9</v>
      </c>
      <c r="T47">
        <v>76.260000000000005</v>
      </c>
      <c r="U47">
        <v>80.87</v>
      </c>
      <c r="V47">
        <v>77.709999999999994</v>
      </c>
      <c r="W47">
        <v>76.5</v>
      </c>
      <c r="X47">
        <v>81</v>
      </c>
      <c r="Y47">
        <v>78.680000000000007</v>
      </c>
      <c r="Z47">
        <v>70.89</v>
      </c>
      <c r="AA47">
        <v>72.33</v>
      </c>
      <c r="AB47">
        <v>78.290000000000006</v>
      </c>
      <c r="AC47">
        <v>80.87</v>
      </c>
      <c r="AD47">
        <v>63.8</v>
      </c>
      <c r="AE47">
        <f t="shared" si="30"/>
        <v>72.335000000000008</v>
      </c>
      <c r="AF47">
        <v>17.079999999999998</v>
      </c>
      <c r="AG47">
        <v>72.33</v>
      </c>
      <c r="AH47">
        <v>44.41</v>
      </c>
    </row>
    <row r="48" spans="1:34" x14ac:dyDescent="0.25">
      <c r="B48">
        <v>65.83</v>
      </c>
      <c r="C48">
        <v>64.489999999999995</v>
      </c>
      <c r="D48">
        <v>55.48</v>
      </c>
      <c r="E48">
        <v>59.09</v>
      </c>
      <c r="F48">
        <v>71.7</v>
      </c>
      <c r="G48">
        <v>62.3</v>
      </c>
      <c r="H48">
        <v>66.67</v>
      </c>
      <c r="I48">
        <v>64.14</v>
      </c>
      <c r="J48">
        <v>65.2</v>
      </c>
      <c r="K48">
        <v>69.12</v>
      </c>
      <c r="L48">
        <v>55.48</v>
      </c>
      <c r="M48">
        <v>74.92</v>
      </c>
      <c r="N48">
        <f t="shared" si="29"/>
        <v>65.2</v>
      </c>
      <c r="O48">
        <v>19.440000000000001</v>
      </c>
      <c r="P48">
        <v>65.2</v>
      </c>
      <c r="Q48">
        <v>30.06</v>
      </c>
      <c r="S48">
        <v>72.47</v>
      </c>
      <c r="T48">
        <v>70.72</v>
      </c>
      <c r="U48">
        <v>80.34</v>
      </c>
      <c r="V48">
        <v>74.53</v>
      </c>
      <c r="W48">
        <v>72</v>
      </c>
      <c r="X48">
        <v>82.35</v>
      </c>
      <c r="Y48">
        <v>76.83</v>
      </c>
      <c r="Z48">
        <v>71.400000000000006</v>
      </c>
      <c r="AA48">
        <v>72.3</v>
      </c>
      <c r="AB48">
        <v>78.28</v>
      </c>
      <c r="AC48">
        <v>80.34</v>
      </c>
      <c r="AD48">
        <v>64.260000000000005</v>
      </c>
      <c r="AE48">
        <f t="shared" si="30"/>
        <v>72.300000000000011</v>
      </c>
      <c r="AF48">
        <v>16.079999999999998</v>
      </c>
      <c r="AG48">
        <v>72.3</v>
      </c>
      <c r="AH48">
        <v>45.44</v>
      </c>
    </row>
    <row r="49" spans="2:34" x14ac:dyDescent="0.25">
      <c r="B49">
        <v>70.52</v>
      </c>
      <c r="C49">
        <v>63.21</v>
      </c>
      <c r="D49">
        <v>64.72</v>
      </c>
      <c r="E49">
        <v>62.39</v>
      </c>
      <c r="F49">
        <v>64.62</v>
      </c>
      <c r="G49">
        <v>66.400000000000006</v>
      </c>
      <c r="H49">
        <v>65.5</v>
      </c>
      <c r="I49">
        <v>62.24</v>
      </c>
      <c r="J49">
        <v>63.83</v>
      </c>
      <c r="K49">
        <v>71.790000000000006</v>
      </c>
      <c r="L49">
        <v>64.72</v>
      </c>
      <c r="M49">
        <v>62.94</v>
      </c>
      <c r="N49">
        <f t="shared" si="29"/>
        <v>63.83</v>
      </c>
      <c r="O49">
        <v>1.78</v>
      </c>
      <c r="P49">
        <v>63.83</v>
      </c>
      <c r="Q49">
        <v>27.76</v>
      </c>
      <c r="S49">
        <v>74.599999999999994</v>
      </c>
      <c r="T49">
        <v>65.25</v>
      </c>
      <c r="U49">
        <v>74.900000000000006</v>
      </c>
      <c r="V49">
        <v>68.06</v>
      </c>
      <c r="W49">
        <v>68.959999999999994</v>
      </c>
      <c r="X49">
        <v>76.06</v>
      </c>
      <c r="Y49">
        <v>72.33</v>
      </c>
      <c r="Z49">
        <v>66.69</v>
      </c>
      <c r="AA49">
        <v>68.72</v>
      </c>
      <c r="AB49">
        <v>76.12</v>
      </c>
      <c r="AC49">
        <v>74.900000000000006</v>
      </c>
      <c r="AD49">
        <v>62.54</v>
      </c>
      <c r="AE49">
        <f t="shared" si="30"/>
        <v>68.72</v>
      </c>
      <c r="AF49">
        <v>12.36</v>
      </c>
      <c r="AG49">
        <v>68.72</v>
      </c>
      <c r="AH49">
        <v>36.74</v>
      </c>
    </row>
    <row r="50" spans="2:34" x14ac:dyDescent="0.25">
      <c r="B50" s="2">
        <f>AVERAGE(B40:B49)</f>
        <v>75.066000000000003</v>
      </c>
      <c r="C50" s="2">
        <f t="shared" ref="C50:Q50" si="31">AVERAGE(C40:C49)</f>
        <v>73.581999999999994</v>
      </c>
      <c r="D50" s="2">
        <f t="shared" si="31"/>
        <v>65.558999999999997</v>
      </c>
      <c r="E50" s="2">
        <f t="shared" si="31"/>
        <v>68.106000000000009</v>
      </c>
      <c r="F50" s="2">
        <f t="shared" si="31"/>
        <v>77.048000000000002</v>
      </c>
      <c r="G50" s="2">
        <f t="shared" si="31"/>
        <v>68.051999999999992</v>
      </c>
      <c r="H50" s="2">
        <f t="shared" si="31"/>
        <v>72.077999999999989</v>
      </c>
      <c r="I50" s="2">
        <f t="shared" si="31"/>
        <v>64.911000000000001</v>
      </c>
      <c r="J50" s="2">
        <f t="shared" si="31"/>
        <v>67.951000000000008</v>
      </c>
      <c r="K50" s="2">
        <f t="shared" si="31"/>
        <v>74.155000000000001</v>
      </c>
      <c r="L50" s="2">
        <f t="shared" si="31"/>
        <v>65.558999999999997</v>
      </c>
      <c r="M50" s="2">
        <f t="shared" si="31"/>
        <v>70.342999999999989</v>
      </c>
      <c r="N50" s="2">
        <f t="shared" si="31"/>
        <v>67.951000000000008</v>
      </c>
      <c r="O50" s="2">
        <f t="shared" si="31"/>
        <v>11.391999999999999</v>
      </c>
      <c r="P50" s="2">
        <f t="shared" si="31"/>
        <v>67.951000000000008</v>
      </c>
      <c r="Q50" s="2">
        <f t="shared" si="31"/>
        <v>33.415000000000006</v>
      </c>
      <c r="S50" s="2">
        <f>AVERAGE(S44:S49)</f>
        <v>77.626666666666665</v>
      </c>
      <c r="T50" s="2">
        <f t="shared" ref="T50:AH50" si="32">AVERAGE(T44:T49)</f>
        <v>71.884999999999991</v>
      </c>
      <c r="U50" s="2">
        <f t="shared" si="32"/>
        <v>77.088333333333324</v>
      </c>
      <c r="V50" s="2">
        <f t="shared" si="32"/>
        <v>73.67</v>
      </c>
      <c r="W50" s="2">
        <f t="shared" si="32"/>
        <v>73.941666666666663</v>
      </c>
      <c r="X50" s="2">
        <f t="shared" si="32"/>
        <v>78.621666666666655</v>
      </c>
      <c r="Y50" s="2">
        <f t="shared" si="32"/>
        <v>76.174999999999997</v>
      </c>
      <c r="Z50" s="2">
        <f t="shared" si="32"/>
        <v>69.483333333333334</v>
      </c>
      <c r="AA50" s="2">
        <f t="shared" si="32"/>
        <v>70.459999999999994</v>
      </c>
      <c r="AB50" s="2">
        <f t="shared" si="32"/>
        <v>76.970000000000013</v>
      </c>
      <c r="AC50" s="2">
        <f t="shared" si="32"/>
        <v>77.088333333333324</v>
      </c>
      <c r="AD50" s="2">
        <f t="shared" si="32"/>
        <v>63.833333333333336</v>
      </c>
      <c r="AE50" s="2">
        <f t="shared" si="32"/>
        <v>70.460833333333326</v>
      </c>
      <c r="AF50" s="2">
        <f t="shared" si="32"/>
        <v>13.256666666666668</v>
      </c>
      <c r="AG50" s="2">
        <f t="shared" si="32"/>
        <v>70.459999999999994</v>
      </c>
      <c r="AH50" s="2">
        <f t="shared" si="32"/>
        <v>40.869999999999997</v>
      </c>
    </row>
    <row r="51" spans="2:34" x14ac:dyDescent="0.25">
      <c r="B51">
        <v>86.46</v>
      </c>
      <c r="C51">
        <v>83.16</v>
      </c>
      <c r="D51">
        <v>72.72</v>
      </c>
      <c r="E51">
        <v>77.459999999999994</v>
      </c>
      <c r="F51">
        <v>84.91</v>
      </c>
      <c r="G51">
        <v>73.77</v>
      </c>
      <c r="H51">
        <v>78.95</v>
      </c>
      <c r="I51">
        <v>68.48</v>
      </c>
      <c r="J51">
        <v>71.53</v>
      </c>
      <c r="K51">
        <v>80.28</v>
      </c>
      <c r="L51">
        <v>72.72</v>
      </c>
      <c r="M51">
        <v>70.34</v>
      </c>
      <c r="N51">
        <f>(L51+M51)/2</f>
        <v>71.53</v>
      </c>
      <c r="O51">
        <v>2.39</v>
      </c>
      <c r="P51">
        <v>71.53</v>
      </c>
      <c r="Q51">
        <v>39.21</v>
      </c>
    </row>
    <row r="52" spans="2:34" x14ac:dyDescent="0.25">
      <c r="B52">
        <v>86.32</v>
      </c>
      <c r="C52">
        <v>79.05</v>
      </c>
      <c r="D52">
        <v>79.959999999999994</v>
      </c>
      <c r="E52">
        <v>79</v>
      </c>
      <c r="F52">
        <v>80.33</v>
      </c>
      <c r="G52">
        <v>80.33</v>
      </c>
      <c r="H52">
        <v>80.33</v>
      </c>
      <c r="I52">
        <v>67.510000000000005</v>
      </c>
      <c r="J52">
        <v>69.45</v>
      </c>
      <c r="K52">
        <v>77.739999999999995</v>
      </c>
      <c r="L52">
        <v>79.959999999999994</v>
      </c>
      <c r="M52">
        <v>58.94</v>
      </c>
      <c r="N52">
        <f t="shared" ref="N52:N60" si="33">(L52+M52)/2</f>
        <v>69.449999999999989</v>
      </c>
      <c r="O52">
        <v>21.02</v>
      </c>
      <c r="P52">
        <v>69.45</v>
      </c>
      <c r="Q52">
        <v>36.520000000000003</v>
      </c>
    </row>
    <row r="53" spans="2:34" x14ac:dyDescent="0.25">
      <c r="B53">
        <v>67.91</v>
      </c>
      <c r="C53">
        <v>68.48</v>
      </c>
      <c r="D53">
        <v>68.53</v>
      </c>
      <c r="E53">
        <v>66.73</v>
      </c>
      <c r="F53">
        <v>71.150000000000006</v>
      </c>
      <c r="G53">
        <v>70.7</v>
      </c>
      <c r="H53">
        <v>70.930000000000007</v>
      </c>
      <c r="I53">
        <v>61.99</v>
      </c>
      <c r="J53">
        <v>65.489999999999995</v>
      </c>
      <c r="K53">
        <v>72.239999999999995</v>
      </c>
      <c r="L53">
        <v>68.53</v>
      </c>
      <c r="M53">
        <v>62.45</v>
      </c>
      <c r="N53">
        <f t="shared" si="33"/>
        <v>65.490000000000009</v>
      </c>
      <c r="O53">
        <v>6.08</v>
      </c>
      <c r="P53">
        <v>65.489999999999995</v>
      </c>
      <c r="Q53">
        <v>27.33</v>
      </c>
    </row>
    <row r="54" spans="2:34" x14ac:dyDescent="0.25">
      <c r="B54">
        <v>83.1</v>
      </c>
      <c r="C54">
        <v>79</v>
      </c>
      <c r="D54">
        <v>67.319999999999993</v>
      </c>
      <c r="E54">
        <v>72.319999999999993</v>
      </c>
      <c r="F54">
        <v>80.58</v>
      </c>
      <c r="G54">
        <v>68.03</v>
      </c>
      <c r="H54">
        <v>73.78</v>
      </c>
      <c r="I54">
        <v>63.02</v>
      </c>
      <c r="J54">
        <v>66.81</v>
      </c>
      <c r="K54">
        <v>73.180000000000007</v>
      </c>
      <c r="L54">
        <v>67.319999999999993</v>
      </c>
      <c r="M54">
        <v>66.3</v>
      </c>
      <c r="N54">
        <f t="shared" si="33"/>
        <v>66.81</v>
      </c>
      <c r="O54">
        <v>1.03</v>
      </c>
      <c r="P54">
        <v>66.81</v>
      </c>
      <c r="Q54">
        <v>29.6</v>
      </c>
    </row>
    <row r="55" spans="2:34" x14ac:dyDescent="0.25">
      <c r="B55">
        <v>74.650000000000006</v>
      </c>
      <c r="C55">
        <v>71.91</v>
      </c>
      <c r="D55">
        <v>69.64</v>
      </c>
      <c r="E55">
        <v>66.900000000000006</v>
      </c>
      <c r="F55">
        <v>73.150000000000006</v>
      </c>
      <c r="G55">
        <v>69.430000000000007</v>
      </c>
      <c r="H55">
        <v>71.239999999999995</v>
      </c>
      <c r="I55">
        <v>65.040000000000006</v>
      </c>
      <c r="J55">
        <v>70.92</v>
      </c>
      <c r="K55">
        <v>78.2</v>
      </c>
      <c r="L55">
        <v>69.64</v>
      </c>
      <c r="M55">
        <v>72.2</v>
      </c>
      <c r="N55">
        <f t="shared" si="33"/>
        <v>70.92</v>
      </c>
      <c r="O55">
        <v>2.56</v>
      </c>
      <c r="P55">
        <v>70.92</v>
      </c>
      <c r="Q55">
        <v>37.6</v>
      </c>
      <c r="S55">
        <v>82.13</v>
      </c>
      <c r="T55">
        <v>77.150000000000006</v>
      </c>
      <c r="U55">
        <v>78.12</v>
      </c>
      <c r="V55">
        <v>77.27</v>
      </c>
      <c r="W55">
        <v>77.680000000000007</v>
      </c>
      <c r="X55">
        <v>78.73</v>
      </c>
      <c r="Y55">
        <v>78.2</v>
      </c>
      <c r="Z55">
        <v>69.209999999999994</v>
      </c>
      <c r="AA55">
        <v>69.91</v>
      </c>
      <c r="AB55">
        <v>79.319999999999993</v>
      </c>
      <c r="AC55">
        <v>78.12</v>
      </c>
      <c r="AD55">
        <v>61.71</v>
      </c>
      <c r="AE55">
        <f>(AC55+AD55)/2</f>
        <v>69.915000000000006</v>
      </c>
      <c r="AF55">
        <v>16.41</v>
      </c>
      <c r="AG55">
        <v>69.91</v>
      </c>
      <c r="AH55">
        <v>39.64</v>
      </c>
    </row>
    <row r="56" spans="2:34" x14ac:dyDescent="0.25">
      <c r="B56">
        <v>64.739999999999995</v>
      </c>
      <c r="C56">
        <v>55.16</v>
      </c>
      <c r="D56">
        <v>63.33</v>
      </c>
      <c r="E56">
        <v>69.16</v>
      </c>
      <c r="F56">
        <v>60.54</v>
      </c>
      <c r="G56">
        <v>72.95</v>
      </c>
      <c r="H56">
        <v>66.17</v>
      </c>
      <c r="I56">
        <v>57.62</v>
      </c>
      <c r="J56">
        <v>59.11</v>
      </c>
      <c r="K56">
        <v>68.36</v>
      </c>
      <c r="L56">
        <v>63.33</v>
      </c>
      <c r="M56">
        <v>54.89</v>
      </c>
      <c r="N56">
        <f t="shared" si="33"/>
        <v>59.11</v>
      </c>
      <c r="O56">
        <v>8.44</v>
      </c>
      <c r="P56">
        <v>59.11</v>
      </c>
      <c r="Q56">
        <v>19.600000000000001</v>
      </c>
      <c r="S56">
        <v>84.66</v>
      </c>
      <c r="T56">
        <v>78.69</v>
      </c>
      <c r="U56">
        <v>75.19</v>
      </c>
      <c r="V56">
        <v>76.11</v>
      </c>
      <c r="W56">
        <v>79.91</v>
      </c>
      <c r="X56">
        <v>77.38</v>
      </c>
      <c r="Y56">
        <v>78.62</v>
      </c>
      <c r="Z56">
        <v>70.28</v>
      </c>
      <c r="AA56">
        <v>70.58</v>
      </c>
      <c r="AB56">
        <v>80.349999999999994</v>
      </c>
      <c r="AC56">
        <v>75.19</v>
      </c>
      <c r="AD56">
        <v>65.97</v>
      </c>
      <c r="AE56">
        <f t="shared" ref="AE56:AE60" si="34">(AC56+AD56)/2</f>
        <v>70.58</v>
      </c>
      <c r="AF56">
        <v>9.2200000000000006</v>
      </c>
      <c r="AG56">
        <v>70.58</v>
      </c>
      <c r="AH56">
        <v>42.61</v>
      </c>
    </row>
    <row r="57" spans="2:34" x14ac:dyDescent="0.25">
      <c r="B57">
        <v>86.04</v>
      </c>
      <c r="C57">
        <v>78.37</v>
      </c>
      <c r="D57">
        <v>84.93</v>
      </c>
      <c r="E57">
        <v>80.22</v>
      </c>
      <c r="F57">
        <v>78.459999999999994</v>
      </c>
      <c r="G57">
        <v>83.61</v>
      </c>
      <c r="H57">
        <v>80.95</v>
      </c>
      <c r="I57">
        <v>67.349999999999994</v>
      </c>
      <c r="J57">
        <v>69.91</v>
      </c>
      <c r="K57">
        <v>79.8</v>
      </c>
      <c r="L57">
        <v>84.93</v>
      </c>
      <c r="M57">
        <v>54.9</v>
      </c>
      <c r="N57">
        <f t="shared" si="33"/>
        <v>69.915000000000006</v>
      </c>
      <c r="O57">
        <v>30.03</v>
      </c>
      <c r="P57">
        <v>69.91</v>
      </c>
      <c r="Q57">
        <v>38.89</v>
      </c>
      <c r="S57">
        <v>74.06</v>
      </c>
      <c r="T57">
        <v>64.739999999999995</v>
      </c>
      <c r="U57">
        <v>86.65</v>
      </c>
      <c r="V57">
        <v>71.53</v>
      </c>
      <c r="W57">
        <v>64.08</v>
      </c>
      <c r="X57">
        <v>86.27</v>
      </c>
      <c r="Y57">
        <v>73.540000000000006</v>
      </c>
      <c r="Z57">
        <v>66.14</v>
      </c>
      <c r="AA57">
        <v>69.87</v>
      </c>
      <c r="AB57">
        <v>79.27</v>
      </c>
      <c r="AC57">
        <v>86.65</v>
      </c>
      <c r="AD57">
        <v>53.09</v>
      </c>
      <c r="AE57">
        <f t="shared" si="34"/>
        <v>69.87</v>
      </c>
      <c r="AF57">
        <v>33.549999999999997</v>
      </c>
      <c r="AG57">
        <v>69.87</v>
      </c>
      <c r="AH57">
        <v>41.39</v>
      </c>
    </row>
    <row r="58" spans="2:34" x14ac:dyDescent="0.25">
      <c r="B58">
        <v>66.86</v>
      </c>
      <c r="C58">
        <v>67.12</v>
      </c>
      <c r="D58">
        <v>81.27</v>
      </c>
      <c r="E58">
        <v>70.31</v>
      </c>
      <c r="F58">
        <v>68.42</v>
      </c>
      <c r="G58">
        <v>82.8</v>
      </c>
      <c r="H58">
        <v>74.930000000000007</v>
      </c>
      <c r="I58">
        <v>64.569999999999993</v>
      </c>
      <c r="J58">
        <v>68.069999999999993</v>
      </c>
      <c r="K58">
        <v>75.58</v>
      </c>
      <c r="L58">
        <v>81.27</v>
      </c>
      <c r="M58">
        <v>54.86</v>
      </c>
      <c r="N58">
        <f t="shared" si="33"/>
        <v>68.064999999999998</v>
      </c>
      <c r="O58">
        <v>26.41</v>
      </c>
      <c r="P58">
        <v>68.069999999999993</v>
      </c>
      <c r="Q58">
        <v>36.49</v>
      </c>
      <c r="S58">
        <v>88.43</v>
      </c>
      <c r="T58">
        <v>82.48</v>
      </c>
      <c r="U58">
        <v>73.11</v>
      </c>
      <c r="V58">
        <v>77.03</v>
      </c>
      <c r="W58">
        <v>83.33</v>
      </c>
      <c r="X58">
        <v>74.66</v>
      </c>
      <c r="Y58">
        <v>78.760000000000005</v>
      </c>
      <c r="Z58">
        <v>72.510000000000005</v>
      </c>
      <c r="AA58">
        <v>73.489999999999995</v>
      </c>
      <c r="AB58">
        <v>83.68</v>
      </c>
      <c r="AC58">
        <v>73.11</v>
      </c>
      <c r="AD58">
        <v>73.87</v>
      </c>
      <c r="AE58">
        <f t="shared" si="34"/>
        <v>73.490000000000009</v>
      </c>
      <c r="AF58">
        <v>0.76</v>
      </c>
      <c r="AG58">
        <v>73.489999999999995</v>
      </c>
      <c r="AH58">
        <v>46.67</v>
      </c>
    </row>
    <row r="59" spans="2:34" x14ac:dyDescent="0.25">
      <c r="B59">
        <v>62.65</v>
      </c>
      <c r="C59">
        <v>53.34</v>
      </c>
      <c r="D59">
        <v>80.77</v>
      </c>
      <c r="E59">
        <v>63.07</v>
      </c>
      <c r="F59">
        <v>56.15</v>
      </c>
      <c r="G59">
        <v>86.07</v>
      </c>
      <c r="H59">
        <v>67.959999999999994</v>
      </c>
      <c r="I59">
        <v>53.42</v>
      </c>
      <c r="J59">
        <v>57.99</v>
      </c>
      <c r="K59">
        <v>66.790000000000006</v>
      </c>
      <c r="L59">
        <v>80.77</v>
      </c>
      <c r="M59">
        <v>35.200000000000003</v>
      </c>
      <c r="N59">
        <f t="shared" si="33"/>
        <v>57.984999999999999</v>
      </c>
      <c r="O59">
        <v>45.57</v>
      </c>
      <c r="P59">
        <v>57.99</v>
      </c>
      <c r="Q59">
        <v>17.54</v>
      </c>
      <c r="S59">
        <v>75.099999999999994</v>
      </c>
      <c r="T59">
        <v>70.349999999999994</v>
      </c>
      <c r="U59">
        <v>69.989999999999995</v>
      </c>
      <c r="V59">
        <v>68.27</v>
      </c>
      <c r="W59">
        <v>71.239999999999995</v>
      </c>
      <c r="X59">
        <v>71.239999999999995</v>
      </c>
      <c r="Y59">
        <v>71.239999999999995</v>
      </c>
      <c r="Z59">
        <v>68.569999999999993</v>
      </c>
      <c r="AA59">
        <v>70.22</v>
      </c>
      <c r="AB59">
        <v>80.849999999999994</v>
      </c>
      <c r="AC59">
        <v>69.989999999999995</v>
      </c>
      <c r="AD59">
        <v>70.45</v>
      </c>
      <c r="AE59">
        <f t="shared" si="34"/>
        <v>70.22</v>
      </c>
      <c r="AF59">
        <v>0.46</v>
      </c>
      <c r="AG59">
        <v>70.22</v>
      </c>
      <c r="AH59">
        <v>40.01</v>
      </c>
    </row>
    <row r="60" spans="2:34" x14ac:dyDescent="0.25">
      <c r="B60">
        <v>69.38</v>
      </c>
      <c r="C60">
        <v>55.54</v>
      </c>
      <c r="D60">
        <v>88.3</v>
      </c>
      <c r="E60">
        <v>66.41</v>
      </c>
      <c r="F60">
        <v>56.08</v>
      </c>
      <c r="G60">
        <v>89.33</v>
      </c>
      <c r="H60">
        <v>68.900000000000006</v>
      </c>
      <c r="I60">
        <v>53.15</v>
      </c>
      <c r="J60">
        <v>60.44</v>
      </c>
      <c r="K60">
        <v>71.8</v>
      </c>
      <c r="L60">
        <v>88.3</v>
      </c>
      <c r="M60">
        <v>32.58</v>
      </c>
      <c r="N60">
        <f t="shared" si="33"/>
        <v>60.44</v>
      </c>
      <c r="O60">
        <v>55.72</v>
      </c>
      <c r="P60">
        <v>60.44</v>
      </c>
      <c r="Q60">
        <v>24.77</v>
      </c>
      <c r="S60">
        <v>76.45</v>
      </c>
      <c r="T60">
        <v>67.25</v>
      </c>
      <c r="U60">
        <v>78.010000000000005</v>
      </c>
      <c r="V60">
        <v>69.39</v>
      </c>
      <c r="W60">
        <v>67.56</v>
      </c>
      <c r="X60">
        <v>76.36</v>
      </c>
      <c r="Y60">
        <v>71.69</v>
      </c>
      <c r="Z60">
        <v>66.959999999999994</v>
      </c>
      <c r="AA60">
        <v>70.78</v>
      </c>
      <c r="AB60">
        <v>78.510000000000005</v>
      </c>
      <c r="AC60">
        <v>78.010000000000005</v>
      </c>
      <c r="AD60">
        <v>63.55</v>
      </c>
      <c r="AE60">
        <f t="shared" si="34"/>
        <v>70.78</v>
      </c>
      <c r="AF60">
        <v>14.45</v>
      </c>
      <c r="AG60">
        <v>70.78</v>
      </c>
      <c r="AH60">
        <v>39.409999999999997</v>
      </c>
    </row>
    <row r="61" spans="2:34" x14ac:dyDescent="0.25">
      <c r="B61" s="2">
        <f>AVERAGE(B51:B60)</f>
        <v>74.810999999999993</v>
      </c>
      <c r="C61" s="2">
        <f t="shared" ref="C61:Q61" si="35">AVERAGE(C51:C60)</f>
        <v>69.113</v>
      </c>
      <c r="D61" s="2">
        <f t="shared" si="35"/>
        <v>75.676999999999992</v>
      </c>
      <c r="E61" s="2">
        <f t="shared" si="35"/>
        <v>71.157999999999987</v>
      </c>
      <c r="F61" s="2">
        <f t="shared" si="35"/>
        <v>70.977000000000004</v>
      </c>
      <c r="G61" s="2">
        <f t="shared" si="35"/>
        <v>77.702000000000012</v>
      </c>
      <c r="H61" s="2">
        <f t="shared" si="35"/>
        <v>73.414000000000001</v>
      </c>
      <c r="I61" s="2">
        <f t="shared" si="35"/>
        <v>62.214999999999989</v>
      </c>
      <c r="J61" s="2">
        <f t="shared" si="35"/>
        <v>65.972000000000008</v>
      </c>
      <c r="K61" s="2">
        <f t="shared" si="35"/>
        <v>74.396999999999991</v>
      </c>
      <c r="L61" s="2">
        <f t="shared" si="35"/>
        <v>75.676999999999992</v>
      </c>
      <c r="M61" s="2">
        <f t="shared" si="35"/>
        <v>56.266000000000005</v>
      </c>
      <c r="N61" s="2">
        <f t="shared" si="35"/>
        <v>65.971499999999992</v>
      </c>
      <c r="O61" s="2">
        <f t="shared" si="35"/>
        <v>19.925000000000001</v>
      </c>
      <c r="P61" s="2">
        <f t="shared" si="35"/>
        <v>65.972000000000008</v>
      </c>
      <c r="Q61" s="2">
        <f t="shared" si="35"/>
        <v>30.755000000000003</v>
      </c>
      <c r="S61" s="2">
        <f>AVERAGE(S55:S60)</f>
        <v>80.138333333333335</v>
      </c>
      <c r="T61" s="2">
        <f t="shared" ref="T61:AH61" si="36">AVERAGE(T55:T60)</f>
        <v>73.443333333333328</v>
      </c>
      <c r="U61" s="2">
        <f t="shared" si="36"/>
        <v>76.844999999999999</v>
      </c>
      <c r="V61" s="2">
        <f t="shared" si="36"/>
        <v>73.266666666666666</v>
      </c>
      <c r="W61" s="2">
        <f t="shared" si="36"/>
        <v>73.966666666666669</v>
      </c>
      <c r="X61" s="2">
        <f t="shared" si="36"/>
        <v>77.44</v>
      </c>
      <c r="Y61" s="2">
        <f t="shared" si="36"/>
        <v>75.341666666666669</v>
      </c>
      <c r="Z61" s="2">
        <f t="shared" si="36"/>
        <v>68.944999999999993</v>
      </c>
      <c r="AA61" s="2">
        <f t="shared" si="36"/>
        <v>70.808333333333337</v>
      </c>
      <c r="AB61" s="2">
        <f t="shared" si="36"/>
        <v>80.33</v>
      </c>
      <c r="AC61" s="2">
        <f t="shared" si="36"/>
        <v>76.844999999999999</v>
      </c>
      <c r="AD61" s="2">
        <f t="shared" si="36"/>
        <v>64.773333333333341</v>
      </c>
      <c r="AE61" s="2">
        <f t="shared" si="36"/>
        <v>70.80916666666667</v>
      </c>
      <c r="AF61" s="2">
        <f t="shared" si="36"/>
        <v>12.475</v>
      </c>
      <c r="AG61" s="2">
        <f t="shared" si="36"/>
        <v>70.808333333333337</v>
      </c>
      <c r="AH61" s="2">
        <f t="shared" si="36"/>
        <v>41.621666666666663</v>
      </c>
    </row>
    <row r="62" spans="2:34" x14ac:dyDescent="0.25">
      <c r="B62">
        <v>85.57</v>
      </c>
      <c r="C62">
        <v>79.42</v>
      </c>
      <c r="D62">
        <v>83.51</v>
      </c>
      <c r="E62">
        <v>80.05</v>
      </c>
      <c r="F62">
        <v>79.37</v>
      </c>
      <c r="G62">
        <v>81.97</v>
      </c>
      <c r="H62">
        <v>80.650000000000006</v>
      </c>
      <c r="I62">
        <v>67.8</v>
      </c>
      <c r="J62">
        <v>70.989999999999995</v>
      </c>
      <c r="K62">
        <v>76.290000000000006</v>
      </c>
      <c r="L62">
        <v>83.51</v>
      </c>
      <c r="M62">
        <v>58.47</v>
      </c>
      <c r="N62">
        <f>(L62+M62)/2</f>
        <v>70.990000000000009</v>
      </c>
      <c r="O62">
        <v>25.04</v>
      </c>
      <c r="P62">
        <v>70.989999999999995</v>
      </c>
      <c r="Q62">
        <v>39.93</v>
      </c>
    </row>
    <row r="63" spans="2:34" x14ac:dyDescent="0.25">
      <c r="B63">
        <v>91.59</v>
      </c>
      <c r="C63">
        <v>80.2</v>
      </c>
      <c r="D63">
        <v>86.01</v>
      </c>
      <c r="E63">
        <v>80.44</v>
      </c>
      <c r="F63">
        <v>78.459999999999994</v>
      </c>
      <c r="G63">
        <v>83.61</v>
      </c>
      <c r="H63">
        <v>80.95</v>
      </c>
      <c r="I63">
        <v>68.42</v>
      </c>
      <c r="J63">
        <v>73.989999999999995</v>
      </c>
      <c r="K63">
        <v>82.8</v>
      </c>
      <c r="L63">
        <v>86.01</v>
      </c>
      <c r="M63">
        <v>61.97</v>
      </c>
      <c r="N63">
        <f t="shared" ref="N63:N71" si="37">(L63+M63)/2</f>
        <v>73.990000000000009</v>
      </c>
      <c r="O63">
        <v>24.04</v>
      </c>
      <c r="P63">
        <v>73.989999999999995</v>
      </c>
      <c r="Q63">
        <v>46.59</v>
      </c>
    </row>
    <row r="64" spans="2:34" x14ac:dyDescent="0.25">
      <c r="B64">
        <v>67.58</v>
      </c>
      <c r="C64">
        <v>63.62</v>
      </c>
      <c r="D64">
        <v>73.45</v>
      </c>
      <c r="E64">
        <v>66.12</v>
      </c>
      <c r="F64">
        <v>66.12</v>
      </c>
      <c r="G64">
        <v>77.069999999999993</v>
      </c>
      <c r="H64">
        <v>71.180000000000007</v>
      </c>
      <c r="I64">
        <v>57.69</v>
      </c>
      <c r="J64">
        <v>60.8</v>
      </c>
      <c r="K64">
        <v>71.37</v>
      </c>
      <c r="L64">
        <v>73.45</v>
      </c>
      <c r="M64">
        <v>48.14</v>
      </c>
      <c r="N64">
        <f t="shared" si="37"/>
        <v>60.795000000000002</v>
      </c>
      <c r="O64">
        <v>25.31</v>
      </c>
      <c r="P64">
        <v>60.8</v>
      </c>
      <c r="Q64">
        <v>21.59</v>
      </c>
    </row>
    <row r="65" spans="1:34" x14ac:dyDescent="0.25">
      <c r="B65">
        <v>90.4</v>
      </c>
      <c r="C65">
        <v>79.02</v>
      </c>
      <c r="D65">
        <v>79.19</v>
      </c>
      <c r="E65">
        <v>76.78</v>
      </c>
      <c r="F65">
        <v>78.150000000000006</v>
      </c>
      <c r="G65">
        <v>76.23</v>
      </c>
      <c r="H65">
        <v>77.180000000000007</v>
      </c>
      <c r="I65">
        <v>65.150000000000006</v>
      </c>
      <c r="J65">
        <v>69.709999999999994</v>
      </c>
      <c r="K65">
        <v>82.83</v>
      </c>
      <c r="L65">
        <v>79.19</v>
      </c>
      <c r="M65">
        <v>60.24</v>
      </c>
      <c r="N65">
        <f t="shared" si="37"/>
        <v>69.715000000000003</v>
      </c>
      <c r="O65">
        <v>18.95</v>
      </c>
      <c r="P65">
        <v>69.709999999999994</v>
      </c>
      <c r="Q65">
        <v>37.76</v>
      </c>
    </row>
    <row r="66" spans="1:34" x14ac:dyDescent="0.25">
      <c r="B66">
        <v>69.8</v>
      </c>
      <c r="C66">
        <v>67.86</v>
      </c>
      <c r="D66">
        <v>70.959999999999994</v>
      </c>
      <c r="E66">
        <v>65.86</v>
      </c>
      <c r="F66">
        <v>69.180000000000007</v>
      </c>
      <c r="G66">
        <v>70.06</v>
      </c>
      <c r="H66">
        <v>69.62</v>
      </c>
      <c r="I66">
        <v>60.32</v>
      </c>
      <c r="J66">
        <v>65.27</v>
      </c>
      <c r="K66">
        <v>73.400000000000006</v>
      </c>
      <c r="L66">
        <v>70.959999999999994</v>
      </c>
      <c r="M66">
        <v>59.58</v>
      </c>
      <c r="N66">
        <f t="shared" si="37"/>
        <v>65.27</v>
      </c>
      <c r="O66">
        <v>11.38</v>
      </c>
      <c r="P66">
        <v>65.27</v>
      </c>
      <c r="Q66">
        <v>28.3</v>
      </c>
      <c r="S66">
        <v>83.23</v>
      </c>
      <c r="T66">
        <v>75.64</v>
      </c>
      <c r="U66">
        <v>78.75</v>
      </c>
      <c r="V66">
        <v>76.23</v>
      </c>
      <c r="W66">
        <v>75.55</v>
      </c>
      <c r="X66">
        <v>78.28</v>
      </c>
      <c r="Y66">
        <v>76.89</v>
      </c>
      <c r="Z66">
        <v>68.69</v>
      </c>
      <c r="AA66">
        <v>70.17</v>
      </c>
      <c r="AB66">
        <v>77.790000000000006</v>
      </c>
      <c r="AC66">
        <v>78.75</v>
      </c>
      <c r="AD66">
        <v>61.58</v>
      </c>
      <c r="AE66">
        <f>(AC66+AD66)/2</f>
        <v>70.164999999999992</v>
      </c>
      <c r="AF66">
        <v>17.170000000000002</v>
      </c>
      <c r="AG66">
        <v>70.17</v>
      </c>
      <c r="AH66">
        <v>40.17</v>
      </c>
    </row>
    <row r="67" spans="1:34" x14ac:dyDescent="0.25">
      <c r="B67">
        <v>62.22</v>
      </c>
      <c r="C67">
        <v>52.1</v>
      </c>
      <c r="D67">
        <v>61.07</v>
      </c>
      <c r="E67">
        <v>77.709999999999994</v>
      </c>
      <c r="F67">
        <v>58.11</v>
      </c>
      <c r="G67">
        <v>70.489999999999995</v>
      </c>
      <c r="H67">
        <v>63.7</v>
      </c>
      <c r="I67">
        <v>54.45</v>
      </c>
      <c r="J67">
        <v>55.94</v>
      </c>
      <c r="K67">
        <v>67.45</v>
      </c>
      <c r="L67">
        <v>61.07</v>
      </c>
      <c r="M67">
        <v>50.82</v>
      </c>
      <c r="N67">
        <f t="shared" si="37"/>
        <v>55.945</v>
      </c>
      <c r="O67">
        <v>10.25</v>
      </c>
      <c r="P67">
        <v>55.94</v>
      </c>
      <c r="Q67">
        <v>13.47</v>
      </c>
      <c r="S67">
        <v>82.27</v>
      </c>
      <c r="T67">
        <v>75.28</v>
      </c>
      <c r="U67">
        <v>78.5</v>
      </c>
      <c r="V67">
        <v>76.56</v>
      </c>
      <c r="W67">
        <v>76.959999999999994</v>
      </c>
      <c r="X67">
        <v>80.09</v>
      </c>
      <c r="Y67">
        <v>78.489999999999995</v>
      </c>
      <c r="Z67">
        <v>68.84</v>
      </c>
      <c r="AA67">
        <v>69.08</v>
      </c>
      <c r="AB67">
        <v>77.7</v>
      </c>
      <c r="AC67">
        <v>78.5</v>
      </c>
      <c r="AD67">
        <v>59.65</v>
      </c>
      <c r="AE67">
        <f t="shared" ref="AE67:AE71" si="38">(AC67+AD67)/2</f>
        <v>69.075000000000003</v>
      </c>
      <c r="AF67">
        <v>18.850000000000001</v>
      </c>
      <c r="AG67">
        <v>69.08</v>
      </c>
      <c r="AH67">
        <v>39.299999999999997</v>
      </c>
    </row>
    <row r="68" spans="1:34" x14ac:dyDescent="0.25">
      <c r="B68">
        <v>90.5</v>
      </c>
      <c r="C68">
        <v>82.68</v>
      </c>
      <c r="D68">
        <v>81.099999999999994</v>
      </c>
      <c r="E68">
        <v>80.2</v>
      </c>
      <c r="F68">
        <v>82.61</v>
      </c>
      <c r="G68">
        <v>77.87</v>
      </c>
      <c r="H68">
        <v>80.17</v>
      </c>
      <c r="I68">
        <v>69.650000000000006</v>
      </c>
      <c r="J68">
        <v>73.81</v>
      </c>
      <c r="K68">
        <v>83.13</v>
      </c>
      <c r="L68">
        <v>81.099999999999994</v>
      </c>
      <c r="M68">
        <v>66.510000000000005</v>
      </c>
      <c r="N68">
        <f t="shared" si="37"/>
        <v>73.805000000000007</v>
      </c>
      <c r="O68">
        <v>14.59</v>
      </c>
      <c r="P68">
        <v>73.81</v>
      </c>
      <c r="Q68">
        <v>44.73</v>
      </c>
      <c r="S68">
        <v>76.86</v>
      </c>
      <c r="T68">
        <v>64.92</v>
      </c>
      <c r="U68">
        <v>79.319999999999993</v>
      </c>
      <c r="V68">
        <v>70.81</v>
      </c>
      <c r="W68">
        <v>67.569999999999993</v>
      </c>
      <c r="X68">
        <v>81.7</v>
      </c>
      <c r="Y68">
        <v>73.959999999999994</v>
      </c>
      <c r="Z68">
        <v>68.569999999999993</v>
      </c>
      <c r="AA68">
        <v>69.69</v>
      </c>
      <c r="AB68">
        <v>78.72</v>
      </c>
      <c r="AC68">
        <v>79.319999999999993</v>
      </c>
      <c r="AD68">
        <v>60.05</v>
      </c>
      <c r="AE68">
        <f t="shared" si="38"/>
        <v>69.685000000000002</v>
      </c>
      <c r="AF68">
        <v>19.28</v>
      </c>
      <c r="AG68">
        <v>69.69</v>
      </c>
      <c r="AH68">
        <v>39.35</v>
      </c>
    </row>
    <row r="69" spans="1:34" x14ac:dyDescent="0.25">
      <c r="B69">
        <v>69.239999999999995</v>
      </c>
      <c r="C69">
        <v>68.81</v>
      </c>
      <c r="D69">
        <v>67.84</v>
      </c>
      <c r="E69">
        <v>64.319999999999993</v>
      </c>
      <c r="F69">
        <v>69.48</v>
      </c>
      <c r="G69">
        <v>68.150000000000006</v>
      </c>
      <c r="H69">
        <v>68.81</v>
      </c>
      <c r="I69">
        <v>60.68</v>
      </c>
      <c r="J69">
        <v>65.61</v>
      </c>
      <c r="K69">
        <v>72.540000000000006</v>
      </c>
      <c r="L69">
        <v>67.84</v>
      </c>
      <c r="M69">
        <v>63.37</v>
      </c>
      <c r="N69">
        <f t="shared" si="37"/>
        <v>65.605000000000004</v>
      </c>
      <c r="O69">
        <v>4.47</v>
      </c>
      <c r="P69">
        <v>65.61</v>
      </c>
      <c r="Q69">
        <v>29.73</v>
      </c>
      <c r="S69">
        <v>85.6</v>
      </c>
      <c r="T69">
        <v>78.59</v>
      </c>
      <c r="U69">
        <v>79.97</v>
      </c>
      <c r="V69">
        <v>78.88</v>
      </c>
      <c r="W69">
        <v>79.459999999999994</v>
      </c>
      <c r="X69">
        <v>80.540000000000006</v>
      </c>
      <c r="Y69">
        <v>80</v>
      </c>
      <c r="Z69">
        <v>72.88</v>
      </c>
      <c r="AA69">
        <v>73.650000000000006</v>
      </c>
      <c r="AB69">
        <v>81.11</v>
      </c>
      <c r="AC69">
        <v>79.97</v>
      </c>
      <c r="AD69">
        <v>67.33</v>
      </c>
      <c r="AE69">
        <f t="shared" si="38"/>
        <v>73.650000000000006</v>
      </c>
      <c r="AF69">
        <v>12.63</v>
      </c>
      <c r="AG69">
        <v>73.650000000000006</v>
      </c>
      <c r="AH69">
        <v>46.98</v>
      </c>
    </row>
    <row r="70" spans="1:34" x14ac:dyDescent="0.25">
      <c r="B70">
        <v>67.989999999999995</v>
      </c>
      <c r="C70">
        <v>64.510000000000005</v>
      </c>
      <c r="D70">
        <v>70.61</v>
      </c>
      <c r="E70">
        <v>78.09</v>
      </c>
      <c r="F70">
        <v>69.63</v>
      </c>
      <c r="G70">
        <v>77.05</v>
      </c>
      <c r="H70">
        <v>73.150000000000006</v>
      </c>
      <c r="I70">
        <v>68.12</v>
      </c>
      <c r="J70">
        <v>68.63</v>
      </c>
      <c r="K70">
        <v>73.83</v>
      </c>
      <c r="L70">
        <v>70.61</v>
      </c>
      <c r="M70">
        <v>66.66</v>
      </c>
      <c r="N70">
        <f t="shared" si="37"/>
        <v>68.634999999999991</v>
      </c>
      <c r="O70">
        <v>3.95</v>
      </c>
      <c r="P70">
        <v>68.63</v>
      </c>
      <c r="Q70">
        <v>37.99</v>
      </c>
      <c r="S70">
        <v>75.05</v>
      </c>
      <c r="T70">
        <v>68.739999999999995</v>
      </c>
      <c r="U70">
        <v>78.790000000000006</v>
      </c>
      <c r="V70">
        <v>71.900000000000006</v>
      </c>
      <c r="W70">
        <v>69.94</v>
      </c>
      <c r="X70">
        <v>79.08</v>
      </c>
      <c r="Y70">
        <v>74.23</v>
      </c>
      <c r="Z70">
        <v>70.209999999999994</v>
      </c>
      <c r="AA70">
        <v>72.510000000000005</v>
      </c>
      <c r="AB70">
        <v>78.42</v>
      </c>
      <c r="AC70">
        <v>78.790000000000006</v>
      </c>
      <c r="AD70">
        <v>66.23</v>
      </c>
      <c r="AE70">
        <f t="shared" si="38"/>
        <v>72.510000000000005</v>
      </c>
      <c r="AF70">
        <v>12.56</v>
      </c>
      <c r="AG70">
        <v>72.510000000000005</v>
      </c>
      <c r="AH70">
        <v>44.42</v>
      </c>
    </row>
    <row r="71" spans="1:34" x14ac:dyDescent="0.25">
      <c r="B71">
        <v>71.89</v>
      </c>
      <c r="C71">
        <v>61.13</v>
      </c>
      <c r="D71">
        <v>79.55</v>
      </c>
      <c r="E71">
        <v>67.540000000000006</v>
      </c>
      <c r="F71">
        <v>62.65</v>
      </c>
      <c r="G71">
        <v>82.21</v>
      </c>
      <c r="H71">
        <v>71.11</v>
      </c>
      <c r="I71">
        <v>63.45</v>
      </c>
      <c r="J71">
        <v>66.680000000000007</v>
      </c>
      <c r="K71">
        <v>74.64</v>
      </c>
      <c r="L71">
        <v>79.55</v>
      </c>
      <c r="M71">
        <v>53.81</v>
      </c>
      <c r="N71">
        <f t="shared" si="37"/>
        <v>66.680000000000007</v>
      </c>
      <c r="O71">
        <v>25.74</v>
      </c>
      <c r="P71">
        <v>66.680000000000007</v>
      </c>
      <c r="Q71">
        <v>34.79</v>
      </c>
      <c r="S71">
        <v>78.89</v>
      </c>
      <c r="T71">
        <v>65.03</v>
      </c>
      <c r="U71">
        <v>79.78</v>
      </c>
      <c r="V71">
        <v>69.95</v>
      </c>
      <c r="W71">
        <v>67.77</v>
      </c>
      <c r="X71">
        <v>80.91</v>
      </c>
      <c r="Y71">
        <v>73.760000000000005</v>
      </c>
      <c r="Z71">
        <v>66.709999999999994</v>
      </c>
      <c r="AA71">
        <v>68.88</v>
      </c>
      <c r="AB71">
        <v>78.709999999999994</v>
      </c>
      <c r="AC71">
        <v>79.78</v>
      </c>
      <c r="AD71">
        <v>57.98</v>
      </c>
      <c r="AE71">
        <f t="shared" si="38"/>
        <v>68.88</v>
      </c>
      <c r="AF71">
        <v>21.79</v>
      </c>
      <c r="AG71">
        <v>68.88</v>
      </c>
      <c r="AH71">
        <v>37.68</v>
      </c>
    </row>
    <row r="72" spans="1:34" x14ac:dyDescent="0.25">
      <c r="B72" s="2">
        <f>AVERAGE(B62:B71)</f>
        <v>76.677999999999997</v>
      </c>
      <c r="C72" s="2">
        <f t="shared" ref="C72:Q72" si="39">AVERAGE(C62:C71)</f>
        <v>69.935000000000002</v>
      </c>
      <c r="D72" s="2">
        <f t="shared" si="39"/>
        <v>75.328999999999994</v>
      </c>
      <c r="E72" s="2">
        <f t="shared" si="39"/>
        <v>73.710999999999999</v>
      </c>
      <c r="F72" s="2">
        <f t="shared" si="39"/>
        <v>71.376000000000005</v>
      </c>
      <c r="G72" s="2">
        <f t="shared" si="39"/>
        <v>76.470999999999989</v>
      </c>
      <c r="H72" s="2">
        <f t="shared" si="39"/>
        <v>73.652000000000001</v>
      </c>
      <c r="I72" s="2">
        <f t="shared" si="39"/>
        <v>63.573</v>
      </c>
      <c r="J72" s="2">
        <f t="shared" si="39"/>
        <v>67.142999999999986</v>
      </c>
      <c r="K72" s="2">
        <f t="shared" si="39"/>
        <v>75.828000000000003</v>
      </c>
      <c r="L72" s="2">
        <f t="shared" si="39"/>
        <v>75.328999999999994</v>
      </c>
      <c r="M72" s="2">
        <f t="shared" si="39"/>
        <v>58.956999999999994</v>
      </c>
      <c r="N72" s="2">
        <f t="shared" si="39"/>
        <v>67.143000000000001</v>
      </c>
      <c r="O72" s="2">
        <f t="shared" si="39"/>
        <v>16.372</v>
      </c>
      <c r="P72" s="2">
        <f t="shared" si="39"/>
        <v>67.142999999999986</v>
      </c>
      <c r="Q72" s="2">
        <f t="shared" si="39"/>
        <v>33.488000000000007</v>
      </c>
      <c r="S72" s="2">
        <f>AVERAGE(S66:S71)</f>
        <v>80.316666666666677</v>
      </c>
      <c r="T72" s="2">
        <f t="shared" ref="T72:AH72" si="40">AVERAGE(T66:T71)</f>
        <v>71.366666666666674</v>
      </c>
      <c r="U72" s="2">
        <f t="shared" si="40"/>
        <v>79.185000000000002</v>
      </c>
      <c r="V72" s="2">
        <f t="shared" si="40"/>
        <v>74.054999999999993</v>
      </c>
      <c r="W72" s="2">
        <f t="shared" si="40"/>
        <v>72.874999999999986</v>
      </c>
      <c r="X72" s="2">
        <f t="shared" si="40"/>
        <v>80.100000000000009</v>
      </c>
      <c r="Y72" s="2">
        <f t="shared" si="40"/>
        <v>76.221666666666664</v>
      </c>
      <c r="Z72" s="2">
        <f t="shared" si="40"/>
        <v>69.316666666666663</v>
      </c>
      <c r="AA72" s="2">
        <f t="shared" si="40"/>
        <v>70.663333333333341</v>
      </c>
      <c r="AB72" s="2">
        <f t="shared" si="40"/>
        <v>78.74166666666666</v>
      </c>
      <c r="AC72" s="2">
        <f t="shared" si="40"/>
        <v>79.185000000000002</v>
      </c>
      <c r="AD72" s="2">
        <f t="shared" si="40"/>
        <v>62.136666666666663</v>
      </c>
      <c r="AE72" s="2">
        <f t="shared" si="40"/>
        <v>70.660833333333343</v>
      </c>
      <c r="AF72" s="2">
        <f t="shared" si="40"/>
        <v>17.046666666666667</v>
      </c>
      <c r="AG72" s="2">
        <f t="shared" si="40"/>
        <v>70.663333333333341</v>
      </c>
      <c r="AH72" s="2">
        <f t="shared" si="40"/>
        <v>41.316666666666663</v>
      </c>
    </row>
    <row r="74" spans="1:34" x14ac:dyDescent="0.25">
      <c r="B74" s="2">
        <f>AVERAGE(B50,B61,B72)</f>
        <v>75.518333333333331</v>
      </c>
      <c r="C74" s="2">
        <f t="shared" ref="C74" si="41">AVERAGE(C50,C61,C72)</f>
        <v>70.876666666666665</v>
      </c>
      <c r="D74" s="2">
        <f t="shared" ref="D74" si="42">AVERAGE(D50,D61,D72)</f>
        <v>72.188333333333333</v>
      </c>
      <c r="E74" s="2">
        <f t="shared" ref="E74" si="43">AVERAGE(E50,E61,E72)</f>
        <v>70.991666666666674</v>
      </c>
      <c r="F74" s="2">
        <f t="shared" ref="F74" si="44">AVERAGE(F50,F61,F72)</f>
        <v>73.13366666666667</v>
      </c>
      <c r="G74" s="2">
        <f t="shared" ref="G74" si="45">AVERAGE(G50,G61,G72)</f>
        <v>74.075000000000003</v>
      </c>
      <c r="H74" s="2">
        <f t="shared" ref="H74" si="46">AVERAGE(H50,H61,H72)</f>
        <v>73.048000000000002</v>
      </c>
      <c r="I74" s="2">
        <f t="shared" ref="I74" si="47">AVERAGE(I50,I61,I72)</f>
        <v>63.566333333333326</v>
      </c>
      <c r="J74" s="2">
        <f t="shared" ref="J74" si="48">AVERAGE(J50,J61,J72)</f>
        <v>67.021999999999991</v>
      </c>
      <c r="K74" s="2">
        <f t="shared" ref="K74" si="49">AVERAGE(K50,K61,K72)</f>
        <v>74.793333333333337</v>
      </c>
      <c r="L74" s="2">
        <f t="shared" ref="L74" si="50">AVERAGE(L50,L61,L72)</f>
        <v>72.188333333333333</v>
      </c>
      <c r="M74" s="2">
        <f t="shared" ref="M74" si="51">AVERAGE(M50,M61,M72)</f>
        <v>61.855333333333327</v>
      </c>
      <c r="N74" s="2">
        <f t="shared" ref="N74" si="52">AVERAGE(N50,N61,N72)</f>
        <v>67.021833333333333</v>
      </c>
      <c r="O74" s="2">
        <f t="shared" ref="O74" si="53">AVERAGE(O50,O61,O72)</f>
        <v>15.896333333333333</v>
      </c>
      <c r="P74" s="2">
        <f t="shared" ref="P74" si="54">AVERAGE(P50,P61,P72)</f>
        <v>67.021999999999991</v>
      </c>
      <c r="Q74" s="2">
        <f t="shared" ref="Q74" si="55">AVERAGE(Q50,Q61,Q72)</f>
        <v>32.552666666666674</v>
      </c>
      <c r="S74" s="2">
        <f>AVERAGE(S50,S61,S72)</f>
        <v>79.36055555555555</v>
      </c>
      <c r="T74" s="2">
        <f t="shared" ref="T74" si="56">AVERAGE(T50,T61,T72)</f>
        <v>72.231666666666669</v>
      </c>
      <c r="U74" s="2">
        <f t="shared" ref="U74" si="57">AVERAGE(U50,U61,U72)</f>
        <v>77.706111111111113</v>
      </c>
      <c r="V74" s="2">
        <f t="shared" ref="V74" si="58">AVERAGE(V50,V61,V72)</f>
        <v>73.663888888888891</v>
      </c>
      <c r="W74" s="2">
        <f t="shared" ref="W74" si="59">AVERAGE(W50,W61,W72)</f>
        <v>73.594444444444434</v>
      </c>
      <c r="X74" s="2">
        <f t="shared" ref="X74" si="60">AVERAGE(X50,X61,X72)</f>
        <v>78.720555555555563</v>
      </c>
      <c r="Y74" s="2">
        <f t="shared" ref="Y74" si="61">AVERAGE(Y50,Y61,Y72)</f>
        <v>75.912777777777777</v>
      </c>
      <c r="Z74" s="2">
        <f t="shared" ref="Z74" si="62">AVERAGE(Z50,Z61,Z72)</f>
        <v>69.248333333333335</v>
      </c>
      <c r="AA74" s="2">
        <f t="shared" ref="AA74" si="63">AVERAGE(AA50,AA61,AA72)</f>
        <v>70.643888888888895</v>
      </c>
      <c r="AB74" s="2">
        <f t="shared" ref="AB74" si="64">AVERAGE(AB50,AB61,AB72)</f>
        <v>78.680555555555557</v>
      </c>
      <c r="AC74" s="2">
        <f t="shared" ref="AC74" si="65">AVERAGE(AC50,AC61,AC72)</f>
        <v>77.706111111111113</v>
      </c>
      <c r="AD74" s="2">
        <f t="shared" ref="AD74" si="66">AVERAGE(AD50,AD61,AD72)</f>
        <v>63.581111111111113</v>
      </c>
      <c r="AE74" s="2">
        <f>AVERAGE(AE50,AE61,AE72)</f>
        <v>70.643611111111113</v>
      </c>
      <c r="AF74" s="2">
        <f t="shared" ref="AF74" si="67">AVERAGE(AF50,AF61,AF72)</f>
        <v>14.259444444444446</v>
      </c>
      <c r="AG74" s="2">
        <f t="shared" ref="AG74" si="68">AVERAGE(AG50,AG61,AG72)</f>
        <v>70.643888888888895</v>
      </c>
      <c r="AH74" s="2">
        <f t="shared" ref="AH74" si="69">AVERAGE(AH50,AH61,AH72)</f>
        <v>41.269444444444439</v>
      </c>
    </row>
    <row r="75" spans="1:34" x14ac:dyDescent="0.25">
      <c r="B75" s="2">
        <f>_xlfn.STDEV.S(B50,B61,B72)</f>
        <v>1.0123617601101567</v>
      </c>
      <c r="C75" s="2">
        <f t="shared" ref="C75:Q75" si="70">_xlfn.STDEV.S(C50,C61,C72)</f>
        <v>2.3786639807533376</v>
      </c>
      <c r="D75" s="2">
        <f t="shared" si="70"/>
        <v>5.7438072158920255</v>
      </c>
      <c r="E75" s="2">
        <f t="shared" si="70"/>
        <v>2.8061996246406458</v>
      </c>
      <c r="F75" s="2">
        <f t="shared" si="70"/>
        <v>3.3957774269426615</v>
      </c>
      <c r="G75" s="2">
        <f t="shared" si="70"/>
        <v>5.2522601801510245</v>
      </c>
      <c r="H75" s="2">
        <f t="shared" si="70"/>
        <v>0.84843149399348217</v>
      </c>
      <c r="I75" s="2">
        <f t="shared" si="70"/>
        <v>1.3480123639393482</v>
      </c>
      <c r="J75" s="2">
        <f t="shared" si="70"/>
        <v>0.99503316527641261</v>
      </c>
      <c r="K75" s="2">
        <f t="shared" si="70"/>
        <v>0.90418047608502317</v>
      </c>
      <c r="L75" s="2">
        <f t="shared" si="70"/>
        <v>5.7438072158920255</v>
      </c>
      <c r="M75" s="2">
        <f t="shared" si="70"/>
        <v>7.4726658116988771</v>
      </c>
      <c r="N75" s="2">
        <f t="shared" si="70"/>
        <v>0.99529698247977672</v>
      </c>
      <c r="O75" s="2">
        <f t="shared" si="70"/>
        <v>4.2863406693044475</v>
      </c>
      <c r="P75" s="2">
        <f t="shared" si="70"/>
        <v>0.99503316527641261</v>
      </c>
      <c r="Q75" s="2">
        <f t="shared" si="70"/>
        <v>1.5572528161263155</v>
      </c>
      <c r="S75" s="2">
        <f>_xlfn.STDEV.S(S50,S61,S72)</f>
        <v>1.5042369174115218</v>
      </c>
      <c r="T75" s="2">
        <f t="shared" ref="T75:AH75" si="71">_xlfn.STDEV.S(T50,T61,T72)</f>
        <v>1.0808651370288684</v>
      </c>
      <c r="U75" s="2">
        <f t="shared" si="71"/>
        <v>1.2865212928813292</v>
      </c>
      <c r="V75" s="2">
        <f t="shared" si="71"/>
        <v>0.39420219478126689</v>
      </c>
      <c r="W75" s="2">
        <f t="shared" si="71"/>
        <v>0.6231825426642591</v>
      </c>
      <c r="X75" s="2">
        <f t="shared" si="71"/>
        <v>1.3327543881973434</v>
      </c>
      <c r="Y75" s="2">
        <f t="shared" si="71"/>
        <v>0.49514681698499058</v>
      </c>
      <c r="Z75" s="2">
        <f t="shared" si="71"/>
        <v>0.27559531523191722</v>
      </c>
      <c r="AA75" s="2">
        <f t="shared" si="71"/>
        <v>0.17497883469892728</v>
      </c>
      <c r="AB75" s="2">
        <f t="shared" si="71"/>
        <v>1.680833402192466</v>
      </c>
      <c r="AC75" s="2">
        <f t="shared" si="71"/>
        <v>1.2865212928813292</v>
      </c>
      <c r="AD75" s="2">
        <f t="shared" si="71"/>
        <v>1.3363064075334028</v>
      </c>
      <c r="AE75" s="2">
        <f t="shared" si="71"/>
        <v>0.17480412318215907</v>
      </c>
      <c r="AF75" s="2">
        <f t="shared" si="71"/>
        <v>2.4452415998181998</v>
      </c>
      <c r="AG75" s="2">
        <f t="shared" si="71"/>
        <v>0.17497883469892728</v>
      </c>
      <c r="AH75" s="2">
        <f t="shared" si="71"/>
        <v>0.37805177971826498</v>
      </c>
    </row>
    <row r="77" spans="1:34" x14ac:dyDescent="0.25">
      <c r="A77" s="1" t="s">
        <v>76</v>
      </c>
      <c r="B77">
        <v>79.38</v>
      </c>
      <c r="C77">
        <v>78.91</v>
      </c>
      <c r="D77">
        <v>73.739999999999995</v>
      </c>
      <c r="E77">
        <v>75.790000000000006</v>
      </c>
      <c r="F77">
        <v>80.87</v>
      </c>
      <c r="G77">
        <v>76.23</v>
      </c>
      <c r="H77">
        <v>78.48</v>
      </c>
      <c r="I77">
        <v>64.239999999999995</v>
      </c>
      <c r="J77">
        <v>67.03</v>
      </c>
      <c r="K77">
        <v>71.569999999999993</v>
      </c>
      <c r="L77">
        <v>73.739999999999995</v>
      </c>
      <c r="M77">
        <v>60.31</v>
      </c>
      <c r="N77">
        <f>(L77+M77)/2</f>
        <v>67.025000000000006</v>
      </c>
      <c r="O77">
        <v>13.43</v>
      </c>
      <c r="P77">
        <v>67.03</v>
      </c>
      <c r="Q77">
        <v>31</v>
      </c>
    </row>
    <row r="78" spans="1:34" x14ac:dyDescent="0.25">
      <c r="B78">
        <v>87.9</v>
      </c>
      <c r="C78">
        <v>82.97</v>
      </c>
      <c r="D78">
        <v>79.400000000000006</v>
      </c>
      <c r="E78">
        <v>81.040000000000006</v>
      </c>
      <c r="F78">
        <v>84.48</v>
      </c>
      <c r="G78">
        <v>80.33</v>
      </c>
      <c r="H78">
        <v>82.35</v>
      </c>
      <c r="I78">
        <v>70.72</v>
      </c>
      <c r="J78">
        <v>72.2</v>
      </c>
      <c r="K78">
        <v>80.59</v>
      </c>
      <c r="L78">
        <v>79.400000000000006</v>
      </c>
      <c r="M78">
        <v>65</v>
      </c>
      <c r="N78">
        <f t="shared" ref="N78:N86" si="72">(L78+M78)/2</f>
        <v>72.2</v>
      </c>
      <c r="O78">
        <v>14.41</v>
      </c>
      <c r="P78">
        <v>72.2</v>
      </c>
      <c r="Q78">
        <v>42.18</v>
      </c>
    </row>
    <row r="79" spans="1:34" x14ac:dyDescent="0.25">
      <c r="B79">
        <v>68.52</v>
      </c>
      <c r="C79">
        <v>71.48</v>
      </c>
      <c r="D79">
        <v>65.010000000000005</v>
      </c>
      <c r="E79">
        <v>66.760000000000005</v>
      </c>
      <c r="F79">
        <v>75.69</v>
      </c>
      <c r="G79">
        <v>69.430000000000007</v>
      </c>
      <c r="H79">
        <v>72.430000000000007</v>
      </c>
      <c r="I79">
        <v>64.47</v>
      </c>
      <c r="J79">
        <v>66.709999999999994</v>
      </c>
      <c r="K79">
        <v>70.94</v>
      </c>
      <c r="L79">
        <v>65.010000000000005</v>
      </c>
      <c r="M79">
        <v>68.41</v>
      </c>
      <c r="N79">
        <f t="shared" si="72"/>
        <v>66.710000000000008</v>
      </c>
      <c r="O79">
        <v>3.4</v>
      </c>
      <c r="P79">
        <v>66.709999999999994</v>
      </c>
      <c r="Q79">
        <v>31.84</v>
      </c>
    </row>
    <row r="80" spans="1:34" x14ac:dyDescent="0.25">
      <c r="B80">
        <v>89.76</v>
      </c>
      <c r="C80">
        <v>85.07</v>
      </c>
      <c r="D80">
        <v>71.010000000000005</v>
      </c>
      <c r="E80">
        <v>77.099999999999994</v>
      </c>
      <c r="F80">
        <v>86</v>
      </c>
      <c r="G80">
        <v>70.489999999999995</v>
      </c>
      <c r="H80">
        <v>77.48</v>
      </c>
      <c r="I80">
        <v>68.19</v>
      </c>
      <c r="J80">
        <v>72.459999999999994</v>
      </c>
      <c r="K80">
        <v>79.650000000000006</v>
      </c>
      <c r="L80">
        <v>71.010000000000005</v>
      </c>
      <c r="M80">
        <v>73.91</v>
      </c>
      <c r="N80">
        <f t="shared" si="72"/>
        <v>72.460000000000008</v>
      </c>
      <c r="O80">
        <v>2.9</v>
      </c>
      <c r="P80">
        <v>72.459999999999994</v>
      </c>
      <c r="Q80">
        <v>40.39</v>
      </c>
    </row>
    <row r="81" spans="2:34" x14ac:dyDescent="0.25">
      <c r="B81">
        <v>68.86</v>
      </c>
      <c r="C81">
        <v>76.69</v>
      </c>
      <c r="D81">
        <v>59.04</v>
      </c>
      <c r="E81">
        <v>63.56</v>
      </c>
      <c r="F81">
        <v>80.87</v>
      </c>
      <c r="G81">
        <v>59.24</v>
      </c>
      <c r="H81">
        <v>68.38</v>
      </c>
      <c r="I81">
        <v>64.510000000000005</v>
      </c>
      <c r="J81">
        <v>70.260000000000005</v>
      </c>
      <c r="K81">
        <v>75.23</v>
      </c>
      <c r="L81">
        <v>59.04</v>
      </c>
      <c r="M81">
        <v>81.48</v>
      </c>
      <c r="N81">
        <f t="shared" si="72"/>
        <v>70.260000000000005</v>
      </c>
      <c r="O81">
        <v>22.44</v>
      </c>
      <c r="P81">
        <v>70.260000000000005</v>
      </c>
      <c r="Q81">
        <v>37</v>
      </c>
      <c r="S81">
        <v>83.45</v>
      </c>
      <c r="T81">
        <v>76.48</v>
      </c>
      <c r="U81">
        <v>77.77</v>
      </c>
      <c r="V81">
        <v>76.77</v>
      </c>
      <c r="W81">
        <v>77.23</v>
      </c>
      <c r="X81">
        <v>78.28</v>
      </c>
      <c r="Y81">
        <v>77.75</v>
      </c>
      <c r="Z81">
        <v>69.75</v>
      </c>
      <c r="AA81">
        <v>70.64</v>
      </c>
      <c r="AB81">
        <v>79.08</v>
      </c>
      <c r="AC81">
        <v>77.77</v>
      </c>
      <c r="AD81">
        <v>63.51</v>
      </c>
      <c r="AE81">
        <f>(AC81+AD81)/2</f>
        <v>70.64</v>
      </c>
      <c r="AF81">
        <v>14.26</v>
      </c>
      <c r="AG81">
        <v>70.64</v>
      </c>
      <c r="AH81">
        <v>40.71</v>
      </c>
    </row>
    <row r="82" spans="2:34" x14ac:dyDescent="0.25">
      <c r="B82">
        <v>58.83</v>
      </c>
      <c r="C82">
        <v>57.19</v>
      </c>
      <c r="D82">
        <v>49</v>
      </c>
      <c r="E82">
        <v>63.36</v>
      </c>
      <c r="F82">
        <v>66.36</v>
      </c>
      <c r="G82">
        <v>58.2</v>
      </c>
      <c r="H82">
        <v>62.01</v>
      </c>
      <c r="I82">
        <v>58.27</v>
      </c>
      <c r="J82">
        <v>59.08</v>
      </c>
      <c r="K82">
        <v>64.17</v>
      </c>
      <c r="L82">
        <v>49</v>
      </c>
      <c r="M82">
        <v>69.17</v>
      </c>
      <c r="N82">
        <f t="shared" si="72"/>
        <v>59.085000000000001</v>
      </c>
      <c r="O82">
        <v>20.170000000000002</v>
      </c>
      <c r="P82">
        <v>59.08</v>
      </c>
      <c r="Q82">
        <v>18.22</v>
      </c>
      <c r="S82">
        <v>77.650000000000006</v>
      </c>
      <c r="T82">
        <v>72.61</v>
      </c>
      <c r="U82">
        <v>73.59</v>
      </c>
      <c r="V82">
        <v>73.06</v>
      </c>
      <c r="W82">
        <v>75</v>
      </c>
      <c r="X82">
        <v>76.02</v>
      </c>
      <c r="Y82">
        <v>75.510000000000005</v>
      </c>
      <c r="Z82">
        <v>66.19</v>
      </c>
      <c r="AA82">
        <v>65.94</v>
      </c>
      <c r="AB82">
        <v>72</v>
      </c>
      <c r="AC82">
        <v>73.59</v>
      </c>
      <c r="AD82">
        <v>58.28</v>
      </c>
      <c r="AE82">
        <f t="shared" ref="AE82:AE86" si="73">(AC82+AD82)/2</f>
        <v>65.935000000000002</v>
      </c>
      <c r="AF82">
        <v>15.32</v>
      </c>
      <c r="AG82">
        <v>65.94</v>
      </c>
      <c r="AH82">
        <v>32.58</v>
      </c>
    </row>
    <row r="83" spans="2:34" x14ac:dyDescent="0.25">
      <c r="B83">
        <v>89.12</v>
      </c>
      <c r="C83">
        <v>84.35</v>
      </c>
      <c r="D83">
        <v>65.41</v>
      </c>
      <c r="E83">
        <v>72.75</v>
      </c>
      <c r="F83">
        <v>84.78</v>
      </c>
      <c r="G83">
        <v>63.93</v>
      </c>
      <c r="H83">
        <v>72.900000000000006</v>
      </c>
      <c r="I83">
        <v>65.14</v>
      </c>
      <c r="J83">
        <v>71.430000000000007</v>
      </c>
      <c r="K83">
        <v>80.78</v>
      </c>
      <c r="L83">
        <v>65.41</v>
      </c>
      <c r="M83">
        <v>77.45</v>
      </c>
      <c r="N83">
        <f t="shared" si="72"/>
        <v>71.430000000000007</v>
      </c>
      <c r="O83">
        <v>12.04</v>
      </c>
      <c r="P83">
        <v>71.430000000000007</v>
      </c>
      <c r="Q83">
        <v>37.76</v>
      </c>
      <c r="S83">
        <v>73.8</v>
      </c>
      <c r="T83">
        <v>70.17</v>
      </c>
      <c r="U83">
        <v>73.83</v>
      </c>
      <c r="V83">
        <v>71.319999999999993</v>
      </c>
      <c r="W83">
        <v>74.05</v>
      </c>
      <c r="X83">
        <v>76.47</v>
      </c>
      <c r="Y83">
        <v>75.239999999999995</v>
      </c>
      <c r="Z83">
        <v>71.61</v>
      </c>
      <c r="AA83">
        <v>72.7</v>
      </c>
      <c r="AB83">
        <v>77.91</v>
      </c>
      <c r="AC83">
        <v>73.83</v>
      </c>
      <c r="AD83">
        <v>71.569999999999993</v>
      </c>
      <c r="AE83">
        <f t="shared" si="73"/>
        <v>72.699999999999989</v>
      </c>
      <c r="AF83">
        <v>2.2599999999999998</v>
      </c>
      <c r="AG83">
        <v>72.7</v>
      </c>
      <c r="AH83">
        <v>44.72</v>
      </c>
    </row>
    <row r="84" spans="2:34" x14ac:dyDescent="0.25">
      <c r="B84">
        <v>72.16</v>
      </c>
      <c r="C84">
        <v>75.02</v>
      </c>
      <c r="D84">
        <v>58.43</v>
      </c>
      <c r="E84">
        <v>64.459999999999994</v>
      </c>
      <c r="F84">
        <v>80</v>
      </c>
      <c r="G84">
        <v>61.15</v>
      </c>
      <c r="H84">
        <v>69.31</v>
      </c>
      <c r="I84">
        <v>65.08</v>
      </c>
      <c r="J84">
        <v>69.94</v>
      </c>
      <c r="K84">
        <v>77.989999999999995</v>
      </c>
      <c r="L84">
        <v>58.43</v>
      </c>
      <c r="M84">
        <v>81.45</v>
      </c>
      <c r="N84">
        <f t="shared" si="72"/>
        <v>69.94</v>
      </c>
      <c r="O84">
        <v>23.02</v>
      </c>
      <c r="P84">
        <v>69.94</v>
      </c>
      <c r="Q84">
        <v>35.97</v>
      </c>
      <c r="S84">
        <v>83.45</v>
      </c>
      <c r="T84">
        <v>76.03</v>
      </c>
      <c r="U84">
        <v>79.56</v>
      </c>
      <c r="V84">
        <v>76.92</v>
      </c>
      <c r="W84">
        <v>76.19</v>
      </c>
      <c r="X84">
        <v>79.64</v>
      </c>
      <c r="Y84">
        <v>77.88</v>
      </c>
      <c r="Z84">
        <v>70.13</v>
      </c>
      <c r="AA84">
        <v>71.680000000000007</v>
      </c>
      <c r="AB84">
        <v>78.25</v>
      </c>
      <c r="AC84">
        <v>79.56</v>
      </c>
      <c r="AD84">
        <v>63.8</v>
      </c>
      <c r="AE84">
        <f t="shared" si="73"/>
        <v>71.680000000000007</v>
      </c>
      <c r="AF84">
        <v>15.76</v>
      </c>
      <c r="AG84">
        <v>71.680000000000007</v>
      </c>
      <c r="AH84">
        <v>42.91</v>
      </c>
    </row>
    <row r="85" spans="2:34" x14ac:dyDescent="0.25">
      <c r="B85">
        <v>65.650000000000006</v>
      </c>
      <c r="C85">
        <v>66.62</v>
      </c>
      <c r="D85">
        <v>55.48</v>
      </c>
      <c r="E85">
        <v>60.05</v>
      </c>
      <c r="F85">
        <v>74.510000000000005</v>
      </c>
      <c r="G85">
        <v>62.3</v>
      </c>
      <c r="H85">
        <v>67.86</v>
      </c>
      <c r="I85">
        <v>65.81</v>
      </c>
      <c r="J85">
        <v>67.040000000000006</v>
      </c>
      <c r="K85">
        <v>68.91</v>
      </c>
      <c r="L85">
        <v>55.48</v>
      </c>
      <c r="M85">
        <v>78.59</v>
      </c>
      <c r="N85">
        <f t="shared" si="72"/>
        <v>67.034999999999997</v>
      </c>
      <c r="O85">
        <v>23.11</v>
      </c>
      <c r="P85">
        <v>67.040000000000006</v>
      </c>
      <c r="Q85">
        <v>33.64</v>
      </c>
      <c r="S85">
        <v>72.55</v>
      </c>
      <c r="T85">
        <v>70.37</v>
      </c>
      <c r="U85">
        <v>80.23</v>
      </c>
      <c r="V85">
        <v>74.2</v>
      </c>
      <c r="W85">
        <v>71.59</v>
      </c>
      <c r="X85">
        <v>82.35</v>
      </c>
      <c r="Y85">
        <v>76.599999999999994</v>
      </c>
      <c r="Z85">
        <v>70.91</v>
      </c>
      <c r="AA85">
        <v>71.900000000000006</v>
      </c>
      <c r="AB85">
        <v>78.11</v>
      </c>
      <c r="AC85">
        <v>80.23</v>
      </c>
      <c r="AD85">
        <v>63.56</v>
      </c>
      <c r="AE85">
        <f t="shared" si="73"/>
        <v>71.89500000000001</v>
      </c>
      <c r="AF85">
        <v>16.670000000000002</v>
      </c>
      <c r="AG85">
        <v>71.900000000000006</v>
      </c>
      <c r="AH85">
        <v>45.03</v>
      </c>
    </row>
    <row r="86" spans="2:34" x14ac:dyDescent="0.25">
      <c r="B86">
        <v>70.67</v>
      </c>
      <c r="C86">
        <v>65.63</v>
      </c>
      <c r="D86">
        <v>63.27</v>
      </c>
      <c r="E86">
        <v>62.64</v>
      </c>
      <c r="F86">
        <v>67.209999999999994</v>
      </c>
      <c r="G86">
        <v>64.819999999999993</v>
      </c>
      <c r="H86">
        <v>66</v>
      </c>
      <c r="I86">
        <v>63.81</v>
      </c>
      <c r="J86">
        <v>65.52</v>
      </c>
      <c r="K86">
        <v>71.83</v>
      </c>
      <c r="L86">
        <v>63.27</v>
      </c>
      <c r="M86">
        <v>67.760000000000005</v>
      </c>
      <c r="N86">
        <f t="shared" si="72"/>
        <v>65.515000000000001</v>
      </c>
      <c r="O86">
        <v>4.49</v>
      </c>
      <c r="P86">
        <v>65.52</v>
      </c>
      <c r="Q86">
        <v>31.09</v>
      </c>
      <c r="S86">
        <v>74.650000000000006</v>
      </c>
      <c r="T86">
        <v>65.7</v>
      </c>
      <c r="U86">
        <v>74.959999999999994</v>
      </c>
      <c r="V86">
        <v>68.349999999999994</v>
      </c>
      <c r="W86">
        <v>69.34</v>
      </c>
      <c r="X86">
        <v>76.06</v>
      </c>
      <c r="Y86">
        <v>72.540000000000006</v>
      </c>
      <c r="Z86">
        <v>66.98</v>
      </c>
      <c r="AA86">
        <v>68.989999999999995</v>
      </c>
      <c r="AB86">
        <v>76.12</v>
      </c>
      <c r="AC86">
        <v>74.959999999999994</v>
      </c>
      <c r="AD86">
        <v>63.02</v>
      </c>
      <c r="AE86">
        <f t="shared" si="73"/>
        <v>68.989999999999995</v>
      </c>
      <c r="AF86">
        <v>11.94</v>
      </c>
      <c r="AG86">
        <v>68.989999999999995</v>
      </c>
      <c r="AH86">
        <v>37.299999999999997</v>
      </c>
    </row>
    <row r="87" spans="2:34" x14ac:dyDescent="0.25">
      <c r="B87" s="2">
        <f>AVERAGE(B77:B86)</f>
        <v>75.084999999999994</v>
      </c>
      <c r="C87" s="2">
        <f t="shared" ref="C87:Q87" si="74">AVERAGE(C77:C86)</f>
        <v>74.393000000000001</v>
      </c>
      <c r="D87" s="2">
        <f t="shared" si="74"/>
        <v>63.978999999999999</v>
      </c>
      <c r="E87" s="2">
        <f t="shared" si="74"/>
        <v>68.751000000000005</v>
      </c>
      <c r="F87" s="2">
        <f t="shared" si="74"/>
        <v>78.077000000000012</v>
      </c>
      <c r="G87" s="2">
        <f t="shared" si="74"/>
        <v>66.611999999999995</v>
      </c>
      <c r="H87" s="2">
        <f t="shared" si="74"/>
        <v>71.72</v>
      </c>
      <c r="I87" s="2">
        <f t="shared" si="74"/>
        <v>65.024000000000001</v>
      </c>
      <c r="J87" s="2">
        <f t="shared" si="74"/>
        <v>68.166999999999987</v>
      </c>
      <c r="K87" s="2">
        <f t="shared" si="74"/>
        <v>74.166000000000011</v>
      </c>
      <c r="L87" s="2">
        <f t="shared" si="74"/>
        <v>63.978999999999999</v>
      </c>
      <c r="M87" s="2">
        <f t="shared" si="74"/>
        <v>72.353000000000009</v>
      </c>
      <c r="N87" s="2">
        <f t="shared" si="74"/>
        <v>68.165999999999997</v>
      </c>
      <c r="O87" s="2">
        <f t="shared" si="74"/>
        <v>13.940999999999999</v>
      </c>
      <c r="P87" s="2">
        <f t="shared" si="74"/>
        <v>68.166999999999987</v>
      </c>
      <c r="Q87" s="2">
        <f t="shared" si="74"/>
        <v>33.908999999999999</v>
      </c>
      <c r="S87" s="2">
        <f>AVERAGE(S81:S86)</f>
        <v>77.591666666666683</v>
      </c>
      <c r="T87" s="2">
        <f t="shared" ref="T87:AH87" si="75">AVERAGE(T81:T86)</f>
        <v>71.893333333333331</v>
      </c>
      <c r="U87" s="2">
        <f t="shared" si="75"/>
        <v>76.656666666666666</v>
      </c>
      <c r="V87" s="2">
        <f t="shared" si="75"/>
        <v>73.436666666666667</v>
      </c>
      <c r="W87" s="2">
        <f t="shared" si="75"/>
        <v>73.90000000000002</v>
      </c>
      <c r="X87" s="2">
        <f t="shared" si="75"/>
        <v>78.13666666666667</v>
      </c>
      <c r="Y87" s="2">
        <f t="shared" si="75"/>
        <v>75.92</v>
      </c>
      <c r="Z87" s="2">
        <f t="shared" si="75"/>
        <v>69.26166666666667</v>
      </c>
      <c r="AA87" s="2">
        <f t="shared" si="75"/>
        <v>70.308333333333337</v>
      </c>
      <c r="AB87" s="2">
        <f t="shared" si="75"/>
        <v>76.911666666666676</v>
      </c>
      <c r="AC87" s="2">
        <f t="shared" si="75"/>
        <v>76.656666666666666</v>
      </c>
      <c r="AD87" s="2">
        <f t="shared" si="75"/>
        <v>63.956666666666656</v>
      </c>
      <c r="AE87" s="2">
        <f t="shared" si="75"/>
        <v>70.306666666666672</v>
      </c>
      <c r="AF87" s="2">
        <f t="shared" si="75"/>
        <v>12.701666666666666</v>
      </c>
      <c r="AG87" s="2">
        <f t="shared" si="75"/>
        <v>70.308333333333337</v>
      </c>
      <c r="AH87" s="2">
        <f t="shared" si="75"/>
        <v>40.541666666666664</v>
      </c>
    </row>
    <row r="88" spans="2:34" x14ac:dyDescent="0.25">
      <c r="B88">
        <v>86.44</v>
      </c>
      <c r="C88">
        <v>83.16</v>
      </c>
      <c r="D88">
        <v>72.72</v>
      </c>
      <c r="E88">
        <v>77.459999999999994</v>
      </c>
      <c r="F88">
        <v>84.91</v>
      </c>
      <c r="G88">
        <v>73.77</v>
      </c>
      <c r="H88">
        <v>78.95</v>
      </c>
      <c r="I88">
        <v>68.48</v>
      </c>
      <c r="J88">
        <v>71.53</v>
      </c>
      <c r="K88">
        <v>80.25</v>
      </c>
      <c r="L88">
        <v>72.72</v>
      </c>
      <c r="M88">
        <v>70.34</v>
      </c>
      <c r="N88">
        <f>(L88+M88)/2</f>
        <v>71.53</v>
      </c>
      <c r="O88">
        <v>2.39</v>
      </c>
      <c r="P88">
        <v>71.53</v>
      </c>
      <c r="Q88">
        <v>39.21</v>
      </c>
    </row>
    <row r="89" spans="2:34" x14ac:dyDescent="0.25">
      <c r="B89">
        <v>86.46</v>
      </c>
      <c r="C89">
        <v>79.040000000000006</v>
      </c>
      <c r="D89">
        <v>82.6</v>
      </c>
      <c r="E89">
        <v>80.17</v>
      </c>
      <c r="F89">
        <v>80.16</v>
      </c>
      <c r="G89">
        <v>82.79</v>
      </c>
      <c r="H89">
        <v>81.45</v>
      </c>
      <c r="I89">
        <v>68.489999999999995</v>
      </c>
      <c r="J89">
        <v>70.260000000000005</v>
      </c>
      <c r="K89">
        <v>77.760000000000005</v>
      </c>
      <c r="L89">
        <v>82.6</v>
      </c>
      <c r="M89">
        <v>57.93</v>
      </c>
      <c r="N89">
        <f t="shared" ref="N89:N97" si="76">(L89+M89)/2</f>
        <v>70.265000000000001</v>
      </c>
      <c r="O89">
        <v>24.67</v>
      </c>
      <c r="P89">
        <v>70.260000000000005</v>
      </c>
      <c r="Q89">
        <v>38.71</v>
      </c>
    </row>
    <row r="90" spans="2:34" x14ac:dyDescent="0.25">
      <c r="B90">
        <v>68.209999999999994</v>
      </c>
      <c r="C90">
        <v>66.78</v>
      </c>
      <c r="D90">
        <v>72.94</v>
      </c>
      <c r="E90">
        <v>68.12</v>
      </c>
      <c r="F90">
        <v>70</v>
      </c>
      <c r="G90">
        <v>75.8</v>
      </c>
      <c r="H90">
        <v>72.78</v>
      </c>
      <c r="I90">
        <v>61.9</v>
      </c>
      <c r="J90">
        <v>64.98</v>
      </c>
      <c r="K90">
        <v>72.31</v>
      </c>
      <c r="L90">
        <v>72.94</v>
      </c>
      <c r="M90">
        <v>57.02</v>
      </c>
      <c r="N90">
        <f t="shared" si="76"/>
        <v>64.98</v>
      </c>
      <c r="O90">
        <v>15.92</v>
      </c>
      <c r="P90">
        <v>64.98</v>
      </c>
      <c r="Q90">
        <v>27.33</v>
      </c>
    </row>
    <row r="91" spans="2:34" x14ac:dyDescent="0.25">
      <c r="B91">
        <v>83.1</v>
      </c>
      <c r="C91">
        <v>79.19</v>
      </c>
      <c r="D91">
        <v>68.73</v>
      </c>
      <c r="E91">
        <v>73.27</v>
      </c>
      <c r="F91">
        <v>80.95</v>
      </c>
      <c r="G91">
        <v>69.67</v>
      </c>
      <c r="H91">
        <v>74.89</v>
      </c>
      <c r="I91">
        <v>63.96</v>
      </c>
      <c r="J91">
        <v>67.510000000000005</v>
      </c>
      <c r="K91">
        <v>73.37</v>
      </c>
      <c r="L91">
        <v>68.73</v>
      </c>
      <c r="M91">
        <v>66.3</v>
      </c>
      <c r="N91">
        <f t="shared" si="76"/>
        <v>67.515000000000001</v>
      </c>
      <c r="O91">
        <v>2.4300000000000002</v>
      </c>
      <c r="P91">
        <v>67.510000000000005</v>
      </c>
      <c r="Q91">
        <v>30.97</v>
      </c>
    </row>
    <row r="92" spans="2:34" x14ac:dyDescent="0.25">
      <c r="B92">
        <v>74.400000000000006</v>
      </c>
      <c r="C92">
        <v>70.97</v>
      </c>
      <c r="D92">
        <v>72.12</v>
      </c>
      <c r="E92">
        <v>67.69</v>
      </c>
      <c r="F92">
        <v>71.25</v>
      </c>
      <c r="G92">
        <v>72.61</v>
      </c>
      <c r="H92">
        <v>71.92</v>
      </c>
      <c r="I92">
        <v>64.900000000000006</v>
      </c>
      <c r="J92">
        <v>70.37</v>
      </c>
      <c r="K92">
        <v>78.069999999999993</v>
      </c>
      <c r="L92">
        <v>72.12</v>
      </c>
      <c r="M92">
        <v>68.61</v>
      </c>
      <c r="N92">
        <f t="shared" si="76"/>
        <v>70.365000000000009</v>
      </c>
      <c r="O92">
        <v>3.51</v>
      </c>
      <c r="P92">
        <v>70.37</v>
      </c>
      <c r="Q92">
        <v>37.200000000000003</v>
      </c>
      <c r="S92">
        <v>82.59</v>
      </c>
      <c r="T92">
        <v>76.38</v>
      </c>
      <c r="U92">
        <v>79.209999999999994</v>
      </c>
      <c r="V92">
        <v>77.319999999999993</v>
      </c>
      <c r="W92">
        <v>76.86</v>
      </c>
      <c r="X92">
        <v>79.64</v>
      </c>
      <c r="Y92">
        <v>78.22</v>
      </c>
      <c r="Z92">
        <v>68.62</v>
      </c>
      <c r="AA92">
        <v>69.400000000000006</v>
      </c>
      <c r="AB92">
        <v>79.38</v>
      </c>
      <c r="AC92">
        <v>79.209999999999994</v>
      </c>
      <c r="AD92">
        <v>59.59</v>
      </c>
      <c r="AE92">
        <f>(AC92+AD92)/2</f>
        <v>69.400000000000006</v>
      </c>
      <c r="AF92">
        <v>19.61</v>
      </c>
      <c r="AG92">
        <v>69.400000000000006</v>
      </c>
      <c r="AH92">
        <v>38.82</v>
      </c>
    </row>
    <row r="93" spans="2:34" x14ac:dyDescent="0.25">
      <c r="B93">
        <v>65.06</v>
      </c>
      <c r="C93">
        <v>56.51</v>
      </c>
      <c r="D93">
        <v>71.19</v>
      </c>
      <c r="E93">
        <v>61.89</v>
      </c>
      <c r="F93">
        <v>60.13</v>
      </c>
      <c r="G93">
        <v>77.87</v>
      </c>
      <c r="H93">
        <v>67.86</v>
      </c>
      <c r="I93">
        <v>57.88</v>
      </c>
      <c r="J93">
        <v>60.36</v>
      </c>
      <c r="K93">
        <v>68.680000000000007</v>
      </c>
      <c r="L93">
        <v>71.19</v>
      </c>
      <c r="M93">
        <v>49.52</v>
      </c>
      <c r="N93">
        <f t="shared" si="76"/>
        <v>60.355000000000004</v>
      </c>
      <c r="O93">
        <v>21.68</v>
      </c>
      <c r="P93">
        <v>60.36</v>
      </c>
      <c r="Q93">
        <v>20.84</v>
      </c>
      <c r="S93">
        <v>84.13</v>
      </c>
      <c r="T93">
        <v>76.989999999999995</v>
      </c>
      <c r="U93">
        <v>81.19</v>
      </c>
      <c r="V93">
        <v>78.650000000000006</v>
      </c>
      <c r="W93">
        <v>78.209999999999994</v>
      </c>
      <c r="X93">
        <v>82.81</v>
      </c>
      <c r="Y93">
        <v>80.44</v>
      </c>
      <c r="Z93">
        <v>71.23</v>
      </c>
      <c r="AA93">
        <v>71.14</v>
      </c>
      <c r="AB93">
        <v>80.510000000000005</v>
      </c>
      <c r="AC93">
        <v>81.19</v>
      </c>
      <c r="AD93">
        <v>61.1</v>
      </c>
      <c r="AE93">
        <f t="shared" ref="AE93:AE97" si="77">(AC93+AD93)/2</f>
        <v>71.144999999999996</v>
      </c>
      <c r="AF93">
        <v>20.09</v>
      </c>
      <c r="AG93">
        <v>71.14</v>
      </c>
      <c r="AH93">
        <v>44.33</v>
      </c>
    </row>
    <row r="94" spans="2:34" x14ac:dyDescent="0.25">
      <c r="B94">
        <v>85.62</v>
      </c>
      <c r="C94">
        <v>78.14</v>
      </c>
      <c r="D94">
        <v>90.91</v>
      </c>
      <c r="E94">
        <v>82.45</v>
      </c>
      <c r="F94">
        <v>77.86</v>
      </c>
      <c r="G94">
        <v>89.34</v>
      </c>
      <c r="H94">
        <v>83.21</v>
      </c>
      <c r="I94">
        <v>69.06</v>
      </c>
      <c r="J94">
        <v>71.39</v>
      </c>
      <c r="K94">
        <v>79.650000000000006</v>
      </c>
      <c r="L94">
        <v>90.91</v>
      </c>
      <c r="M94">
        <v>51.86</v>
      </c>
      <c r="N94">
        <f t="shared" si="76"/>
        <v>71.384999999999991</v>
      </c>
      <c r="O94">
        <v>39.049999999999997</v>
      </c>
      <c r="P94">
        <v>71.39</v>
      </c>
      <c r="Q94">
        <v>44.94</v>
      </c>
      <c r="S94">
        <v>74.34</v>
      </c>
      <c r="T94">
        <v>60.05</v>
      </c>
      <c r="U94">
        <v>92.1</v>
      </c>
      <c r="V94">
        <v>69.900000000000006</v>
      </c>
      <c r="W94">
        <v>57.85</v>
      </c>
      <c r="X94">
        <v>91.5</v>
      </c>
      <c r="Y94">
        <v>70.89</v>
      </c>
      <c r="Z94">
        <v>56.77</v>
      </c>
      <c r="AA94">
        <v>64.45</v>
      </c>
      <c r="AB94">
        <v>79.3</v>
      </c>
      <c r="AC94">
        <v>92.1</v>
      </c>
      <c r="AD94">
        <v>36.79</v>
      </c>
      <c r="AE94">
        <f t="shared" si="77"/>
        <v>64.444999999999993</v>
      </c>
      <c r="AF94">
        <v>55.31</v>
      </c>
      <c r="AG94">
        <v>64.45</v>
      </c>
      <c r="AH94">
        <v>29.66</v>
      </c>
    </row>
    <row r="95" spans="2:34" x14ac:dyDescent="0.25">
      <c r="B95">
        <v>66.37</v>
      </c>
      <c r="C95">
        <v>66.47</v>
      </c>
      <c r="D95">
        <v>87.73</v>
      </c>
      <c r="E95">
        <v>71.11</v>
      </c>
      <c r="F95">
        <v>66.180000000000007</v>
      </c>
      <c r="G95">
        <v>85.99</v>
      </c>
      <c r="H95">
        <v>74.790000000000006</v>
      </c>
      <c r="I95">
        <v>62.51</v>
      </c>
      <c r="J95">
        <v>68.47</v>
      </c>
      <c r="K95">
        <v>75.31</v>
      </c>
      <c r="L95">
        <v>87.73</v>
      </c>
      <c r="M95">
        <v>49.22</v>
      </c>
      <c r="N95">
        <f t="shared" si="76"/>
        <v>68.474999999999994</v>
      </c>
      <c r="O95">
        <v>38.51</v>
      </c>
      <c r="P95">
        <v>68.47</v>
      </c>
      <c r="Q95">
        <v>38.159999999999997</v>
      </c>
      <c r="S95">
        <v>87.96</v>
      </c>
      <c r="T95">
        <v>80.12</v>
      </c>
      <c r="U95">
        <v>79.92</v>
      </c>
      <c r="V95">
        <v>79.760000000000005</v>
      </c>
      <c r="W95">
        <v>81.08</v>
      </c>
      <c r="X95">
        <v>81.45</v>
      </c>
      <c r="Y95">
        <v>81.260000000000005</v>
      </c>
      <c r="Z95">
        <v>73.89</v>
      </c>
      <c r="AA95">
        <v>73.91</v>
      </c>
      <c r="AB95">
        <v>83.2</v>
      </c>
      <c r="AC95">
        <v>79.92</v>
      </c>
      <c r="AD95">
        <v>67.900000000000006</v>
      </c>
      <c r="AE95">
        <f t="shared" si="77"/>
        <v>73.91</v>
      </c>
      <c r="AF95">
        <v>12.02</v>
      </c>
      <c r="AG95">
        <v>73.91</v>
      </c>
      <c r="AH95">
        <v>48.6</v>
      </c>
    </row>
    <row r="96" spans="2:34" x14ac:dyDescent="0.25">
      <c r="B96">
        <v>62.52</v>
      </c>
      <c r="C96">
        <v>53.44</v>
      </c>
      <c r="D96">
        <v>89.22</v>
      </c>
      <c r="E96">
        <v>64.89</v>
      </c>
      <c r="F96">
        <v>54.15</v>
      </c>
      <c r="G96">
        <v>90.98</v>
      </c>
      <c r="H96">
        <v>67.89</v>
      </c>
      <c r="I96">
        <v>49.46</v>
      </c>
      <c r="J96">
        <v>58.23</v>
      </c>
      <c r="K96">
        <v>66.599999999999994</v>
      </c>
      <c r="L96">
        <v>89.22</v>
      </c>
      <c r="M96">
        <v>27.24</v>
      </c>
      <c r="N96">
        <f t="shared" si="76"/>
        <v>58.23</v>
      </c>
      <c r="O96">
        <v>61.98</v>
      </c>
      <c r="P96">
        <v>58.23</v>
      </c>
      <c r="Q96">
        <v>15.7</v>
      </c>
      <c r="S96">
        <v>75.569999999999993</v>
      </c>
      <c r="T96">
        <v>67.38</v>
      </c>
      <c r="U96">
        <v>84.23</v>
      </c>
      <c r="V96">
        <v>72.67</v>
      </c>
      <c r="W96">
        <v>67.72</v>
      </c>
      <c r="X96">
        <v>83.66</v>
      </c>
      <c r="Y96">
        <v>74.849999999999994</v>
      </c>
      <c r="Z96">
        <v>69.06</v>
      </c>
      <c r="AA96">
        <v>71.8</v>
      </c>
      <c r="AB96">
        <v>80.53</v>
      </c>
      <c r="AC96">
        <v>84.23</v>
      </c>
      <c r="AD96">
        <v>59.38</v>
      </c>
      <c r="AE96">
        <f t="shared" si="77"/>
        <v>71.805000000000007</v>
      </c>
      <c r="AF96">
        <v>24.85</v>
      </c>
      <c r="AG96">
        <v>71.8</v>
      </c>
      <c r="AH96">
        <v>44.51</v>
      </c>
    </row>
    <row r="97" spans="2:34" x14ac:dyDescent="0.25">
      <c r="B97">
        <v>69.44</v>
      </c>
      <c r="C97">
        <v>54.28</v>
      </c>
      <c r="D97">
        <v>90.68</v>
      </c>
      <c r="E97">
        <v>66.13</v>
      </c>
      <c r="F97">
        <v>54.69</v>
      </c>
      <c r="G97">
        <v>92.09</v>
      </c>
      <c r="H97">
        <v>68.63</v>
      </c>
      <c r="I97">
        <v>50.01</v>
      </c>
      <c r="J97">
        <v>58.89</v>
      </c>
      <c r="K97">
        <v>72.040000000000006</v>
      </c>
      <c r="L97">
        <v>90.68</v>
      </c>
      <c r="M97">
        <v>27.1</v>
      </c>
      <c r="N97">
        <f t="shared" si="76"/>
        <v>58.89</v>
      </c>
      <c r="O97">
        <v>63.58</v>
      </c>
      <c r="P97">
        <v>58.89</v>
      </c>
      <c r="Q97">
        <v>19.77</v>
      </c>
      <c r="S97">
        <v>75.400000000000006</v>
      </c>
      <c r="T97">
        <v>61.37</v>
      </c>
      <c r="U97">
        <v>83.01</v>
      </c>
      <c r="V97">
        <v>67.260000000000005</v>
      </c>
      <c r="W97">
        <v>61.14</v>
      </c>
      <c r="X97">
        <v>81.52</v>
      </c>
      <c r="Y97">
        <v>69.87</v>
      </c>
      <c r="Z97">
        <v>60.79</v>
      </c>
      <c r="AA97">
        <v>66.11</v>
      </c>
      <c r="AB97">
        <v>78.239999999999995</v>
      </c>
      <c r="AC97">
        <v>83.01</v>
      </c>
      <c r="AD97">
        <v>49.21</v>
      </c>
      <c r="AE97">
        <f t="shared" si="77"/>
        <v>66.11</v>
      </c>
      <c r="AF97">
        <v>33.799999999999997</v>
      </c>
      <c r="AG97">
        <v>66.11</v>
      </c>
      <c r="AH97">
        <v>32.72</v>
      </c>
    </row>
    <row r="98" spans="2:34" x14ac:dyDescent="0.25">
      <c r="B98" s="2">
        <f>AVERAGE(B88:B97)</f>
        <v>74.761999999999986</v>
      </c>
      <c r="C98" s="2">
        <f t="shared" ref="C98:Q98" si="78">AVERAGE(C88:C97)</f>
        <v>68.798000000000002</v>
      </c>
      <c r="D98" s="2">
        <f t="shared" si="78"/>
        <v>79.884000000000015</v>
      </c>
      <c r="E98" s="2">
        <f t="shared" si="78"/>
        <v>71.317999999999998</v>
      </c>
      <c r="F98" s="2">
        <f t="shared" si="78"/>
        <v>70.027999999999992</v>
      </c>
      <c r="G98" s="2">
        <f t="shared" si="78"/>
        <v>81.091000000000008</v>
      </c>
      <c r="H98" s="2">
        <f t="shared" si="78"/>
        <v>74.236999999999995</v>
      </c>
      <c r="I98" s="2">
        <f t="shared" si="78"/>
        <v>61.665000000000006</v>
      </c>
      <c r="J98" s="2">
        <f t="shared" si="78"/>
        <v>66.198999999999998</v>
      </c>
      <c r="K98" s="2">
        <f t="shared" si="78"/>
        <v>74.404000000000011</v>
      </c>
      <c r="L98" s="2">
        <f t="shared" si="78"/>
        <v>79.884000000000015</v>
      </c>
      <c r="M98" s="2">
        <f t="shared" si="78"/>
        <v>52.51400000000001</v>
      </c>
      <c r="N98" s="2">
        <f t="shared" si="78"/>
        <v>66.198999999999998</v>
      </c>
      <c r="O98" s="2">
        <f t="shared" si="78"/>
        <v>27.371999999999996</v>
      </c>
      <c r="P98" s="2">
        <f t="shared" si="78"/>
        <v>66.198999999999998</v>
      </c>
      <c r="Q98" s="2">
        <f t="shared" si="78"/>
        <v>31.282999999999998</v>
      </c>
      <c r="S98" s="2">
        <f>AVERAGE(S92:S97)</f>
        <v>79.998333333333335</v>
      </c>
      <c r="T98" s="2">
        <f t="shared" ref="T98:AH98" si="79">AVERAGE(T92:T97)</f>
        <v>70.381666666666675</v>
      </c>
      <c r="U98" s="2">
        <f t="shared" si="79"/>
        <v>83.276666666666657</v>
      </c>
      <c r="V98" s="2">
        <f t="shared" si="79"/>
        <v>74.260000000000005</v>
      </c>
      <c r="W98" s="2">
        <f t="shared" si="79"/>
        <v>70.476666666666674</v>
      </c>
      <c r="X98" s="2">
        <f t="shared" si="79"/>
        <v>83.429999999999993</v>
      </c>
      <c r="Y98" s="2">
        <f t="shared" si="79"/>
        <v>75.921666666666667</v>
      </c>
      <c r="Z98" s="2">
        <f t="shared" si="79"/>
        <v>66.726666666666674</v>
      </c>
      <c r="AA98" s="2">
        <f t="shared" si="79"/>
        <v>69.468333333333334</v>
      </c>
      <c r="AB98" s="2">
        <f t="shared" si="79"/>
        <v>80.193333333333328</v>
      </c>
      <c r="AC98" s="2">
        <f t="shared" si="79"/>
        <v>83.276666666666657</v>
      </c>
      <c r="AD98" s="2">
        <f t="shared" si="79"/>
        <v>55.661666666666662</v>
      </c>
      <c r="AE98" s="2">
        <f t="shared" si="79"/>
        <v>69.469166666666666</v>
      </c>
      <c r="AF98" s="2">
        <f t="shared" si="79"/>
        <v>27.613333333333333</v>
      </c>
      <c r="AG98" s="2">
        <f t="shared" si="79"/>
        <v>69.468333333333334</v>
      </c>
      <c r="AH98" s="2">
        <f t="shared" si="79"/>
        <v>39.773333333333333</v>
      </c>
    </row>
    <row r="99" spans="2:34" x14ac:dyDescent="0.25">
      <c r="B99">
        <v>85.53</v>
      </c>
      <c r="C99">
        <v>79.42</v>
      </c>
      <c r="D99">
        <v>83.51</v>
      </c>
      <c r="E99">
        <v>80.05</v>
      </c>
      <c r="F99">
        <v>79.37</v>
      </c>
      <c r="G99">
        <v>81.97</v>
      </c>
      <c r="H99">
        <v>80.650000000000006</v>
      </c>
      <c r="I99">
        <v>67.8</v>
      </c>
      <c r="J99">
        <v>70.989999999999995</v>
      </c>
      <c r="K99">
        <v>76.23</v>
      </c>
      <c r="L99">
        <v>83.51</v>
      </c>
      <c r="M99">
        <v>58.47</v>
      </c>
      <c r="N99">
        <f>(L99+M99)/2</f>
        <v>70.990000000000009</v>
      </c>
      <c r="O99">
        <v>25.04</v>
      </c>
      <c r="P99">
        <v>70.989999999999995</v>
      </c>
      <c r="Q99">
        <v>39.93</v>
      </c>
    </row>
    <row r="100" spans="2:34" x14ac:dyDescent="0.25">
      <c r="B100">
        <v>91.48</v>
      </c>
      <c r="C100">
        <v>80.58</v>
      </c>
      <c r="D100">
        <v>86.01</v>
      </c>
      <c r="E100">
        <v>80.760000000000005</v>
      </c>
      <c r="F100">
        <v>79.069999999999993</v>
      </c>
      <c r="G100">
        <v>83.61</v>
      </c>
      <c r="H100">
        <v>81.27</v>
      </c>
      <c r="I100">
        <v>69.14</v>
      </c>
      <c r="J100">
        <v>74.489999999999995</v>
      </c>
      <c r="K100">
        <v>82.65</v>
      </c>
      <c r="L100">
        <v>86.01</v>
      </c>
      <c r="M100">
        <v>62.98</v>
      </c>
      <c r="N100">
        <f t="shared" ref="N100:N108" si="80">(L100+M100)/2</f>
        <v>74.495000000000005</v>
      </c>
      <c r="O100">
        <v>23.03</v>
      </c>
      <c r="P100">
        <v>74.489999999999995</v>
      </c>
      <c r="Q100">
        <v>47.38</v>
      </c>
    </row>
    <row r="101" spans="2:34" x14ac:dyDescent="0.25">
      <c r="B101">
        <v>67.45</v>
      </c>
      <c r="C101">
        <v>64.010000000000005</v>
      </c>
      <c r="D101">
        <v>73.45</v>
      </c>
      <c r="E101">
        <v>66.47</v>
      </c>
      <c r="F101">
        <v>66.849999999999994</v>
      </c>
      <c r="G101">
        <v>77.069999999999993</v>
      </c>
      <c r="H101">
        <v>71.599999999999994</v>
      </c>
      <c r="I101">
        <v>58.46</v>
      </c>
      <c r="J101">
        <v>61.35</v>
      </c>
      <c r="K101">
        <v>71.319999999999993</v>
      </c>
      <c r="L101">
        <v>73.45</v>
      </c>
      <c r="M101">
        <v>49.25</v>
      </c>
      <c r="N101">
        <f t="shared" si="80"/>
        <v>61.35</v>
      </c>
      <c r="O101">
        <v>24.2</v>
      </c>
      <c r="P101">
        <v>61.35</v>
      </c>
      <c r="Q101">
        <v>22.79</v>
      </c>
    </row>
    <row r="102" spans="2:34" x14ac:dyDescent="0.25">
      <c r="B102">
        <v>90.4</v>
      </c>
      <c r="C102">
        <v>79.02</v>
      </c>
      <c r="D102">
        <v>79.19</v>
      </c>
      <c r="E102">
        <v>76.78</v>
      </c>
      <c r="F102">
        <v>78.150000000000006</v>
      </c>
      <c r="G102">
        <v>76.23</v>
      </c>
      <c r="H102">
        <v>77.180000000000007</v>
      </c>
      <c r="I102">
        <v>65.150000000000006</v>
      </c>
      <c r="J102">
        <v>69.709999999999994</v>
      </c>
      <c r="K102">
        <v>82.83</v>
      </c>
      <c r="L102">
        <v>79.19</v>
      </c>
      <c r="M102">
        <v>60.24</v>
      </c>
      <c r="N102">
        <f t="shared" si="80"/>
        <v>69.715000000000003</v>
      </c>
      <c r="O102">
        <v>18.95</v>
      </c>
      <c r="P102">
        <v>69.709999999999994</v>
      </c>
      <c r="Q102">
        <v>37.76</v>
      </c>
    </row>
    <row r="103" spans="2:34" x14ac:dyDescent="0.25">
      <c r="B103">
        <v>69.89</v>
      </c>
      <c r="C103">
        <v>68.16</v>
      </c>
      <c r="D103">
        <v>70.959999999999994</v>
      </c>
      <c r="E103">
        <v>66.16</v>
      </c>
      <c r="F103">
        <v>69.62</v>
      </c>
      <c r="G103">
        <v>70.06</v>
      </c>
      <c r="H103">
        <v>69.84</v>
      </c>
      <c r="I103">
        <v>60.6</v>
      </c>
      <c r="J103">
        <v>65.459999999999994</v>
      </c>
      <c r="K103">
        <v>73.47</v>
      </c>
      <c r="L103">
        <v>70.959999999999994</v>
      </c>
      <c r="M103">
        <v>59.97</v>
      </c>
      <c r="N103">
        <f t="shared" si="80"/>
        <v>65.465000000000003</v>
      </c>
      <c r="O103">
        <v>10.99</v>
      </c>
      <c r="P103">
        <v>65.459999999999994</v>
      </c>
      <c r="Q103">
        <v>28.67</v>
      </c>
      <c r="S103">
        <v>83.17</v>
      </c>
      <c r="T103">
        <v>74.67</v>
      </c>
      <c r="U103">
        <v>79.13</v>
      </c>
      <c r="V103">
        <v>75.95</v>
      </c>
      <c r="W103">
        <v>74.680000000000007</v>
      </c>
      <c r="X103">
        <v>78.73</v>
      </c>
      <c r="Y103">
        <v>76.650000000000006</v>
      </c>
      <c r="Z103">
        <v>67.83</v>
      </c>
      <c r="AA103">
        <v>69.069999999999993</v>
      </c>
      <c r="AB103">
        <v>77.739999999999995</v>
      </c>
      <c r="AC103">
        <v>79.13</v>
      </c>
      <c r="AD103">
        <v>59</v>
      </c>
      <c r="AE103">
        <f>(AC103+AD103)/2</f>
        <v>69.064999999999998</v>
      </c>
      <c r="AF103">
        <v>20.14</v>
      </c>
      <c r="AG103">
        <v>69.069999999999993</v>
      </c>
      <c r="AH103">
        <v>38.47</v>
      </c>
    </row>
    <row r="104" spans="2:34" x14ac:dyDescent="0.25">
      <c r="B104">
        <v>62.11</v>
      </c>
      <c r="C104">
        <v>52.1</v>
      </c>
      <c r="D104">
        <v>61.07</v>
      </c>
      <c r="E104">
        <v>77.709999999999994</v>
      </c>
      <c r="F104">
        <v>58.5</v>
      </c>
      <c r="G104">
        <v>70.489999999999995</v>
      </c>
      <c r="H104">
        <v>63.94</v>
      </c>
      <c r="I104">
        <v>54.62</v>
      </c>
      <c r="J104">
        <v>56.21</v>
      </c>
      <c r="K104">
        <v>67.31</v>
      </c>
      <c r="L104">
        <v>61.07</v>
      </c>
      <c r="M104">
        <v>51.35</v>
      </c>
      <c r="N104">
        <f t="shared" si="80"/>
        <v>56.21</v>
      </c>
      <c r="O104">
        <v>9.7200000000000006</v>
      </c>
      <c r="P104">
        <v>56.21</v>
      </c>
      <c r="Q104">
        <v>13.85</v>
      </c>
      <c r="S104">
        <v>82.33</v>
      </c>
      <c r="T104">
        <v>74.239999999999995</v>
      </c>
      <c r="U104">
        <v>78.5</v>
      </c>
      <c r="V104">
        <v>75.95</v>
      </c>
      <c r="W104">
        <v>75.97</v>
      </c>
      <c r="X104">
        <v>80.09</v>
      </c>
      <c r="Y104">
        <v>77.97</v>
      </c>
      <c r="Z104">
        <v>67.95</v>
      </c>
      <c r="AA104">
        <v>68.22</v>
      </c>
      <c r="AB104">
        <v>77.72</v>
      </c>
      <c r="AC104">
        <v>78.5</v>
      </c>
      <c r="AD104">
        <v>57.95</v>
      </c>
      <c r="AE104">
        <f t="shared" ref="AE104:AE108" si="81">(AC104+AD104)/2</f>
        <v>68.224999999999994</v>
      </c>
      <c r="AF104">
        <v>20.56</v>
      </c>
      <c r="AG104">
        <v>68.22</v>
      </c>
      <c r="AH104">
        <v>37.770000000000003</v>
      </c>
    </row>
    <row r="105" spans="2:34" x14ac:dyDescent="0.25">
      <c r="B105">
        <v>90.5</v>
      </c>
      <c r="C105">
        <v>83.29</v>
      </c>
      <c r="D105">
        <v>81.099999999999994</v>
      </c>
      <c r="E105">
        <v>80.62</v>
      </c>
      <c r="F105">
        <v>83.33</v>
      </c>
      <c r="G105">
        <v>77.87</v>
      </c>
      <c r="H105">
        <v>80.510000000000005</v>
      </c>
      <c r="I105">
        <v>70.23</v>
      </c>
      <c r="J105">
        <v>74.31</v>
      </c>
      <c r="K105">
        <v>83.13</v>
      </c>
      <c r="L105">
        <v>81.099999999999994</v>
      </c>
      <c r="M105">
        <v>67.52</v>
      </c>
      <c r="N105">
        <f t="shared" si="80"/>
        <v>74.31</v>
      </c>
      <c r="O105">
        <v>13.58</v>
      </c>
      <c r="P105">
        <v>74.31</v>
      </c>
      <c r="Q105">
        <v>45.55</v>
      </c>
      <c r="S105">
        <v>76.89</v>
      </c>
      <c r="T105">
        <v>65.7</v>
      </c>
      <c r="U105">
        <v>81.739999999999995</v>
      </c>
      <c r="V105">
        <v>72.2</v>
      </c>
      <c r="W105">
        <v>68.09</v>
      </c>
      <c r="X105">
        <v>83.66</v>
      </c>
      <c r="Y105">
        <v>75.069999999999993</v>
      </c>
      <c r="Z105">
        <v>69.59</v>
      </c>
      <c r="AA105">
        <v>70.900000000000006</v>
      </c>
      <c r="AB105">
        <v>78.62</v>
      </c>
      <c r="AC105">
        <v>81.739999999999995</v>
      </c>
      <c r="AD105">
        <v>60.05</v>
      </c>
      <c r="AE105">
        <f t="shared" si="81"/>
        <v>70.894999999999996</v>
      </c>
      <c r="AF105">
        <v>21.7</v>
      </c>
      <c r="AG105">
        <v>70.900000000000006</v>
      </c>
      <c r="AH105">
        <v>41.78</v>
      </c>
    </row>
    <row r="106" spans="2:34" x14ac:dyDescent="0.25">
      <c r="B106">
        <v>69.3</v>
      </c>
      <c r="C106">
        <v>68.790000000000006</v>
      </c>
      <c r="D106">
        <v>66.790000000000006</v>
      </c>
      <c r="E106">
        <v>63.86</v>
      </c>
      <c r="F106">
        <v>69.540000000000006</v>
      </c>
      <c r="G106">
        <v>66.88</v>
      </c>
      <c r="H106">
        <v>68.180000000000007</v>
      </c>
      <c r="I106">
        <v>60.37</v>
      </c>
      <c r="J106">
        <v>65.28</v>
      </c>
      <c r="K106">
        <v>72.5</v>
      </c>
      <c r="L106">
        <v>66.790000000000006</v>
      </c>
      <c r="M106">
        <v>63.76</v>
      </c>
      <c r="N106">
        <f t="shared" si="80"/>
        <v>65.275000000000006</v>
      </c>
      <c r="O106">
        <v>3.03</v>
      </c>
      <c r="P106">
        <v>65.28</v>
      </c>
      <c r="Q106">
        <v>28.9</v>
      </c>
      <c r="S106">
        <v>85.85</v>
      </c>
      <c r="T106">
        <v>78.87</v>
      </c>
      <c r="U106">
        <v>81.290000000000006</v>
      </c>
      <c r="V106">
        <v>79.680000000000007</v>
      </c>
      <c r="W106">
        <v>79.739999999999995</v>
      </c>
      <c r="X106">
        <v>81.900000000000006</v>
      </c>
      <c r="Y106">
        <v>80.8</v>
      </c>
      <c r="Z106">
        <v>73.72</v>
      </c>
      <c r="AA106">
        <v>74.31</v>
      </c>
      <c r="AB106">
        <v>81.239999999999995</v>
      </c>
      <c r="AC106">
        <v>81.290000000000006</v>
      </c>
      <c r="AD106">
        <v>67.33</v>
      </c>
      <c r="AE106">
        <f t="shared" si="81"/>
        <v>74.31</v>
      </c>
      <c r="AF106">
        <v>13.96</v>
      </c>
      <c r="AG106">
        <v>74.31</v>
      </c>
      <c r="AH106">
        <v>48.67</v>
      </c>
    </row>
    <row r="107" spans="2:34" x14ac:dyDescent="0.25">
      <c r="B107">
        <v>67.900000000000006</v>
      </c>
      <c r="C107">
        <v>64.430000000000007</v>
      </c>
      <c r="D107">
        <v>70.08</v>
      </c>
      <c r="E107">
        <v>77.73</v>
      </c>
      <c r="F107">
        <v>69.400000000000006</v>
      </c>
      <c r="G107">
        <v>76.23</v>
      </c>
      <c r="H107">
        <v>72.66</v>
      </c>
      <c r="I107">
        <v>67.78</v>
      </c>
      <c r="J107">
        <v>68.37</v>
      </c>
      <c r="K107">
        <v>73.92</v>
      </c>
      <c r="L107">
        <v>70.08</v>
      </c>
      <c r="M107">
        <v>66.66</v>
      </c>
      <c r="N107">
        <f t="shared" si="80"/>
        <v>68.37</v>
      </c>
      <c r="O107">
        <v>3.42</v>
      </c>
      <c r="P107">
        <v>68.37</v>
      </c>
      <c r="Q107">
        <v>37.5</v>
      </c>
      <c r="S107">
        <v>74.97</v>
      </c>
      <c r="T107">
        <v>68.319999999999993</v>
      </c>
      <c r="U107">
        <v>78.790000000000006</v>
      </c>
      <c r="V107">
        <v>71.52</v>
      </c>
      <c r="W107">
        <v>69.14</v>
      </c>
      <c r="X107">
        <v>79.08</v>
      </c>
      <c r="Y107">
        <v>73.78</v>
      </c>
      <c r="Z107">
        <v>69.7</v>
      </c>
      <c r="AA107">
        <v>72.11</v>
      </c>
      <c r="AB107">
        <v>78.36</v>
      </c>
      <c r="AC107">
        <v>78.790000000000006</v>
      </c>
      <c r="AD107">
        <v>65.430000000000007</v>
      </c>
      <c r="AE107">
        <f t="shared" si="81"/>
        <v>72.110000000000014</v>
      </c>
      <c r="AF107">
        <v>13.37</v>
      </c>
      <c r="AG107">
        <v>72.11</v>
      </c>
      <c r="AH107">
        <v>43.73</v>
      </c>
    </row>
    <row r="108" spans="2:34" x14ac:dyDescent="0.25">
      <c r="B108">
        <v>71.95</v>
      </c>
      <c r="C108">
        <v>61.06</v>
      </c>
      <c r="D108">
        <v>79.19</v>
      </c>
      <c r="E108">
        <v>67.36</v>
      </c>
      <c r="F108">
        <v>62.54</v>
      </c>
      <c r="G108">
        <v>81.819999999999993</v>
      </c>
      <c r="H108">
        <v>70.89</v>
      </c>
      <c r="I108">
        <v>63.26</v>
      </c>
      <c r="J108">
        <v>66.5</v>
      </c>
      <c r="K108">
        <v>74.66</v>
      </c>
      <c r="L108">
        <v>79.19</v>
      </c>
      <c r="M108">
        <v>53.81</v>
      </c>
      <c r="N108">
        <f t="shared" si="80"/>
        <v>66.5</v>
      </c>
      <c r="O108">
        <v>25.38</v>
      </c>
      <c r="P108">
        <v>66.5</v>
      </c>
      <c r="Q108">
        <v>34.31</v>
      </c>
      <c r="S108">
        <v>78.86</v>
      </c>
      <c r="T108">
        <v>64.48</v>
      </c>
      <c r="U108">
        <v>79.97</v>
      </c>
      <c r="V108">
        <v>69.709999999999994</v>
      </c>
      <c r="W108">
        <v>67.34</v>
      </c>
      <c r="X108">
        <v>81.209999999999994</v>
      </c>
      <c r="Y108">
        <v>73.63</v>
      </c>
      <c r="Z108">
        <v>66.39</v>
      </c>
      <c r="AA108">
        <v>68.59</v>
      </c>
      <c r="AB108">
        <v>78.73</v>
      </c>
      <c r="AC108">
        <v>79.97</v>
      </c>
      <c r="AD108">
        <v>57.2</v>
      </c>
      <c r="AE108">
        <f t="shared" si="81"/>
        <v>68.585000000000008</v>
      </c>
      <c r="AF108">
        <v>22.77</v>
      </c>
      <c r="AG108">
        <v>68.59</v>
      </c>
      <c r="AH108">
        <v>37.26</v>
      </c>
    </row>
    <row r="109" spans="2:34" x14ac:dyDescent="0.25">
      <c r="B109" s="2">
        <f>AVERAGE(B99:B108)</f>
        <v>76.650999999999996</v>
      </c>
      <c r="C109" s="2">
        <f t="shared" ref="C109:Q109" si="82">AVERAGE(C99:C108)</f>
        <v>70.085999999999984</v>
      </c>
      <c r="D109" s="2">
        <f t="shared" si="82"/>
        <v>75.134999999999991</v>
      </c>
      <c r="E109" s="2">
        <f t="shared" si="82"/>
        <v>73.75</v>
      </c>
      <c r="F109" s="2">
        <f t="shared" si="82"/>
        <v>71.636999999999986</v>
      </c>
      <c r="G109" s="2">
        <f t="shared" si="82"/>
        <v>76.222999999999999</v>
      </c>
      <c r="H109" s="2">
        <f t="shared" si="82"/>
        <v>73.671999999999997</v>
      </c>
      <c r="I109" s="2">
        <f t="shared" si="82"/>
        <v>63.741000000000007</v>
      </c>
      <c r="J109" s="2">
        <f t="shared" si="82"/>
        <v>67.266999999999996</v>
      </c>
      <c r="K109" s="2">
        <f t="shared" si="82"/>
        <v>75.801999999999992</v>
      </c>
      <c r="L109" s="2">
        <f t="shared" si="82"/>
        <v>75.134999999999991</v>
      </c>
      <c r="M109" s="2">
        <f t="shared" si="82"/>
        <v>59.400999999999996</v>
      </c>
      <c r="N109" s="2">
        <f t="shared" si="82"/>
        <v>67.268000000000001</v>
      </c>
      <c r="O109" s="2">
        <f t="shared" si="82"/>
        <v>15.733999999999998</v>
      </c>
      <c r="P109" s="2">
        <f t="shared" si="82"/>
        <v>67.266999999999996</v>
      </c>
      <c r="Q109" s="2">
        <f t="shared" si="82"/>
        <v>33.663999999999994</v>
      </c>
      <c r="S109" s="2">
        <f>AVERAGE(S103:S108)</f>
        <v>80.345000000000013</v>
      </c>
      <c r="T109" s="2">
        <f t="shared" ref="T109:AH109" si="83">AVERAGE(T103:T108)</f>
        <v>71.046666666666667</v>
      </c>
      <c r="U109" s="2">
        <f t="shared" si="83"/>
        <v>79.90333333333335</v>
      </c>
      <c r="V109" s="2">
        <f t="shared" si="83"/>
        <v>74.168333333333337</v>
      </c>
      <c r="W109" s="2">
        <f t="shared" si="83"/>
        <v>72.493333333333339</v>
      </c>
      <c r="X109" s="2">
        <f t="shared" si="83"/>
        <v>80.778333333333322</v>
      </c>
      <c r="Y109" s="2">
        <f t="shared" si="83"/>
        <v>76.316666666666663</v>
      </c>
      <c r="Z109" s="2">
        <f t="shared" si="83"/>
        <v>69.196666666666673</v>
      </c>
      <c r="AA109" s="2">
        <f t="shared" si="83"/>
        <v>70.533333333333346</v>
      </c>
      <c r="AB109" s="2">
        <f t="shared" si="83"/>
        <v>78.734999999999999</v>
      </c>
      <c r="AC109" s="2">
        <f t="shared" si="83"/>
        <v>79.90333333333335</v>
      </c>
      <c r="AD109" s="2">
        <f t="shared" si="83"/>
        <v>61.16</v>
      </c>
      <c r="AE109" s="2">
        <f t="shared" si="83"/>
        <v>70.53166666666668</v>
      </c>
      <c r="AF109" s="2">
        <f t="shared" si="83"/>
        <v>18.750000000000004</v>
      </c>
      <c r="AG109" s="2">
        <f t="shared" si="83"/>
        <v>70.533333333333346</v>
      </c>
      <c r="AH109" s="2">
        <f t="shared" si="83"/>
        <v>41.279999999999994</v>
      </c>
    </row>
    <row r="111" spans="2:34" x14ac:dyDescent="0.25">
      <c r="B111" s="2">
        <f>AVERAGE(B87,B98,B109)</f>
        <v>75.499333333333325</v>
      </c>
      <c r="C111" s="2">
        <f t="shared" ref="C111" si="84">AVERAGE(C87,C98,C109)</f>
        <v>71.092333333333329</v>
      </c>
      <c r="D111" s="2">
        <f t="shared" ref="D111" si="85">AVERAGE(D87,D98,D109)</f>
        <v>72.999333333333325</v>
      </c>
      <c r="E111" s="2">
        <f t="shared" ref="E111" si="86">AVERAGE(E87,E98,E109)</f>
        <v>71.27300000000001</v>
      </c>
      <c r="F111" s="2">
        <f t="shared" ref="F111" si="87">AVERAGE(F87,F98,F109)</f>
        <v>73.247333333333344</v>
      </c>
      <c r="G111" s="2">
        <f t="shared" ref="G111" si="88">AVERAGE(G87,G98,G109)</f>
        <v>74.641999999999996</v>
      </c>
      <c r="H111" s="2">
        <f t="shared" ref="H111" si="89">AVERAGE(H87,H98,H109)</f>
        <v>73.209666666666664</v>
      </c>
      <c r="I111" s="2">
        <f t="shared" ref="I111" si="90">AVERAGE(I87,I98,I109)</f>
        <v>63.476666666666667</v>
      </c>
      <c r="J111" s="2">
        <f t="shared" ref="J111" si="91">AVERAGE(J87,J98,J109)</f>
        <v>67.210999999999999</v>
      </c>
      <c r="K111" s="2">
        <f t="shared" ref="K111" si="92">AVERAGE(K87,K98,K109)</f>
        <v>74.790666666666667</v>
      </c>
      <c r="L111" s="2">
        <f t="shared" ref="L111" si="93">AVERAGE(L87,L98,L109)</f>
        <v>72.999333333333325</v>
      </c>
      <c r="M111" s="2">
        <f t="shared" ref="M111" si="94">AVERAGE(M87,M98,M109)</f>
        <v>61.422666666666679</v>
      </c>
      <c r="N111" s="2">
        <f t="shared" ref="N111" si="95">AVERAGE(N87,N98,N109)</f>
        <v>67.210999999999999</v>
      </c>
      <c r="O111" s="2">
        <f t="shared" ref="O111" si="96">AVERAGE(O87,O98,O109)</f>
        <v>19.015666666666664</v>
      </c>
      <c r="P111" s="2">
        <f t="shared" ref="P111" si="97">AVERAGE(P87,P98,P109)</f>
        <v>67.210999999999999</v>
      </c>
      <c r="Q111" s="2">
        <f t="shared" ref="Q111" si="98">AVERAGE(Q87,Q98,Q109)</f>
        <v>32.951999999999998</v>
      </c>
      <c r="S111" s="2">
        <f>AVERAGE(S87,S98,S109)</f>
        <v>79.311666666666682</v>
      </c>
      <c r="T111" s="2">
        <f t="shared" ref="T111" si="99">AVERAGE(T87,T98,T109)</f>
        <v>71.107222222222219</v>
      </c>
      <c r="U111" s="2">
        <f t="shared" ref="U111" si="100">AVERAGE(U87,U98,U109)</f>
        <v>79.945555555555572</v>
      </c>
      <c r="V111" s="2">
        <f t="shared" ref="V111" si="101">AVERAGE(V87,V98,V109)</f>
        <v>73.954999999999998</v>
      </c>
      <c r="W111" s="2">
        <f t="shared" ref="W111" si="102">AVERAGE(W87,W98,W109)</f>
        <v>72.290000000000006</v>
      </c>
      <c r="X111" s="2">
        <f t="shared" ref="X111" si="103">AVERAGE(X87,X98,X109)</f>
        <v>80.781666666666652</v>
      </c>
      <c r="Y111" s="2">
        <f t="shared" ref="Y111" si="104">AVERAGE(Y87,Y98,Y109)</f>
        <v>76.052777777777777</v>
      </c>
      <c r="Z111" s="2">
        <f t="shared" ref="Z111" si="105">AVERAGE(Z87,Z98,Z109)</f>
        <v>68.394999999999996</v>
      </c>
      <c r="AA111" s="2">
        <f t="shared" ref="AA111" si="106">AVERAGE(AA87,AA98,AA109)</f>
        <v>70.103333333333339</v>
      </c>
      <c r="AB111" s="2">
        <f t="shared" ref="AB111" si="107">AVERAGE(AB87,AB98,AB109)</f>
        <v>78.613333333333344</v>
      </c>
      <c r="AC111" s="2">
        <f t="shared" ref="AC111" si="108">AVERAGE(AC87,AC98,AC109)</f>
        <v>79.945555555555572</v>
      </c>
      <c r="AD111" s="2">
        <f t="shared" ref="AD111" si="109">AVERAGE(AD87,AD98,AD109)</f>
        <v>60.259444444444433</v>
      </c>
      <c r="AE111" s="2">
        <f>AVERAGE(AE87,AE98,AE109)</f>
        <v>70.102500000000006</v>
      </c>
      <c r="AF111" s="2">
        <f t="shared" ref="AF111" si="110">AVERAGE(AF87,AF98,AF109)</f>
        <v>19.688333333333333</v>
      </c>
      <c r="AG111" s="2">
        <f t="shared" ref="AG111" si="111">AVERAGE(AG87,AG98,AG109)</f>
        <v>70.103333333333339</v>
      </c>
      <c r="AH111" s="2">
        <f t="shared" ref="AH111" si="112">AVERAGE(AH87,AH98,AH109)</f>
        <v>40.531666666666666</v>
      </c>
    </row>
    <row r="112" spans="2:34" x14ac:dyDescent="0.25">
      <c r="B112" s="2">
        <f>_xlfn.STDEV.S(B87,B98,B109)</f>
        <v>1.0103634659533873</v>
      </c>
      <c r="C112" s="2">
        <f t="shared" ref="C112:Q112" si="113">_xlfn.STDEV.S(C87,C98,C109)</f>
        <v>2.9301085872938817</v>
      </c>
      <c r="D112" s="2">
        <f t="shared" si="113"/>
        <v>8.1647449643778476</v>
      </c>
      <c r="E112" s="2">
        <f t="shared" si="113"/>
        <v>2.4998037923005052</v>
      </c>
      <c r="F112" s="2">
        <f t="shared" si="113"/>
        <v>4.2592816687011252</v>
      </c>
      <c r="G112" s="2">
        <f t="shared" si="113"/>
        <v>7.3678376067880391</v>
      </c>
      <c r="H112" s="2">
        <f t="shared" si="113"/>
        <v>1.3206575382487802</v>
      </c>
      <c r="I112" s="2">
        <f t="shared" si="113"/>
        <v>1.6950293016149678</v>
      </c>
      <c r="J112" s="2">
        <f t="shared" si="113"/>
        <v>0.98519439706079814</v>
      </c>
      <c r="K112" s="2">
        <f t="shared" si="113"/>
        <v>0.88388762483322214</v>
      </c>
      <c r="L112" s="2">
        <f t="shared" si="113"/>
        <v>8.1647449643778476</v>
      </c>
      <c r="M112" s="2">
        <f t="shared" si="113"/>
        <v>10.072826432205238</v>
      </c>
      <c r="N112" s="2">
        <f t="shared" si="113"/>
        <v>0.98473803623095568</v>
      </c>
      <c r="O112" s="2">
        <f t="shared" si="113"/>
        <v>7.2921150795453853</v>
      </c>
      <c r="P112" s="2">
        <f t="shared" si="113"/>
        <v>0.98519439706079814</v>
      </c>
      <c r="Q112" s="2">
        <f t="shared" si="113"/>
        <v>1.4505781605966632</v>
      </c>
      <c r="S112" s="2">
        <f>_xlfn.STDEV.S(S87,S98,S109)</f>
        <v>1.4996147653462311</v>
      </c>
      <c r="T112" s="2">
        <f t="shared" ref="T112:AH112" si="114">_xlfn.STDEV.S(T87,T98,T109)</f>
        <v>0.757650486213301</v>
      </c>
      <c r="U112" s="2">
        <f t="shared" si="114"/>
        <v>3.3102019631794382</v>
      </c>
      <c r="V112" s="2">
        <f t="shared" si="114"/>
        <v>0.45122364496752565</v>
      </c>
      <c r="W112" s="2">
        <f t="shared" si="114"/>
        <v>1.7207007616407717</v>
      </c>
      <c r="X112" s="2">
        <f t="shared" si="114"/>
        <v>2.6466682409734976</v>
      </c>
      <c r="Y112" s="2">
        <f t="shared" si="114"/>
        <v>0.22853600089198739</v>
      </c>
      <c r="Z112" s="2">
        <f t="shared" si="114"/>
        <v>1.4451845326231973</v>
      </c>
      <c r="AA112" s="2">
        <f t="shared" si="114"/>
        <v>0.56131541934994611</v>
      </c>
      <c r="AB112" s="2">
        <f t="shared" si="114"/>
        <v>1.6442129153826419</v>
      </c>
      <c r="AC112" s="2">
        <f t="shared" si="114"/>
        <v>3.3102019631794382</v>
      </c>
      <c r="AD112" s="2">
        <f t="shared" si="114"/>
        <v>4.2201903371153131</v>
      </c>
      <c r="AE112" s="2">
        <f t="shared" si="114"/>
        <v>0.55990140501104357</v>
      </c>
      <c r="AF112" s="2">
        <f t="shared" si="114"/>
        <v>7.4999868518403403</v>
      </c>
      <c r="AG112" s="2">
        <f t="shared" si="114"/>
        <v>0.56131541934994611</v>
      </c>
      <c r="AH112" s="2">
        <f t="shared" si="114"/>
        <v>0.75338311044986039</v>
      </c>
    </row>
    <row r="114" spans="1:34" x14ac:dyDescent="0.25">
      <c r="A114" s="1" t="s">
        <v>77</v>
      </c>
      <c r="B114">
        <v>79.38</v>
      </c>
      <c r="C114">
        <v>78.88</v>
      </c>
      <c r="D114">
        <v>73.03</v>
      </c>
      <c r="E114">
        <v>75.319999999999993</v>
      </c>
      <c r="F114">
        <v>80.7</v>
      </c>
      <c r="G114">
        <v>75.41</v>
      </c>
      <c r="H114">
        <v>77.97</v>
      </c>
      <c r="I114">
        <v>63.72</v>
      </c>
      <c r="J114">
        <v>66.67</v>
      </c>
      <c r="K114">
        <v>71.569999999999993</v>
      </c>
      <c r="L114">
        <v>73.03</v>
      </c>
      <c r="M114">
        <v>60.31</v>
      </c>
      <c r="N114">
        <f>(L114+M114)/2</f>
        <v>66.67</v>
      </c>
      <c r="O114">
        <v>12.72</v>
      </c>
      <c r="P114">
        <v>66.67</v>
      </c>
      <c r="Q114">
        <v>30.29</v>
      </c>
    </row>
    <row r="115" spans="1:34" x14ac:dyDescent="0.25">
      <c r="B115">
        <v>87.91</v>
      </c>
      <c r="C115">
        <v>83.99</v>
      </c>
      <c r="D115">
        <v>76.78</v>
      </c>
      <c r="E115">
        <v>80.19</v>
      </c>
      <c r="F115">
        <v>85.59</v>
      </c>
      <c r="G115">
        <v>77.87</v>
      </c>
      <c r="H115">
        <v>81.55</v>
      </c>
      <c r="I115">
        <v>70.739999999999995</v>
      </c>
      <c r="J115">
        <v>72.78</v>
      </c>
      <c r="K115">
        <v>80.55</v>
      </c>
      <c r="L115">
        <v>76.78</v>
      </c>
      <c r="M115">
        <v>68.78</v>
      </c>
      <c r="N115">
        <f t="shared" ref="N115:N123" si="115">(L115+M115)/2</f>
        <v>72.78</v>
      </c>
      <c r="O115">
        <v>8</v>
      </c>
      <c r="P115">
        <v>72.78</v>
      </c>
      <c r="Q115">
        <v>42.54</v>
      </c>
    </row>
    <row r="116" spans="1:34" x14ac:dyDescent="0.25">
      <c r="B116">
        <v>68.36</v>
      </c>
      <c r="C116">
        <v>71.739999999999995</v>
      </c>
      <c r="D116">
        <v>63.88</v>
      </c>
      <c r="E116">
        <v>66.28</v>
      </c>
      <c r="F116">
        <v>76.430000000000007</v>
      </c>
      <c r="G116">
        <v>68.150000000000006</v>
      </c>
      <c r="H116">
        <v>72.05</v>
      </c>
      <c r="I116">
        <v>64.7</v>
      </c>
      <c r="J116">
        <v>66.900000000000006</v>
      </c>
      <c r="K116">
        <v>70.8</v>
      </c>
      <c r="L116">
        <v>63.88</v>
      </c>
      <c r="M116">
        <v>69.930000000000007</v>
      </c>
      <c r="N116">
        <f t="shared" si="115"/>
        <v>66.905000000000001</v>
      </c>
      <c r="O116">
        <v>6.05</v>
      </c>
      <c r="P116">
        <v>66.900000000000006</v>
      </c>
      <c r="Q116">
        <v>32.22</v>
      </c>
    </row>
    <row r="117" spans="1:34" x14ac:dyDescent="0.25">
      <c r="B117">
        <v>89.95</v>
      </c>
      <c r="C117">
        <v>85.07</v>
      </c>
      <c r="D117">
        <v>71.010000000000005</v>
      </c>
      <c r="E117">
        <v>77.099999999999994</v>
      </c>
      <c r="F117">
        <v>86</v>
      </c>
      <c r="G117">
        <v>70.489999999999995</v>
      </c>
      <c r="H117">
        <v>77.48</v>
      </c>
      <c r="I117">
        <v>68.19</v>
      </c>
      <c r="J117">
        <v>72.459999999999994</v>
      </c>
      <c r="K117">
        <v>79.86</v>
      </c>
      <c r="L117">
        <v>71.010000000000005</v>
      </c>
      <c r="M117">
        <v>73.91</v>
      </c>
      <c r="N117">
        <f t="shared" si="115"/>
        <v>72.460000000000008</v>
      </c>
      <c r="O117">
        <v>2.9</v>
      </c>
      <c r="P117">
        <v>72.459999999999994</v>
      </c>
      <c r="Q117">
        <v>40.39</v>
      </c>
    </row>
    <row r="118" spans="1:34" x14ac:dyDescent="0.25">
      <c r="B118">
        <v>68.92</v>
      </c>
      <c r="C118">
        <v>77.290000000000006</v>
      </c>
      <c r="D118">
        <v>58.44</v>
      </c>
      <c r="E118">
        <v>63.65</v>
      </c>
      <c r="F118">
        <v>81.42</v>
      </c>
      <c r="G118">
        <v>58.6</v>
      </c>
      <c r="H118">
        <v>68.150000000000006</v>
      </c>
      <c r="I118">
        <v>64.540000000000006</v>
      </c>
      <c r="J118">
        <v>70.16</v>
      </c>
      <c r="K118">
        <v>75.28</v>
      </c>
      <c r="L118">
        <v>58.44</v>
      </c>
      <c r="M118">
        <v>81.87</v>
      </c>
      <c r="N118">
        <f t="shared" si="115"/>
        <v>70.155000000000001</v>
      </c>
      <c r="O118">
        <v>23.43</v>
      </c>
      <c r="P118">
        <v>70.16</v>
      </c>
      <c r="Q118">
        <v>37.03</v>
      </c>
      <c r="S118">
        <v>83.47</v>
      </c>
      <c r="T118">
        <v>76.8</v>
      </c>
      <c r="U118">
        <v>77.77</v>
      </c>
      <c r="V118">
        <v>76.94</v>
      </c>
      <c r="W118">
        <v>77.58</v>
      </c>
      <c r="X118">
        <v>78.28</v>
      </c>
      <c r="Y118">
        <v>77.930000000000007</v>
      </c>
      <c r="Z118">
        <v>70.03</v>
      </c>
      <c r="AA118">
        <v>70.91</v>
      </c>
      <c r="AB118">
        <v>79.08</v>
      </c>
      <c r="AC118">
        <v>77.77</v>
      </c>
      <c r="AD118">
        <v>64.05</v>
      </c>
      <c r="AE118">
        <f>(AC118+AD118)/2</f>
        <v>70.91</v>
      </c>
      <c r="AF118">
        <v>13.72</v>
      </c>
      <c r="AG118">
        <v>70.91</v>
      </c>
      <c r="AH118">
        <v>41.25</v>
      </c>
    </row>
    <row r="119" spans="1:34" x14ac:dyDescent="0.25">
      <c r="B119">
        <v>58.93</v>
      </c>
      <c r="C119">
        <v>57.95</v>
      </c>
      <c r="D119">
        <v>49</v>
      </c>
      <c r="E119">
        <v>63.72</v>
      </c>
      <c r="F119">
        <v>68.27</v>
      </c>
      <c r="G119">
        <v>58.2</v>
      </c>
      <c r="H119">
        <v>62.83</v>
      </c>
      <c r="I119">
        <v>59.37</v>
      </c>
      <c r="J119">
        <v>60.31</v>
      </c>
      <c r="K119">
        <v>64.16</v>
      </c>
      <c r="L119">
        <v>49</v>
      </c>
      <c r="M119">
        <v>71.61</v>
      </c>
      <c r="N119">
        <f t="shared" si="115"/>
        <v>60.305</v>
      </c>
      <c r="O119">
        <v>22.61</v>
      </c>
      <c r="P119">
        <v>60.31</v>
      </c>
      <c r="Q119">
        <v>20.47</v>
      </c>
      <c r="S119">
        <v>77.59</v>
      </c>
      <c r="T119">
        <v>72.61</v>
      </c>
      <c r="U119">
        <v>73.59</v>
      </c>
      <c r="V119">
        <v>73.06</v>
      </c>
      <c r="W119">
        <v>75</v>
      </c>
      <c r="X119">
        <v>76.02</v>
      </c>
      <c r="Y119">
        <v>75.510000000000005</v>
      </c>
      <c r="Z119">
        <v>66.19</v>
      </c>
      <c r="AA119">
        <v>65.94</v>
      </c>
      <c r="AB119">
        <v>71.89</v>
      </c>
      <c r="AC119">
        <v>73.59</v>
      </c>
      <c r="AD119">
        <v>58.28</v>
      </c>
      <c r="AE119">
        <f t="shared" ref="AE119:AE123" si="116">(AC119+AD119)/2</f>
        <v>65.935000000000002</v>
      </c>
      <c r="AF119">
        <v>15.32</v>
      </c>
      <c r="AG119">
        <v>65.94</v>
      </c>
      <c r="AH119">
        <v>32.58</v>
      </c>
    </row>
    <row r="120" spans="1:34" x14ac:dyDescent="0.25">
      <c r="B120">
        <v>89.17</v>
      </c>
      <c r="C120">
        <v>84.28</v>
      </c>
      <c r="D120">
        <v>64.7</v>
      </c>
      <c r="E120">
        <v>72.22</v>
      </c>
      <c r="F120">
        <v>84.62</v>
      </c>
      <c r="G120">
        <v>63.11</v>
      </c>
      <c r="H120">
        <v>72.3</v>
      </c>
      <c r="I120">
        <v>64.66</v>
      </c>
      <c r="J120">
        <v>71.08</v>
      </c>
      <c r="K120">
        <v>80.84</v>
      </c>
      <c r="L120">
        <v>64.7</v>
      </c>
      <c r="M120">
        <v>77.45</v>
      </c>
      <c r="N120">
        <f t="shared" si="115"/>
        <v>71.075000000000003</v>
      </c>
      <c r="O120">
        <v>12.74</v>
      </c>
      <c r="P120">
        <v>71.08</v>
      </c>
      <c r="Q120">
        <v>37.15</v>
      </c>
      <c r="S120">
        <v>73.959999999999994</v>
      </c>
      <c r="T120">
        <v>70.05</v>
      </c>
      <c r="U120">
        <v>73.37</v>
      </c>
      <c r="V120">
        <v>71</v>
      </c>
      <c r="W120">
        <v>73.89</v>
      </c>
      <c r="X120">
        <v>75.819999999999993</v>
      </c>
      <c r="Y120">
        <v>74.84</v>
      </c>
      <c r="Z120">
        <v>71.34</v>
      </c>
      <c r="AA120">
        <v>72.47</v>
      </c>
      <c r="AB120">
        <v>78.09</v>
      </c>
      <c r="AC120">
        <v>73.37</v>
      </c>
      <c r="AD120">
        <v>71.569999999999993</v>
      </c>
      <c r="AE120">
        <f t="shared" si="116"/>
        <v>72.47</v>
      </c>
      <c r="AF120">
        <v>1.79</v>
      </c>
      <c r="AG120">
        <v>72.47</v>
      </c>
      <c r="AH120">
        <v>44.25</v>
      </c>
    </row>
    <row r="121" spans="1:34" x14ac:dyDescent="0.25">
      <c r="B121">
        <v>72.12</v>
      </c>
      <c r="C121">
        <v>76.11</v>
      </c>
      <c r="D121">
        <v>58.43</v>
      </c>
      <c r="E121">
        <v>65.05</v>
      </c>
      <c r="F121">
        <v>81.36</v>
      </c>
      <c r="G121">
        <v>61.15</v>
      </c>
      <c r="H121">
        <v>69.819999999999993</v>
      </c>
      <c r="I121">
        <v>65.709999999999994</v>
      </c>
      <c r="J121">
        <v>70.5</v>
      </c>
      <c r="K121">
        <v>77.95</v>
      </c>
      <c r="L121">
        <v>58.43</v>
      </c>
      <c r="M121">
        <v>82.56</v>
      </c>
      <c r="N121">
        <f t="shared" si="115"/>
        <v>70.495000000000005</v>
      </c>
      <c r="O121">
        <v>24.13</v>
      </c>
      <c r="P121">
        <v>70.5</v>
      </c>
      <c r="Q121">
        <v>37.200000000000003</v>
      </c>
      <c r="S121">
        <v>83.29</v>
      </c>
      <c r="T121">
        <v>76.319999999999993</v>
      </c>
      <c r="U121">
        <v>79.56</v>
      </c>
      <c r="V121">
        <v>77.09</v>
      </c>
      <c r="W121">
        <v>76.52</v>
      </c>
      <c r="X121">
        <v>79.64</v>
      </c>
      <c r="Y121">
        <v>78.05</v>
      </c>
      <c r="Z121">
        <v>70.42</v>
      </c>
      <c r="AA121">
        <v>71.95</v>
      </c>
      <c r="AB121">
        <v>78.08</v>
      </c>
      <c r="AC121">
        <v>79.56</v>
      </c>
      <c r="AD121">
        <v>64.34</v>
      </c>
      <c r="AE121">
        <f t="shared" si="116"/>
        <v>71.95</v>
      </c>
      <c r="AF121">
        <v>15.22</v>
      </c>
      <c r="AG121">
        <v>71.95</v>
      </c>
      <c r="AH121">
        <v>43.44</v>
      </c>
    </row>
    <row r="122" spans="1:34" x14ac:dyDescent="0.25">
      <c r="B122">
        <v>65.87</v>
      </c>
      <c r="C122">
        <v>67.290000000000006</v>
      </c>
      <c r="D122">
        <v>54.26</v>
      </c>
      <c r="E122">
        <v>59.38</v>
      </c>
      <c r="F122">
        <v>74.75</v>
      </c>
      <c r="G122">
        <v>60.66</v>
      </c>
      <c r="H122">
        <v>66.97</v>
      </c>
      <c r="I122">
        <v>65.3</v>
      </c>
      <c r="J122">
        <v>66.69</v>
      </c>
      <c r="K122">
        <v>68.930000000000007</v>
      </c>
      <c r="L122">
        <v>54.26</v>
      </c>
      <c r="M122">
        <v>79.12</v>
      </c>
      <c r="N122">
        <f t="shared" si="115"/>
        <v>66.69</v>
      </c>
      <c r="O122">
        <v>24.87</v>
      </c>
      <c r="P122">
        <v>66.69</v>
      </c>
      <c r="Q122">
        <v>33.159999999999997</v>
      </c>
      <c r="S122">
        <v>72.31</v>
      </c>
      <c r="T122">
        <v>70.37</v>
      </c>
      <c r="U122">
        <v>80.23</v>
      </c>
      <c r="V122">
        <v>74.2</v>
      </c>
      <c r="W122">
        <v>71.59</v>
      </c>
      <c r="X122">
        <v>82.35</v>
      </c>
      <c r="Y122">
        <v>76.599999999999994</v>
      </c>
      <c r="Z122">
        <v>70.91</v>
      </c>
      <c r="AA122">
        <v>71.900000000000006</v>
      </c>
      <c r="AB122">
        <v>77.94</v>
      </c>
      <c r="AC122">
        <v>80.23</v>
      </c>
      <c r="AD122">
        <v>63.56</v>
      </c>
      <c r="AE122">
        <f t="shared" si="116"/>
        <v>71.89500000000001</v>
      </c>
      <c r="AF122">
        <v>16.670000000000002</v>
      </c>
      <c r="AG122">
        <v>71.900000000000006</v>
      </c>
      <c r="AH122">
        <v>45.03</v>
      </c>
    </row>
    <row r="123" spans="1:34" x14ac:dyDescent="0.25">
      <c r="B123">
        <v>70.58</v>
      </c>
      <c r="C123">
        <v>67.260000000000005</v>
      </c>
      <c r="D123">
        <v>62.65</v>
      </c>
      <c r="E123">
        <v>63.08</v>
      </c>
      <c r="F123">
        <v>68.349999999999994</v>
      </c>
      <c r="G123">
        <v>64.03</v>
      </c>
      <c r="H123">
        <v>66.12</v>
      </c>
      <c r="I123">
        <v>64.58</v>
      </c>
      <c r="J123">
        <v>66.23</v>
      </c>
      <c r="K123">
        <v>71.73</v>
      </c>
      <c r="L123">
        <v>62.65</v>
      </c>
      <c r="M123">
        <v>69.8</v>
      </c>
      <c r="N123">
        <f t="shared" si="115"/>
        <v>66.224999999999994</v>
      </c>
      <c r="O123">
        <v>7.15</v>
      </c>
      <c r="P123">
        <v>66.23</v>
      </c>
      <c r="Q123">
        <v>32.67</v>
      </c>
      <c r="S123">
        <v>74.98</v>
      </c>
      <c r="T123">
        <v>65.790000000000006</v>
      </c>
      <c r="U123">
        <v>74.34</v>
      </c>
      <c r="V123">
        <v>68.02</v>
      </c>
      <c r="W123">
        <v>69.36</v>
      </c>
      <c r="X123">
        <v>75.45</v>
      </c>
      <c r="Y123">
        <v>72.28</v>
      </c>
      <c r="Z123">
        <v>66.790000000000006</v>
      </c>
      <c r="AA123">
        <v>68.83</v>
      </c>
      <c r="AB123">
        <v>76.33</v>
      </c>
      <c r="AC123">
        <v>74.34</v>
      </c>
      <c r="AD123">
        <v>63.32</v>
      </c>
      <c r="AE123">
        <f t="shared" si="116"/>
        <v>68.83</v>
      </c>
      <c r="AF123">
        <v>11.02</v>
      </c>
      <c r="AG123">
        <v>68.83</v>
      </c>
      <c r="AH123">
        <v>37.020000000000003</v>
      </c>
    </row>
    <row r="124" spans="1:34" x14ac:dyDescent="0.25">
      <c r="B124" s="2">
        <f>AVERAGE(B114:B123)</f>
        <v>75.119</v>
      </c>
      <c r="C124" s="2">
        <f t="shared" ref="C124:Q124" si="117">AVERAGE(C114:C123)</f>
        <v>74.986000000000004</v>
      </c>
      <c r="D124" s="2">
        <f t="shared" si="117"/>
        <v>63.217999999999996</v>
      </c>
      <c r="E124" s="2">
        <f t="shared" si="117"/>
        <v>68.599000000000004</v>
      </c>
      <c r="F124" s="2">
        <f t="shared" si="117"/>
        <v>78.748999999999995</v>
      </c>
      <c r="G124" s="2">
        <f t="shared" si="117"/>
        <v>65.766999999999996</v>
      </c>
      <c r="H124" s="2">
        <f t="shared" si="117"/>
        <v>71.524000000000015</v>
      </c>
      <c r="I124" s="2">
        <f t="shared" si="117"/>
        <v>65.150999999999996</v>
      </c>
      <c r="J124" s="2">
        <f t="shared" si="117"/>
        <v>68.378</v>
      </c>
      <c r="K124" s="2">
        <f t="shared" si="117"/>
        <v>74.167000000000002</v>
      </c>
      <c r="L124" s="2">
        <f t="shared" si="117"/>
        <v>63.217999999999996</v>
      </c>
      <c r="M124" s="2">
        <f t="shared" si="117"/>
        <v>73.534000000000006</v>
      </c>
      <c r="N124" s="2">
        <f t="shared" si="117"/>
        <v>68.376000000000005</v>
      </c>
      <c r="O124" s="2">
        <f t="shared" si="117"/>
        <v>14.459999999999999</v>
      </c>
      <c r="P124" s="2">
        <f t="shared" si="117"/>
        <v>68.378</v>
      </c>
      <c r="Q124" s="2">
        <f t="shared" si="117"/>
        <v>34.312000000000005</v>
      </c>
      <c r="S124" s="2">
        <f>AVERAGE(S118:S123)</f>
        <v>77.600000000000009</v>
      </c>
      <c r="T124" s="2">
        <f t="shared" ref="T124:AH124" si="118">AVERAGE(T118:T123)</f>
        <v>71.989999999999995</v>
      </c>
      <c r="U124" s="2">
        <f t="shared" si="118"/>
        <v>76.476666666666674</v>
      </c>
      <c r="V124" s="2">
        <f t="shared" si="118"/>
        <v>73.385000000000005</v>
      </c>
      <c r="W124" s="2">
        <f t="shared" si="118"/>
        <v>73.989999999999995</v>
      </c>
      <c r="X124" s="2">
        <f t="shared" si="118"/>
        <v>77.926666666666662</v>
      </c>
      <c r="Y124" s="2">
        <f t="shared" si="118"/>
        <v>75.868333333333325</v>
      </c>
      <c r="Z124" s="2">
        <f t="shared" si="118"/>
        <v>69.28</v>
      </c>
      <c r="AA124" s="2">
        <f t="shared" si="118"/>
        <v>70.333333333333329</v>
      </c>
      <c r="AB124" s="2">
        <f t="shared" si="118"/>
        <v>76.901666666666657</v>
      </c>
      <c r="AC124" s="2">
        <f t="shared" si="118"/>
        <v>76.476666666666674</v>
      </c>
      <c r="AD124" s="2">
        <f t="shared" si="118"/>
        <v>64.186666666666667</v>
      </c>
      <c r="AE124" s="2">
        <f t="shared" si="118"/>
        <v>70.331666666666663</v>
      </c>
      <c r="AF124" s="2">
        <f t="shared" si="118"/>
        <v>12.29</v>
      </c>
      <c r="AG124" s="2">
        <f t="shared" si="118"/>
        <v>70.333333333333329</v>
      </c>
      <c r="AH124" s="2">
        <f t="shared" si="118"/>
        <v>40.594999999999999</v>
      </c>
    </row>
    <row r="125" spans="1:34" x14ac:dyDescent="0.25">
      <c r="B125">
        <v>86.44</v>
      </c>
      <c r="C125">
        <v>83.16</v>
      </c>
      <c r="D125">
        <v>72.72</v>
      </c>
      <c r="E125">
        <v>77.459999999999994</v>
      </c>
      <c r="F125">
        <v>84.91</v>
      </c>
      <c r="G125">
        <v>73.77</v>
      </c>
      <c r="H125">
        <v>78.95</v>
      </c>
      <c r="I125">
        <v>68.48</v>
      </c>
      <c r="J125">
        <v>71.53</v>
      </c>
      <c r="K125">
        <v>80.25</v>
      </c>
      <c r="L125">
        <v>72.72</v>
      </c>
      <c r="M125">
        <v>70.34</v>
      </c>
      <c r="N125">
        <f>(L125+M125)/2</f>
        <v>71.53</v>
      </c>
      <c r="O125">
        <v>2.39</v>
      </c>
      <c r="P125">
        <v>71.53</v>
      </c>
      <c r="Q125">
        <v>39.21</v>
      </c>
    </row>
    <row r="126" spans="1:34" x14ac:dyDescent="0.25">
      <c r="B126">
        <v>86.34</v>
      </c>
      <c r="C126">
        <v>78.88</v>
      </c>
      <c r="D126">
        <v>83.83</v>
      </c>
      <c r="E126">
        <v>80.489999999999995</v>
      </c>
      <c r="F126">
        <v>79.69</v>
      </c>
      <c r="G126">
        <v>83.61</v>
      </c>
      <c r="H126">
        <v>81.599999999999994</v>
      </c>
      <c r="I126">
        <v>68.430000000000007</v>
      </c>
      <c r="J126">
        <v>70.37</v>
      </c>
      <c r="K126">
        <v>77.63</v>
      </c>
      <c r="L126">
        <v>83.83</v>
      </c>
      <c r="M126">
        <v>56.92</v>
      </c>
      <c r="N126">
        <f t="shared" ref="N126:N134" si="119">(L126+M126)/2</f>
        <v>70.375</v>
      </c>
      <c r="O126">
        <v>26.92</v>
      </c>
      <c r="P126">
        <v>70.37</v>
      </c>
      <c r="Q126">
        <v>39.18</v>
      </c>
    </row>
    <row r="127" spans="1:34" x14ac:dyDescent="0.25">
      <c r="B127">
        <v>68.010000000000005</v>
      </c>
      <c r="C127">
        <v>65.73</v>
      </c>
      <c r="D127">
        <v>74.069999999999993</v>
      </c>
      <c r="E127">
        <v>67.84</v>
      </c>
      <c r="F127">
        <v>68.36</v>
      </c>
      <c r="G127">
        <v>77.069999999999993</v>
      </c>
      <c r="H127">
        <v>72.459999999999994</v>
      </c>
      <c r="I127">
        <v>60.35</v>
      </c>
      <c r="J127">
        <v>63.96</v>
      </c>
      <c r="K127">
        <v>72.08</v>
      </c>
      <c r="L127">
        <v>74.069999999999993</v>
      </c>
      <c r="M127">
        <v>53.85</v>
      </c>
      <c r="N127">
        <f t="shared" si="119"/>
        <v>63.959999999999994</v>
      </c>
      <c r="O127">
        <v>20.22</v>
      </c>
      <c r="P127">
        <v>63.96</v>
      </c>
      <c r="Q127">
        <v>25.01</v>
      </c>
    </row>
    <row r="128" spans="1:34" x14ac:dyDescent="0.25">
      <c r="B128">
        <v>83.32</v>
      </c>
      <c r="C128">
        <v>78.709999999999994</v>
      </c>
      <c r="D128">
        <v>70.83</v>
      </c>
      <c r="E128">
        <v>74.34</v>
      </c>
      <c r="F128">
        <v>80.73</v>
      </c>
      <c r="G128">
        <v>72.13</v>
      </c>
      <c r="H128">
        <v>76.19</v>
      </c>
      <c r="I128">
        <v>64.489999999999995</v>
      </c>
      <c r="J128">
        <v>67.28</v>
      </c>
      <c r="K128">
        <v>73.61</v>
      </c>
      <c r="L128">
        <v>70.83</v>
      </c>
      <c r="M128">
        <v>63.73</v>
      </c>
      <c r="N128">
        <f t="shared" si="119"/>
        <v>67.28</v>
      </c>
      <c r="O128">
        <v>7.09</v>
      </c>
      <c r="P128">
        <v>67.28</v>
      </c>
      <c r="Q128">
        <v>31.02</v>
      </c>
    </row>
    <row r="129" spans="2:34" x14ac:dyDescent="0.25">
      <c r="B129">
        <v>74.239999999999995</v>
      </c>
      <c r="C129">
        <v>69.849999999999994</v>
      </c>
      <c r="D129">
        <v>74.27</v>
      </c>
      <c r="E129">
        <v>68.38</v>
      </c>
      <c r="F129">
        <v>70.66</v>
      </c>
      <c r="G129">
        <v>75.16</v>
      </c>
      <c r="H129">
        <v>72.84</v>
      </c>
      <c r="I129">
        <v>63.84</v>
      </c>
      <c r="J129">
        <v>67.47</v>
      </c>
      <c r="K129">
        <v>77.84</v>
      </c>
      <c r="L129">
        <v>74.27</v>
      </c>
      <c r="M129">
        <v>60.66</v>
      </c>
      <c r="N129">
        <f t="shared" si="119"/>
        <v>67.465000000000003</v>
      </c>
      <c r="O129">
        <v>13.61</v>
      </c>
      <c r="P129">
        <v>67.47</v>
      </c>
      <c r="Q129">
        <v>33.75</v>
      </c>
      <c r="S129">
        <v>82.78</v>
      </c>
      <c r="T129">
        <v>76.489999999999995</v>
      </c>
      <c r="U129">
        <v>80.72</v>
      </c>
      <c r="V129">
        <v>78.14</v>
      </c>
      <c r="W129">
        <v>76.819999999999993</v>
      </c>
      <c r="X129">
        <v>81</v>
      </c>
      <c r="Y129">
        <v>78.849999999999994</v>
      </c>
      <c r="Z129">
        <v>69.14</v>
      </c>
      <c r="AA129">
        <v>69.87</v>
      </c>
      <c r="AB129">
        <v>79.349999999999994</v>
      </c>
      <c r="AC129">
        <v>80.72</v>
      </c>
      <c r="AD129">
        <v>59.03</v>
      </c>
      <c r="AE129">
        <f>(AC129+AD129)/2</f>
        <v>69.875</v>
      </c>
      <c r="AF129">
        <v>21.7</v>
      </c>
      <c r="AG129">
        <v>69.87</v>
      </c>
      <c r="AH129">
        <v>39.869999999999997</v>
      </c>
    </row>
    <row r="130" spans="2:34" x14ac:dyDescent="0.25">
      <c r="B130">
        <v>65.19</v>
      </c>
      <c r="C130">
        <v>56.06</v>
      </c>
      <c r="D130">
        <v>71.78</v>
      </c>
      <c r="E130">
        <v>61.87</v>
      </c>
      <c r="F130">
        <v>59.63</v>
      </c>
      <c r="G130">
        <v>78.69</v>
      </c>
      <c r="H130">
        <v>67.84</v>
      </c>
      <c r="I130">
        <v>56.98</v>
      </c>
      <c r="J130">
        <v>59.32</v>
      </c>
      <c r="K130">
        <v>68.62</v>
      </c>
      <c r="L130">
        <v>71.78</v>
      </c>
      <c r="M130">
        <v>46.87</v>
      </c>
      <c r="N130">
        <f t="shared" si="119"/>
        <v>59.325000000000003</v>
      </c>
      <c r="O130">
        <v>24.91</v>
      </c>
      <c r="P130">
        <v>59.32</v>
      </c>
      <c r="Q130">
        <v>20.25</v>
      </c>
      <c r="S130">
        <v>84.02</v>
      </c>
      <c r="T130">
        <v>74.790000000000006</v>
      </c>
      <c r="U130">
        <v>85.33</v>
      </c>
      <c r="V130">
        <v>79.52</v>
      </c>
      <c r="W130">
        <v>75.790000000000006</v>
      </c>
      <c r="X130">
        <v>86.43</v>
      </c>
      <c r="Y130">
        <v>80.760000000000005</v>
      </c>
      <c r="Z130">
        <v>69.86</v>
      </c>
      <c r="AA130">
        <v>69.760000000000005</v>
      </c>
      <c r="AB130">
        <v>80.39</v>
      </c>
      <c r="AC130">
        <v>85.33</v>
      </c>
      <c r="AD130">
        <v>54.2</v>
      </c>
      <c r="AE130">
        <f t="shared" ref="AE130:AE134" si="120">(AC130+AD130)/2</f>
        <v>69.765000000000001</v>
      </c>
      <c r="AF130">
        <v>31.13</v>
      </c>
      <c r="AG130">
        <v>69.760000000000005</v>
      </c>
      <c r="AH130">
        <v>42.18</v>
      </c>
    </row>
    <row r="131" spans="2:34" x14ac:dyDescent="0.25">
      <c r="B131">
        <v>85.71</v>
      </c>
      <c r="C131">
        <v>78.319999999999993</v>
      </c>
      <c r="D131">
        <v>92.3</v>
      </c>
      <c r="E131">
        <v>83.27</v>
      </c>
      <c r="F131">
        <v>78.17</v>
      </c>
      <c r="G131">
        <v>90.98</v>
      </c>
      <c r="H131">
        <v>84.09</v>
      </c>
      <c r="I131">
        <v>70.06</v>
      </c>
      <c r="J131">
        <v>72.08</v>
      </c>
      <c r="K131">
        <v>79.650000000000006</v>
      </c>
      <c r="L131">
        <v>92.3</v>
      </c>
      <c r="M131">
        <v>51.86</v>
      </c>
      <c r="N131">
        <f t="shared" si="119"/>
        <v>72.08</v>
      </c>
      <c r="O131">
        <v>40.44</v>
      </c>
      <c r="P131">
        <v>72.08</v>
      </c>
      <c r="Q131">
        <v>46.78</v>
      </c>
      <c r="S131">
        <v>74.3</v>
      </c>
      <c r="T131">
        <v>59.1</v>
      </c>
      <c r="U131">
        <v>94.17</v>
      </c>
      <c r="V131">
        <v>69.739999999999995</v>
      </c>
      <c r="W131">
        <v>56.97</v>
      </c>
      <c r="X131">
        <v>93.46</v>
      </c>
      <c r="Y131">
        <v>70.790000000000006</v>
      </c>
      <c r="Z131">
        <v>55.07</v>
      </c>
      <c r="AA131">
        <v>63.84</v>
      </c>
      <c r="AB131">
        <v>79.349999999999994</v>
      </c>
      <c r="AC131">
        <v>94.17</v>
      </c>
      <c r="AD131">
        <v>33.5</v>
      </c>
      <c r="AE131">
        <f t="shared" si="120"/>
        <v>63.835000000000001</v>
      </c>
      <c r="AF131">
        <v>60.67</v>
      </c>
      <c r="AG131">
        <v>63.84</v>
      </c>
      <c r="AH131">
        <v>31.73</v>
      </c>
    </row>
    <row r="132" spans="2:34" x14ac:dyDescent="0.25">
      <c r="B132">
        <v>66.37</v>
      </c>
      <c r="C132">
        <v>65.25</v>
      </c>
      <c r="D132">
        <v>89.57</v>
      </c>
      <c r="E132">
        <v>71.010000000000005</v>
      </c>
      <c r="F132">
        <v>64.489999999999995</v>
      </c>
      <c r="G132">
        <v>87.9</v>
      </c>
      <c r="H132">
        <v>74.39</v>
      </c>
      <c r="I132">
        <v>60.98</v>
      </c>
      <c r="J132">
        <v>67.180000000000007</v>
      </c>
      <c r="K132">
        <v>75.28</v>
      </c>
      <c r="L132">
        <v>89.57</v>
      </c>
      <c r="M132">
        <v>44.78</v>
      </c>
      <c r="N132">
        <f t="shared" si="119"/>
        <v>67.174999999999997</v>
      </c>
      <c r="O132">
        <v>44.78</v>
      </c>
      <c r="P132">
        <v>67.180000000000007</v>
      </c>
      <c r="Q132">
        <v>37.270000000000003</v>
      </c>
      <c r="S132">
        <v>87.78</v>
      </c>
      <c r="T132">
        <v>79.959999999999994</v>
      </c>
      <c r="U132">
        <v>84.04</v>
      </c>
      <c r="V132">
        <v>81.790000000000006</v>
      </c>
      <c r="W132">
        <v>80.69</v>
      </c>
      <c r="X132">
        <v>85.07</v>
      </c>
      <c r="Y132">
        <v>82.82</v>
      </c>
      <c r="Z132">
        <v>75.08</v>
      </c>
      <c r="AA132">
        <v>74.92</v>
      </c>
      <c r="AB132">
        <v>83.06</v>
      </c>
      <c r="AC132">
        <v>84.04</v>
      </c>
      <c r="AD132">
        <v>65.790000000000006</v>
      </c>
      <c r="AE132">
        <f t="shared" si="120"/>
        <v>74.915000000000006</v>
      </c>
      <c r="AF132">
        <v>18.25</v>
      </c>
      <c r="AG132">
        <v>74.92</v>
      </c>
      <c r="AH132">
        <v>50.99</v>
      </c>
    </row>
    <row r="133" spans="2:34" x14ac:dyDescent="0.25">
      <c r="B133">
        <v>62.48</v>
      </c>
      <c r="C133">
        <v>53.61</v>
      </c>
      <c r="D133">
        <v>91.15</v>
      </c>
      <c r="E133">
        <v>65.42</v>
      </c>
      <c r="F133">
        <v>53.81</v>
      </c>
      <c r="G133">
        <v>92.62</v>
      </c>
      <c r="H133">
        <v>68.069999999999993</v>
      </c>
      <c r="I133">
        <v>49.04</v>
      </c>
      <c r="J133">
        <v>58.45</v>
      </c>
      <c r="K133">
        <v>66.59</v>
      </c>
      <c r="L133">
        <v>91.15</v>
      </c>
      <c r="M133">
        <v>25.75</v>
      </c>
      <c r="N133">
        <f t="shared" si="119"/>
        <v>58.45</v>
      </c>
      <c r="O133">
        <v>65.400000000000006</v>
      </c>
      <c r="P133">
        <v>58.45</v>
      </c>
      <c r="Q133">
        <v>16.61</v>
      </c>
      <c r="S133">
        <v>75.63</v>
      </c>
      <c r="T133">
        <v>64.27</v>
      </c>
      <c r="U133">
        <v>88.75</v>
      </c>
      <c r="V133">
        <v>72.77</v>
      </c>
      <c r="W133">
        <v>64.900000000000006</v>
      </c>
      <c r="X133">
        <v>88.24</v>
      </c>
      <c r="Y133">
        <v>74.790000000000006</v>
      </c>
      <c r="Z133">
        <v>66.58</v>
      </c>
      <c r="AA133">
        <v>70.27</v>
      </c>
      <c r="AB133">
        <v>80.650000000000006</v>
      </c>
      <c r="AC133">
        <v>88.75</v>
      </c>
      <c r="AD133">
        <v>51.8</v>
      </c>
      <c r="AE133">
        <f t="shared" si="120"/>
        <v>70.275000000000006</v>
      </c>
      <c r="AF133">
        <v>36.96</v>
      </c>
      <c r="AG133">
        <v>70.27</v>
      </c>
      <c r="AH133">
        <v>42.64</v>
      </c>
    </row>
    <row r="134" spans="2:34" x14ac:dyDescent="0.25">
      <c r="B134">
        <v>69.709999999999994</v>
      </c>
      <c r="C134">
        <v>52.99</v>
      </c>
      <c r="D134">
        <v>91.98</v>
      </c>
      <c r="E134">
        <v>65.39</v>
      </c>
      <c r="F134">
        <v>53.29</v>
      </c>
      <c r="G134">
        <v>92.89</v>
      </c>
      <c r="H134">
        <v>67.72</v>
      </c>
      <c r="I134">
        <v>46.97</v>
      </c>
      <c r="J134">
        <v>57.17</v>
      </c>
      <c r="K134">
        <v>72.099999999999994</v>
      </c>
      <c r="L134">
        <v>91.98</v>
      </c>
      <c r="M134">
        <v>22.36</v>
      </c>
      <c r="N134">
        <f t="shared" si="119"/>
        <v>57.17</v>
      </c>
      <c r="O134">
        <v>69.62</v>
      </c>
      <c r="P134">
        <v>57.17</v>
      </c>
      <c r="Q134">
        <v>15.99</v>
      </c>
      <c r="S134">
        <v>74.84</v>
      </c>
      <c r="T134">
        <v>59.58</v>
      </c>
      <c r="U134">
        <v>88.4</v>
      </c>
      <c r="V134">
        <v>68.180000000000007</v>
      </c>
      <c r="W134">
        <v>59.47</v>
      </c>
      <c r="X134">
        <v>87.58</v>
      </c>
      <c r="Y134">
        <v>70.83</v>
      </c>
      <c r="Z134">
        <v>58.51</v>
      </c>
      <c r="AA134">
        <v>64.86</v>
      </c>
      <c r="AB134">
        <v>77.989999999999995</v>
      </c>
      <c r="AC134">
        <v>88.4</v>
      </c>
      <c r="AD134">
        <v>41.32</v>
      </c>
      <c r="AE134">
        <f t="shared" si="120"/>
        <v>64.86</v>
      </c>
      <c r="AF134">
        <v>47.08</v>
      </c>
      <c r="AG134">
        <v>64.86</v>
      </c>
      <c r="AH134">
        <v>32.090000000000003</v>
      </c>
    </row>
    <row r="135" spans="2:34" x14ac:dyDescent="0.25">
      <c r="B135" s="2">
        <f>AVERAGE(B125:B134)</f>
        <v>74.781000000000006</v>
      </c>
      <c r="C135" s="2">
        <f t="shared" ref="C135:Q135" si="121">AVERAGE(C125:C134)</f>
        <v>68.256</v>
      </c>
      <c r="D135" s="2">
        <f t="shared" si="121"/>
        <v>81.249999999999986</v>
      </c>
      <c r="E135" s="2">
        <f t="shared" si="121"/>
        <v>71.546999999999997</v>
      </c>
      <c r="F135" s="2">
        <f t="shared" si="121"/>
        <v>69.373999999999995</v>
      </c>
      <c r="G135" s="2">
        <f t="shared" si="121"/>
        <v>82.481999999999999</v>
      </c>
      <c r="H135" s="2">
        <f t="shared" si="121"/>
        <v>74.415000000000006</v>
      </c>
      <c r="I135" s="2">
        <f t="shared" si="121"/>
        <v>60.962000000000003</v>
      </c>
      <c r="J135" s="2">
        <f t="shared" si="121"/>
        <v>65.481000000000009</v>
      </c>
      <c r="K135" s="2">
        <f t="shared" si="121"/>
        <v>74.364999999999995</v>
      </c>
      <c r="L135" s="2">
        <f t="shared" si="121"/>
        <v>81.249999999999986</v>
      </c>
      <c r="M135" s="2">
        <f t="shared" si="121"/>
        <v>49.712000000000003</v>
      </c>
      <c r="N135" s="2">
        <f t="shared" si="121"/>
        <v>65.480999999999995</v>
      </c>
      <c r="O135" s="2">
        <f t="shared" si="121"/>
        <v>31.538</v>
      </c>
      <c r="P135" s="2">
        <f t="shared" si="121"/>
        <v>65.481000000000009</v>
      </c>
      <c r="Q135" s="2">
        <f t="shared" si="121"/>
        <v>30.507000000000005</v>
      </c>
      <c r="S135" s="2">
        <f>AVERAGE(S129:S134)</f>
        <v>79.891666666666666</v>
      </c>
      <c r="T135" s="2">
        <f t="shared" ref="T135:AH135" si="122">AVERAGE(T129:T134)</f>
        <v>69.031666666666652</v>
      </c>
      <c r="U135" s="2">
        <f t="shared" si="122"/>
        <v>86.901666666666685</v>
      </c>
      <c r="V135" s="2">
        <f t="shared" si="122"/>
        <v>75.023333333333326</v>
      </c>
      <c r="W135" s="2">
        <f t="shared" si="122"/>
        <v>69.106666666666669</v>
      </c>
      <c r="X135" s="2">
        <f t="shared" si="122"/>
        <v>86.963333333333324</v>
      </c>
      <c r="Y135" s="2">
        <f t="shared" si="122"/>
        <v>76.473333333333343</v>
      </c>
      <c r="Z135" s="2">
        <f t="shared" si="122"/>
        <v>65.706666666666663</v>
      </c>
      <c r="AA135" s="2">
        <f t="shared" si="122"/>
        <v>68.92</v>
      </c>
      <c r="AB135" s="2">
        <f t="shared" si="122"/>
        <v>80.131666666666661</v>
      </c>
      <c r="AC135" s="2">
        <f t="shared" si="122"/>
        <v>86.901666666666685</v>
      </c>
      <c r="AD135" s="2">
        <f t="shared" si="122"/>
        <v>50.940000000000005</v>
      </c>
      <c r="AE135" s="2">
        <f t="shared" si="122"/>
        <v>68.920833333333334</v>
      </c>
      <c r="AF135" s="2">
        <f t="shared" si="122"/>
        <v>35.965000000000003</v>
      </c>
      <c r="AG135" s="2">
        <f t="shared" si="122"/>
        <v>68.92</v>
      </c>
      <c r="AH135" s="2">
        <f t="shared" si="122"/>
        <v>39.916666666666671</v>
      </c>
    </row>
    <row r="136" spans="2:34" x14ac:dyDescent="0.25">
      <c r="B136">
        <v>85.53</v>
      </c>
      <c r="C136">
        <v>79.42</v>
      </c>
      <c r="D136">
        <v>83.51</v>
      </c>
      <c r="E136">
        <v>80.05</v>
      </c>
      <c r="F136">
        <v>79.37</v>
      </c>
      <c r="G136">
        <v>81.97</v>
      </c>
      <c r="H136">
        <v>80.650000000000006</v>
      </c>
      <c r="I136">
        <v>67.8</v>
      </c>
      <c r="J136">
        <v>70.989999999999995</v>
      </c>
      <c r="K136">
        <v>76.23</v>
      </c>
      <c r="L136">
        <v>83.51</v>
      </c>
      <c r="M136">
        <v>58.47</v>
      </c>
      <c r="N136">
        <f>(L136+M136)/2</f>
        <v>70.990000000000009</v>
      </c>
      <c r="O136">
        <v>25.04</v>
      </c>
      <c r="P136">
        <v>70.989999999999995</v>
      </c>
      <c r="Q136">
        <v>39.93</v>
      </c>
    </row>
    <row r="137" spans="2:34" x14ac:dyDescent="0.25">
      <c r="B137">
        <v>91.48</v>
      </c>
      <c r="C137">
        <v>80.58</v>
      </c>
      <c r="D137">
        <v>86.01</v>
      </c>
      <c r="E137">
        <v>80.760000000000005</v>
      </c>
      <c r="F137">
        <v>79.069999999999993</v>
      </c>
      <c r="G137">
        <v>83.61</v>
      </c>
      <c r="H137">
        <v>81.27</v>
      </c>
      <c r="I137">
        <v>69.14</v>
      </c>
      <c r="J137">
        <v>74.489999999999995</v>
      </c>
      <c r="K137">
        <v>82.65</v>
      </c>
      <c r="L137">
        <v>86.01</v>
      </c>
      <c r="M137">
        <v>62.98</v>
      </c>
      <c r="N137">
        <f t="shared" ref="N137:N145" si="123">(L137+M137)/2</f>
        <v>74.495000000000005</v>
      </c>
      <c r="O137">
        <v>23.03</v>
      </c>
      <c r="P137">
        <v>74.489999999999995</v>
      </c>
      <c r="Q137">
        <v>47.38</v>
      </c>
    </row>
    <row r="138" spans="2:34" x14ac:dyDescent="0.25">
      <c r="B138">
        <v>67.430000000000007</v>
      </c>
      <c r="C138">
        <v>64.010000000000005</v>
      </c>
      <c r="D138">
        <v>73.45</v>
      </c>
      <c r="E138">
        <v>66.47</v>
      </c>
      <c r="F138">
        <v>66.849999999999994</v>
      </c>
      <c r="G138">
        <v>77.069999999999993</v>
      </c>
      <c r="H138">
        <v>71.599999999999994</v>
      </c>
      <c r="I138">
        <v>58.46</v>
      </c>
      <c r="J138">
        <v>61.35</v>
      </c>
      <c r="K138">
        <v>71.290000000000006</v>
      </c>
      <c r="L138">
        <v>73.45</v>
      </c>
      <c r="M138">
        <v>49.25</v>
      </c>
      <c r="N138">
        <f t="shared" si="123"/>
        <v>61.35</v>
      </c>
      <c r="O138">
        <v>24.2</v>
      </c>
      <c r="P138">
        <v>61.35</v>
      </c>
      <c r="Q138">
        <v>22.79</v>
      </c>
    </row>
    <row r="139" spans="2:34" x14ac:dyDescent="0.25">
      <c r="B139">
        <v>90.36</v>
      </c>
      <c r="C139">
        <v>79.02</v>
      </c>
      <c r="D139">
        <v>79.19</v>
      </c>
      <c r="E139">
        <v>76.78</v>
      </c>
      <c r="F139">
        <v>78.150000000000006</v>
      </c>
      <c r="G139">
        <v>76.23</v>
      </c>
      <c r="H139">
        <v>77.180000000000007</v>
      </c>
      <c r="I139">
        <v>65.150000000000006</v>
      </c>
      <c r="J139">
        <v>69.709999999999994</v>
      </c>
      <c r="K139">
        <v>82.74</v>
      </c>
      <c r="L139">
        <v>79.19</v>
      </c>
      <c r="M139">
        <v>60.24</v>
      </c>
      <c r="N139">
        <f t="shared" si="123"/>
        <v>69.715000000000003</v>
      </c>
      <c r="O139">
        <v>18.95</v>
      </c>
      <c r="P139">
        <v>69.709999999999994</v>
      </c>
      <c r="Q139">
        <v>37.76</v>
      </c>
    </row>
    <row r="140" spans="2:34" x14ac:dyDescent="0.25">
      <c r="B140">
        <v>69.86</v>
      </c>
      <c r="C140">
        <v>68.16</v>
      </c>
      <c r="D140">
        <v>70.959999999999994</v>
      </c>
      <c r="E140">
        <v>66.16</v>
      </c>
      <c r="F140">
        <v>69.62</v>
      </c>
      <c r="G140">
        <v>70.06</v>
      </c>
      <c r="H140">
        <v>69.84</v>
      </c>
      <c r="I140">
        <v>60.6</v>
      </c>
      <c r="J140">
        <v>65.459999999999994</v>
      </c>
      <c r="K140">
        <v>73.41</v>
      </c>
      <c r="L140">
        <v>70.959999999999994</v>
      </c>
      <c r="M140">
        <v>59.97</v>
      </c>
      <c r="N140">
        <f t="shared" si="123"/>
        <v>65.465000000000003</v>
      </c>
      <c r="O140">
        <v>10.99</v>
      </c>
      <c r="P140">
        <v>65.459999999999994</v>
      </c>
      <c r="Q140">
        <v>28.67</v>
      </c>
      <c r="S140">
        <v>83.19</v>
      </c>
      <c r="T140">
        <v>74.67</v>
      </c>
      <c r="U140">
        <v>79.13</v>
      </c>
      <c r="V140">
        <v>75.95</v>
      </c>
      <c r="W140">
        <v>74.680000000000007</v>
      </c>
      <c r="X140">
        <v>78.73</v>
      </c>
      <c r="Y140">
        <v>76.650000000000006</v>
      </c>
      <c r="Z140">
        <v>67.83</v>
      </c>
      <c r="AA140">
        <v>69.069999999999993</v>
      </c>
      <c r="AB140">
        <v>77.75</v>
      </c>
      <c r="AC140">
        <v>79.13</v>
      </c>
      <c r="AD140">
        <v>59</v>
      </c>
      <c r="AE140">
        <f>(AC140+AD140)/2</f>
        <v>69.064999999999998</v>
      </c>
      <c r="AF140">
        <v>20.14</v>
      </c>
      <c r="AG140">
        <v>69.069999999999993</v>
      </c>
      <c r="AH140">
        <v>38.47</v>
      </c>
    </row>
    <row r="141" spans="2:34" x14ac:dyDescent="0.25">
      <c r="B141">
        <v>62.14</v>
      </c>
      <c r="C141">
        <v>52.38</v>
      </c>
      <c r="D141">
        <v>61.07</v>
      </c>
      <c r="E141">
        <v>77.91</v>
      </c>
      <c r="F141">
        <v>59.31</v>
      </c>
      <c r="G141">
        <v>70.489999999999995</v>
      </c>
      <c r="H141">
        <v>64.42</v>
      </c>
      <c r="I141">
        <v>55.36</v>
      </c>
      <c r="J141">
        <v>56.9</v>
      </c>
      <c r="K141">
        <v>67.48</v>
      </c>
      <c r="L141">
        <v>61.07</v>
      </c>
      <c r="M141">
        <v>52.73</v>
      </c>
      <c r="N141">
        <f t="shared" si="123"/>
        <v>56.9</v>
      </c>
      <c r="O141">
        <v>8.34</v>
      </c>
      <c r="P141">
        <v>56.9</v>
      </c>
      <c r="Q141">
        <v>15.18</v>
      </c>
      <c r="S141">
        <v>82.39</v>
      </c>
      <c r="T141">
        <v>74.5</v>
      </c>
      <c r="U141">
        <v>79.069999999999993</v>
      </c>
      <c r="V141">
        <v>76.37</v>
      </c>
      <c r="W141">
        <v>76.069999999999993</v>
      </c>
      <c r="X141">
        <v>80.540000000000006</v>
      </c>
      <c r="Y141">
        <v>78.239999999999995</v>
      </c>
      <c r="Z141">
        <v>68.25</v>
      </c>
      <c r="AA141">
        <v>68.510000000000005</v>
      </c>
      <c r="AB141">
        <v>77.760000000000005</v>
      </c>
      <c r="AC141">
        <v>79.069999999999993</v>
      </c>
      <c r="AD141">
        <v>57.95</v>
      </c>
      <c r="AE141">
        <f t="shared" ref="AE141:AE145" si="124">(AC141+AD141)/2</f>
        <v>68.509999999999991</v>
      </c>
      <c r="AF141">
        <v>21.13</v>
      </c>
      <c r="AG141">
        <v>68.510000000000005</v>
      </c>
      <c r="AH141">
        <v>38.340000000000003</v>
      </c>
    </row>
    <row r="142" spans="2:34" x14ac:dyDescent="0.25">
      <c r="B142">
        <v>90.5</v>
      </c>
      <c r="C142">
        <v>83.29</v>
      </c>
      <c r="D142">
        <v>81.099999999999994</v>
      </c>
      <c r="E142">
        <v>80.62</v>
      </c>
      <c r="F142">
        <v>83.33</v>
      </c>
      <c r="G142">
        <v>77.87</v>
      </c>
      <c r="H142">
        <v>80.510000000000005</v>
      </c>
      <c r="I142">
        <v>70.23</v>
      </c>
      <c r="J142">
        <v>74.31</v>
      </c>
      <c r="K142">
        <v>83.13</v>
      </c>
      <c r="L142">
        <v>81.099999999999994</v>
      </c>
      <c r="M142">
        <v>67.52</v>
      </c>
      <c r="N142">
        <f t="shared" si="123"/>
        <v>74.31</v>
      </c>
      <c r="O142">
        <v>13.58</v>
      </c>
      <c r="P142">
        <v>74.31</v>
      </c>
      <c r="Q142">
        <v>45.55</v>
      </c>
      <c r="S142">
        <v>76.94</v>
      </c>
      <c r="T142">
        <v>65.16</v>
      </c>
      <c r="U142">
        <v>82.58</v>
      </c>
      <c r="V142">
        <v>72.16</v>
      </c>
      <c r="W142">
        <v>67.540000000000006</v>
      </c>
      <c r="X142">
        <v>84.31</v>
      </c>
      <c r="Y142">
        <v>75</v>
      </c>
      <c r="Z142">
        <v>69.239999999999995</v>
      </c>
      <c r="AA142">
        <v>70.66</v>
      </c>
      <c r="AB142">
        <v>78.760000000000005</v>
      </c>
      <c r="AC142">
        <v>82.58</v>
      </c>
      <c r="AD142">
        <v>58.74</v>
      </c>
      <c r="AE142">
        <f t="shared" si="124"/>
        <v>70.66</v>
      </c>
      <c r="AF142">
        <v>23.83</v>
      </c>
      <c r="AG142">
        <v>70.66</v>
      </c>
      <c r="AH142">
        <v>41.5</v>
      </c>
    </row>
    <row r="143" spans="2:34" x14ac:dyDescent="0.25">
      <c r="B143">
        <v>69.3</v>
      </c>
      <c r="C143">
        <v>68.790000000000006</v>
      </c>
      <c r="D143">
        <v>66.790000000000006</v>
      </c>
      <c r="E143">
        <v>63.86</v>
      </c>
      <c r="F143">
        <v>69.540000000000006</v>
      </c>
      <c r="G143">
        <v>66.88</v>
      </c>
      <c r="H143">
        <v>68.180000000000007</v>
      </c>
      <c r="I143">
        <v>60.37</v>
      </c>
      <c r="J143">
        <v>65.28</v>
      </c>
      <c r="K143">
        <v>72.5</v>
      </c>
      <c r="L143">
        <v>66.790000000000006</v>
      </c>
      <c r="M143">
        <v>63.76</v>
      </c>
      <c r="N143">
        <f t="shared" si="123"/>
        <v>65.275000000000006</v>
      </c>
      <c r="O143">
        <v>3.03</v>
      </c>
      <c r="P143">
        <v>65.28</v>
      </c>
      <c r="Q143">
        <v>28.9</v>
      </c>
      <c r="S143">
        <v>85.87</v>
      </c>
      <c r="T143">
        <v>78.52</v>
      </c>
      <c r="U143">
        <v>81.680000000000007</v>
      </c>
      <c r="V143">
        <v>79.72</v>
      </c>
      <c r="W143">
        <v>79.48</v>
      </c>
      <c r="X143">
        <v>82.35</v>
      </c>
      <c r="Y143">
        <v>80.89</v>
      </c>
      <c r="Z143">
        <v>73.709999999999994</v>
      </c>
      <c r="AA143">
        <v>74.23</v>
      </c>
      <c r="AB143">
        <v>81.239999999999995</v>
      </c>
      <c r="AC143">
        <v>81.680000000000007</v>
      </c>
      <c r="AD143">
        <v>66.790000000000006</v>
      </c>
      <c r="AE143">
        <f t="shared" si="124"/>
        <v>74.235000000000014</v>
      </c>
      <c r="AF143">
        <v>14.89</v>
      </c>
      <c r="AG143">
        <v>74.23</v>
      </c>
      <c r="AH143">
        <v>48.57</v>
      </c>
    </row>
    <row r="144" spans="2:34" x14ac:dyDescent="0.25">
      <c r="B144">
        <v>68.08</v>
      </c>
      <c r="C144">
        <v>64.430000000000007</v>
      </c>
      <c r="D144">
        <v>70.08</v>
      </c>
      <c r="E144">
        <v>77.73</v>
      </c>
      <c r="F144">
        <v>69.92</v>
      </c>
      <c r="G144">
        <v>76.23</v>
      </c>
      <c r="H144">
        <v>72.94</v>
      </c>
      <c r="I144">
        <v>67.91</v>
      </c>
      <c r="J144">
        <v>68.58</v>
      </c>
      <c r="K144">
        <v>73.94</v>
      </c>
      <c r="L144">
        <v>70.08</v>
      </c>
      <c r="M144">
        <v>67.09</v>
      </c>
      <c r="N144">
        <f t="shared" si="123"/>
        <v>68.585000000000008</v>
      </c>
      <c r="O144">
        <v>2.99</v>
      </c>
      <c r="P144">
        <v>68.58</v>
      </c>
      <c r="Q144">
        <v>37.729999999999997</v>
      </c>
      <c r="S144">
        <v>74.89</v>
      </c>
      <c r="T144">
        <v>68.05</v>
      </c>
      <c r="U144">
        <v>78.790000000000006</v>
      </c>
      <c r="V144">
        <v>71.319999999999993</v>
      </c>
      <c r="W144">
        <v>68.75</v>
      </c>
      <c r="X144">
        <v>79.08</v>
      </c>
      <c r="Y144">
        <v>73.56</v>
      </c>
      <c r="Z144">
        <v>69.27</v>
      </c>
      <c r="AA144">
        <v>71.760000000000005</v>
      </c>
      <c r="AB144">
        <v>78.3</v>
      </c>
      <c r="AC144">
        <v>78.790000000000006</v>
      </c>
      <c r="AD144">
        <v>64.73</v>
      </c>
      <c r="AE144">
        <f t="shared" si="124"/>
        <v>71.760000000000005</v>
      </c>
      <c r="AF144">
        <v>14.06</v>
      </c>
      <c r="AG144">
        <v>71.760000000000005</v>
      </c>
      <c r="AH144">
        <v>43.13</v>
      </c>
    </row>
    <row r="145" spans="1:34" x14ac:dyDescent="0.25">
      <c r="B145">
        <v>71.94</v>
      </c>
      <c r="C145">
        <v>61.06</v>
      </c>
      <c r="D145">
        <v>79.19</v>
      </c>
      <c r="E145">
        <v>67.36</v>
      </c>
      <c r="F145">
        <v>62.54</v>
      </c>
      <c r="G145">
        <v>81.819999999999993</v>
      </c>
      <c r="H145">
        <v>70.89</v>
      </c>
      <c r="I145">
        <v>63.26</v>
      </c>
      <c r="J145">
        <v>66.5</v>
      </c>
      <c r="K145">
        <v>74.63</v>
      </c>
      <c r="L145">
        <v>79.19</v>
      </c>
      <c r="M145">
        <v>53.81</v>
      </c>
      <c r="N145">
        <f t="shared" si="123"/>
        <v>66.5</v>
      </c>
      <c r="O145">
        <v>25.38</v>
      </c>
      <c r="P145">
        <v>66.5</v>
      </c>
      <c r="Q145">
        <v>34.31</v>
      </c>
      <c r="S145">
        <v>78.819999999999993</v>
      </c>
      <c r="T145">
        <v>64.010000000000005</v>
      </c>
      <c r="U145">
        <v>80.61</v>
      </c>
      <c r="V145">
        <v>69.819999999999993</v>
      </c>
      <c r="W145">
        <v>66.92</v>
      </c>
      <c r="X145">
        <v>81.52</v>
      </c>
      <c r="Y145">
        <v>73.5</v>
      </c>
      <c r="Z145">
        <v>66.19</v>
      </c>
      <c r="AA145">
        <v>68.44</v>
      </c>
      <c r="AB145">
        <v>78.66</v>
      </c>
      <c r="AC145">
        <v>80.61</v>
      </c>
      <c r="AD145">
        <v>56.26</v>
      </c>
      <c r="AE145">
        <f t="shared" si="124"/>
        <v>68.435000000000002</v>
      </c>
      <c r="AF145">
        <v>24.36</v>
      </c>
      <c r="AG145">
        <v>68.44</v>
      </c>
      <c r="AH145">
        <v>36.81</v>
      </c>
    </row>
    <row r="146" spans="1:34" x14ac:dyDescent="0.25">
      <c r="B146" s="2">
        <f>AVERAGE(B136:B145)</f>
        <v>76.661999999999992</v>
      </c>
      <c r="C146" s="2">
        <f t="shared" ref="C146:Q146" si="125">AVERAGE(C136:C145)</f>
        <v>70.11399999999999</v>
      </c>
      <c r="D146" s="2">
        <f t="shared" si="125"/>
        <v>75.134999999999991</v>
      </c>
      <c r="E146" s="2">
        <f t="shared" si="125"/>
        <v>73.77000000000001</v>
      </c>
      <c r="F146" s="2">
        <f t="shared" si="125"/>
        <v>71.77</v>
      </c>
      <c r="G146" s="2">
        <f t="shared" si="125"/>
        <v>76.222999999999999</v>
      </c>
      <c r="H146" s="2">
        <f t="shared" si="125"/>
        <v>73.748000000000019</v>
      </c>
      <c r="I146" s="2">
        <f t="shared" si="125"/>
        <v>63.82800000000001</v>
      </c>
      <c r="J146" s="2">
        <f t="shared" si="125"/>
        <v>67.356999999999999</v>
      </c>
      <c r="K146" s="2">
        <f t="shared" si="125"/>
        <v>75.800000000000011</v>
      </c>
      <c r="L146" s="2">
        <f t="shared" si="125"/>
        <v>75.134999999999991</v>
      </c>
      <c r="M146" s="2">
        <f t="shared" si="125"/>
        <v>59.581999999999994</v>
      </c>
      <c r="N146" s="2">
        <f t="shared" si="125"/>
        <v>67.358500000000006</v>
      </c>
      <c r="O146" s="2">
        <f t="shared" si="125"/>
        <v>15.553000000000001</v>
      </c>
      <c r="P146" s="2">
        <f t="shared" si="125"/>
        <v>67.356999999999999</v>
      </c>
      <c r="Q146" s="2">
        <f t="shared" si="125"/>
        <v>33.82</v>
      </c>
      <c r="S146" s="2">
        <f>AVERAGE(S140:S145)</f>
        <v>80.349999999999994</v>
      </c>
      <c r="T146" s="2">
        <f t="shared" ref="T146:AH146" si="126">AVERAGE(T140:T145)</f>
        <v>70.818333333333342</v>
      </c>
      <c r="U146" s="2">
        <f t="shared" si="126"/>
        <v>80.31</v>
      </c>
      <c r="V146" s="2">
        <f t="shared" si="126"/>
        <v>74.223333333333329</v>
      </c>
      <c r="W146" s="2">
        <f t="shared" si="126"/>
        <v>72.240000000000009</v>
      </c>
      <c r="X146" s="2">
        <f t="shared" si="126"/>
        <v>81.088333333333324</v>
      </c>
      <c r="Y146" s="2">
        <f t="shared" si="126"/>
        <v>76.306666666666658</v>
      </c>
      <c r="Z146" s="2">
        <f t="shared" si="126"/>
        <v>69.081666666666663</v>
      </c>
      <c r="AA146" s="2">
        <f t="shared" si="126"/>
        <v>70.444999999999993</v>
      </c>
      <c r="AB146" s="2">
        <f t="shared" si="126"/>
        <v>78.745000000000005</v>
      </c>
      <c r="AC146" s="2">
        <f t="shared" si="126"/>
        <v>80.31</v>
      </c>
      <c r="AD146" s="2">
        <f t="shared" si="126"/>
        <v>60.57833333333334</v>
      </c>
      <c r="AE146" s="2">
        <f t="shared" si="126"/>
        <v>70.444166666666675</v>
      </c>
      <c r="AF146" s="2">
        <f t="shared" si="126"/>
        <v>19.734999999999999</v>
      </c>
      <c r="AG146" s="2">
        <f t="shared" si="126"/>
        <v>70.444999999999993</v>
      </c>
      <c r="AH146" s="2">
        <f t="shared" si="126"/>
        <v>41.136666666666663</v>
      </c>
    </row>
    <row r="148" spans="1:34" x14ac:dyDescent="0.25">
      <c r="B148" s="2">
        <f>AVERAGE(B124,B135,B146)</f>
        <v>75.520666666666671</v>
      </c>
      <c r="C148" s="2">
        <f t="shared" ref="C148" si="127">AVERAGE(C124,C135,C146)</f>
        <v>71.11866666666667</v>
      </c>
      <c r="D148" s="2">
        <f t="shared" ref="D148" si="128">AVERAGE(D124,D135,D146)</f>
        <v>73.200999999999993</v>
      </c>
      <c r="E148" s="2">
        <f t="shared" ref="E148" si="129">AVERAGE(E124,E135,E146)</f>
        <v>71.305333333333337</v>
      </c>
      <c r="F148" s="2">
        <f t="shared" ref="F148" si="130">AVERAGE(F124,F135,F146)</f>
        <v>73.297666666666657</v>
      </c>
      <c r="G148" s="2">
        <f t="shared" ref="G148" si="131">AVERAGE(G124,G135,G146)</f>
        <v>74.823999999999998</v>
      </c>
      <c r="H148" s="2">
        <f t="shared" ref="H148" si="132">AVERAGE(H124,H135,H146)</f>
        <v>73.229000000000013</v>
      </c>
      <c r="I148" s="2">
        <f t="shared" ref="I148" si="133">AVERAGE(I124,I135,I146)</f>
        <v>63.31366666666667</v>
      </c>
      <c r="J148" s="2">
        <f t="shared" ref="J148" si="134">AVERAGE(J124,J135,J146)</f>
        <v>67.072000000000003</v>
      </c>
      <c r="K148" s="2">
        <f t="shared" ref="K148" si="135">AVERAGE(K124,K135,K146)</f>
        <v>74.777333333333331</v>
      </c>
      <c r="L148" s="2">
        <f t="shared" ref="L148" si="136">AVERAGE(L124,L135,L146)</f>
        <v>73.200999999999993</v>
      </c>
      <c r="M148" s="2">
        <f t="shared" ref="M148" si="137">AVERAGE(M124,M135,M146)</f>
        <v>60.942666666666668</v>
      </c>
      <c r="N148" s="2">
        <f t="shared" ref="N148" si="138">AVERAGE(N124,N135,N146)</f>
        <v>67.071833333333345</v>
      </c>
      <c r="O148" s="2">
        <f t="shared" ref="O148" si="139">AVERAGE(O124,O135,O146)</f>
        <v>20.516999999999999</v>
      </c>
      <c r="P148" s="2">
        <f t="shared" ref="P148" si="140">AVERAGE(P124,P135,P146)</f>
        <v>67.072000000000003</v>
      </c>
      <c r="Q148" s="2">
        <f t="shared" ref="Q148" si="141">AVERAGE(Q124,Q135,Q146)</f>
        <v>32.879666666666672</v>
      </c>
      <c r="S148" s="2">
        <f>AVERAGE(S124,S135,S146)</f>
        <v>79.280555555555551</v>
      </c>
      <c r="T148" s="2">
        <f t="shared" ref="T148" si="142">AVERAGE(T124,T135,T146)</f>
        <v>70.61333333333333</v>
      </c>
      <c r="U148" s="2">
        <f t="shared" ref="U148" si="143">AVERAGE(U124,U135,U146)</f>
        <v>81.229444444444454</v>
      </c>
      <c r="V148" s="2">
        <f t="shared" ref="V148" si="144">AVERAGE(V124,V135,V146)</f>
        <v>74.210555555555558</v>
      </c>
      <c r="W148" s="2">
        <f t="shared" ref="W148" si="145">AVERAGE(W124,W135,W146)</f>
        <v>71.778888888888886</v>
      </c>
      <c r="X148" s="2">
        <f t="shared" ref="X148" si="146">AVERAGE(X124,X135,X146)</f>
        <v>81.992777777777761</v>
      </c>
      <c r="Y148" s="2">
        <f t="shared" ref="Y148" si="147">AVERAGE(Y124,Y135,Y146)</f>
        <v>76.216111111111104</v>
      </c>
      <c r="Z148" s="2">
        <f t="shared" ref="Z148" si="148">AVERAGE(Z124,Z135,Z146)</f>
        <v>68.022777777777776</v>
      </c>
      <c r="AA148" s="2">
        <f t="shared" ref="AA148" si="149">AVERAGE(AA124,AA135,AA146)</f>
        <v>69.899444444444441</v>
      </c>
      <c r="AB148" s="2">
        <f t="shared" ref="AB148" si="150">AVERAGE(AB124,AB135,AB146)</f>
        <v>78.592777777777769</v>
      </c>
      <c r="AC148" s="2">
        <f t="shared" ref="AC148" si="151">AVERAGE(AC124,AC135,AC146)</f>
        <v>81.229444444444454</v>
      </c>
      <c r="AD148" s="2">
        <f t="shared" ref="AD148" si="152">AVERAGE(AD124,AD135,AD146)</f>
        <v>58.568333333333335</v>
      </c>
      <c r="AE148" s="2">
        <f>AVERAGE(AE124,AE135,AE146)</f>
        <v>69.898888888888891</v>
      </c>
      <c r="AF148" s="2">
        <f t="shared" ref="AF148" si="153">AVERAGE(AF124,AF135,AF146)</f>
        <v>22.663333333333338</v>
      </c>
      <c r="AG148" s="2">
        <f t="shared" ref="AG148" si="154">AVERAGE(AG124,AG135,AG146)</f>
        <v>69.899444444444441</v>
      </c>
      <c r="AH148" s="2">
        <f t="shared" ref="AH148" si="155">AVERAGE(AH124,AH135,AH146)</f>
        <v>40.549444444444447</v>
      </c>
    </row>
    <row r="149" spans="1:34" x14ac:dyDescent="0.25">
      <c r="B149" s="2">
        <f>_xlfn.STDEV.S(B124,B135,B146)</f>
        <v>1.0027673375879969</v>
      </c>
      <c r="C149" s="2">
        <f t="shared" ref="C149:Q149" si="156">_xlfn.STDEV.S(C124,C135,C146)</f>
        <v>3.4756641571551992</v>
      </c>
      <c r="D149" s="2">
        <f t="shared" si="156"/>
        <v>9.1702520685092743</v>
      </c>
      <c r="E149" s="2">
        <f t="shared" si="156"/>
        <v>2.5939568873312733</v>
      </c>
      <c r="F149" s="2">
        <f t="shared" si="156"/>
        <v>4.8706242241968667</v>
      </c>
      <c r="G149" s="2">
        <f t="shared" si="156"/>
        <v>8.4448627579138336</v>
      </c>
      <c r="H149" s="2">
        <f t="shared" si="156"/>
        <v>1.5137671551463889</v>
      </c>
      <c r="I149" s="2">
        <f t="shared" si="156"/>
        <v>2.141339378364234</v>
      </c>
      <c r="J149" s="2">
        <f t="shared" si="156"/>
        <v>1.4693777594614621</v>
      </c>
      <c r="K149" s="2">
        <f t="shared" si="156"/>
        <v>0.89117132658840981</v>
      </c>
      <c r="L149" s="2">
        <f t="shared" si="156"/>
        <v>9.1702520685092743</v>
      </c>
      <c r="M149" s="2">
        <f t="shared" si="156"/>
        <v>11.969147059558326</v>
      </c>
      <c r="N149" s="2">
        <f t="shared" si="156"/>
        <v>1.4686352792076562</v>
      </c>
      <c r="O149" s="2">
        <f t="shared" si="156"/>
        <v>9.5600990057634849</v>
      </c>
      <c r="P149" s="2">
        <f t="shared" si="156"/>
        <v>1.4693777594614621</v>
      </c>
      <c r="Q149" s="2">
        <f t="shared" si="156"/>
        <v>2.0694628127447299</v>
      </c>
      <c r="S149" s="2">
        <f>_xlfn.STDEV.S(S124,S135,S146)</f>
        <v>1.4733355329294719</v>
      </c>
      <c r="T149" s="2">
        <f t="shared" ref="T149:AH149" si="157">_xlfn.STDEV.S(T124,T135,T146)</f>
        <v>1.4897827955033565</v>
      </c>
      <c r="U149" s="2">
        <f t="shared" si="157"/>
        <v>5.2729678374531055</v>
      </c>
      <c r="V149" s="2">
        <f t="shared" si="157"/>
        <v>0.8192414061077915</v>
      </c>
      <c r="W149" s="2">
        <f t="shared" si="157"/>
        <v>2.4741066476010465</v>
      </c>
      <c r="X149" s="2">
        <f t="shared" si="157"/>
        <v>4.5857225086049311</v>
      </c>
      <c r="Y149" s="2">
        <f t="shared" si="157"/>
        <v>0.31250037037015826</v>
      </c>
      <c r="Z149" s="2">
        <f t="shared" si="157"/>
        <v>2.0082609484419707</v>
      </c>
      <c r="AA149" s="2">
        <f t="shared" si="157"/>
        <v>0.85005936611857791</v>
      </c>
      <c r="AB149" s="2">
        <f t="shared" si="157"/>
        <v>1.6203714708990997</v>
      </c>
      <c r="AC149" s="2">
        <f t="shared" si="157"/>
        <v>5.2729678374531055</v>
      </c>
      <c r="AD149" s="2">
        <f t="shared" si="157"/>
        <v>6.848256671916177</v>
      </c>
      <c r="AE149" s="2">
        <f t="shared" si="157"/>
        <v>0.84888666193716167</v>
      </c>
      <c r="AF149" s="2">
        <f t="shared" si="157"/>
        <v>12.106104176543884</v>
      </c>
      <c r="AG149" s="2">
        <f t="shared" si="157"/>
        <v>0.85005936611857791</v>
      </c>
      <c r="AH149" s="2">
        <f t="shared" si="157"/>
        <v>0.61127447311455463</v>
      </c>
    </row>
    <row r="151" spans="1:34" x14ac:dyDescent="0.25">
      <c r="A151" s="1" t="s">
        <v>79</v>
      </c>
      <c r="B151">
        <v>79.38</v>
      </c>
      <c r="C151">
        <v>78.849999999999994</v>
      </c>
      <c r="D151">
        <v>72.319999999999993</v>
      </c>
      <c r="E151">
        <v>74.84</v>
      </c>
      <c r="F151">
        <v>80.53</v>
      </c>
      <c r="G151">
        <v>74.59</v>
      </c>
      <c r="H151">
        <v>77.45</v>
      </c>
      <c r="I151">
        <v>63.21</v>
      </c>
      <c r="J151">
        <v>66.319999999999993</v>
      </c>
      <c r="K151">
        <v>71.569999999999993</v>
      </c>
      <c r="L151">
        <v>72.319999999999993</v>
      </c>
      <c r="M151">
        <v>60.31</v>
      </c>
      <c r="N151">
        <f>(L151+M151)/2</f>
        <v>66.314999999999998</v>
      </c>
      <c r="O151">
        <v>12.01</v>
      </c>
      <c r="P151">
        <v>66.319999999999993</v>
      </c>
      <c r="Q151">
        <v>29.6</v>
      </c>
    </row>
    <row r="152" spans="1:34" x14ac:dyDescent="0.25">
      <c r="B152">
        <v>87.92</v>
      </c>
      <c r="C152">
        <v>84.55</v>
      </c>
      <c r="D152">
        <v>74.84</v>
      </c>
      <c r="E152">
        <v>79.38</v>
      </c>
      <c r="F152">
        <v>86.11</v>
      </c>
      <c r="G152">
        <v>76.23</v>
      </c>
      <c r="H152">
        <v>80.87</v>
      </c>
      <c r="I152">
        <v>70.16</v>
      </c>
      <c r="J152">
        <v>72.319999999999993</v>
      </c>
      <c r="K152">
        <v>80.59</v>
      </c>
      <c r="L152">
        <v>74.84</v>
      </c>
      <c r="M152">
        <v>69.790000000000006</v>
      </c>
      <c r="N152">
        <f t="shared" ref="N152:N160" si="158">(L152+M152)/2</f>
        <v>72.314999999999998</v>
      </c>
      <c r="O152">
        <v>5.04</v>
      </c>
      <c r="P152">
        <v>72.319999999999993</v>
      </c>
      <c r="Q152">
        <v>41.7</v>
      </c>
    </row>
    <row r="153" spans="1:34" x14ac:dyDescent="0.25">
      <c r="B153">
        <v>68.41</v>
      </c>
      <c r="C153">
        <v>71.540000000000006</v>
      </c>
      <c r="D153">
        <v>63.28</v>
      </c>
      <c r="E153">
        <v>65.900000000000006</v>
      </c>
      <c r="F153">
        <v>76.260000000000005</v>
      </c>
      <c r="G153">
        <v>67.52</v>
      </c>
      <c r="H153">
        <v>71.62</v>
      </c>
      <c r="I153">
        <v>64.41</v>
      </c>
      <c r="J153">
        <v>66.599999999999994</v>
      </c>
      <c r="K153">
        <v>70.89</v>
      </c>
      <c r="L153">
        <v>63.28</v>
      </c>
      <c r="M153">
        <v>69.930000000000007</v>
      </c>
      <c r="N153">
        <f t="shared" si="158"/>
        <v>66.605000000000004</v>
      </c>
      <c r="O153">
        <v>6.64</v>
      </c>
      <c r="P153">
        <v>66.599999999999994</v>
      </c>
      <c r="Q153">
        <v>31.58</v>
      </c>
    </row>
    <row r="154" spans="1:34" x14ac:dyDescent="0.25">
      <c r="B154">
        <v>89.96</v>
      </c>
      <c r="C154">
        <v>85.85</v>
      </c>
      <c r="D154">
        <v>71.010000000000005</v>
      </c>
      <c r="E154">
        <v>77.400000000000006</v>
      </c>
      <c r="F154">
        <v>86.87</v>
      </c>
      <c r="G154">
        <v>70.489999999999995</v>
      </c>
      <c r="H154">
        <v>77.83</v>
      </c>
      <c r="I154">
        <v>69.099999999999994</v>
      </c>
      <c r="J154">
        <v>73.849999999999994</v>
      </c>
      <c r="K154">
        <v>79.91</v>
      </c>
      <c r="L154">
        <v>71.010000000000005</v>
      </c>
      <c r="M154">
        <v>76.69</v>
      </c>
      <c r="N154">
        <f t="shared" si="158"/>
        <v>73.849999999999994</v>
      </c>
      <c r="O154">
        <v>5.68</v>
      </c>
      <c r="P154">
        <v>73.849999999999994</v>
      </c>
      <c r="Q154">
        <v>42.61</v>
      </c>
    </row>
    <row r="155" spans="1:34" x14ac:dyDescent="0.25">
      <c r="B155">
        <v>68.97</v>
      </c>
      <c r="C155">
        <v>77.209999999999994</v>
      </c>
      <c r="D155">
        <v>57.94</v>
      </c>
      <c r="E155">
        <v>63.28</v>
      </c>
      <c r="F155">
        <v>81.25</v>
      </c>
      <c r="G155">
        <v>57.96</v>
      </c>
      <c r="H155">
        <v>67.66</v>
      </c>
      <c r="I155">
        <v>64.22</v>
      </c>
      <c r="J155">
        <v>69.900000000000006</v>
      </c>
      <c r="K155">
        <v>75.36</v>
      </c>
      <c r="L155">
        <v>57.94</v>
      </c>
      <c r="M155">
        <v>81.87</v>
      </c>
      <c r="N155">
        <f t="shared" si="158"/>
        <v>69.905000000000001</v>
      </c>
      <c r="O155">
        <v>23.93</v>
      </c>
      <c r="P155">
        <v>69.900000000000006</v>
      </c>
      <c r="Q155">
        <v>36.549999999999997</v>
      </c>
      <c r="S155">
        <v>83.55</v>
      </c>
      <c r="T155">
        <v>77.13</v>
      </c>
      <c r="U155">
        <v>77.77</v>
      </c>
      <c r="V155">
        <v>77.12</v>
      </c>
      <c r="W155">
        <v>77.930000000000007</v>
      </c>
      <c r="X155">
        <v>78.28</v>
      </c>
      <c r="Y155">
        <v>78.099999999999994</v>
      </c>
      <c r="Z155">
        <v>70.31</v>
      </c>
      <c r="AA155">
        <v>71.180000000000007</v>
      </c>
      <c r="AB155">
        <v>79.11</v>
      </c>
      <c r="AC155">
        <v>77.77</v>
      </c>
      <c r="AD155">
        <v>64.599999999999994</v>
      </c>
      <c r="AE155">
        <f>(AC155+AD155)/2</f>
        <v>71.185000000000002</v>
      </c>
      <c r="AF155">
        <v>13.17</v>
      </c>
      <c r="AG155">
        <v>71.180000000000007</v>
      </c>
      <c r="AH155">
        <v>41.79</v>
      </c>
    </row>
    <row r="156" spans="1:34" x14ac:dyDescent="0.25">
      <c r="B156">
        <v>58.91</v>
      </c>
      <c r="C156">
        <v>57.7</v>
      </c>
      <c r="D156">
        <v>48.42</v>
      </c>
      <c r="E156">
        <v>63.28</v>
      </c>
      <c r="F156">
        <v>67.959999999999994</v>
      </c>
      <c r="G156">
        <v>57.38</v>
      </c>
      <c r="H156">
        <v>62.22</v>
      </c>
      <c r="I156">
        <v>59.06</v>
      </c>
      <c r="J156">
        <v>60.02</v>
      </c>
      <c r="K156">
        <v>64.06</v>
      </c>
      <c r="L156">
        <v>48.42</v>
      </c>
      <c r="M156">
        <v>71.61</v>
      </c>
      <c r="N156">
        <f t="shared" si="158"/>
        <v>60.015000000000001</v>
      </c>
      <c r="O156">
        <v>23.2</v>
      </c>
      <c r="P156">
        <v>60.02</v>
      </c>
      <c r="Q156">
        <v>19.899999999999999</v>
      </c>
      <c r="S156">
        <v>77.59</v>
      </c>
      <c r="T156">
        <v>72.98</v>
      </c>
      <c r="U156">
        <v>73.59</v>
      </c>
      <c r="V156">
        <v>73.239999999999995</v>
      </c>
      <c r="W156">
        <v>75.34</v>
      </c>
      <c r="X156">
        <v>76.02</v>
      </c>
      <c r="Y156">
        <v>75.680000000000007</v>
      </c>
      <c r="Z156">
        <v>66.47</v>
      </c>
      <c r="AA156">
        <v>66.22</v>
      </c>
      <c r="AB156">
        <v>71.81</v>
      </c>
      <c r="AC156">
        <v>73.59</v>
      </c>
      <c r="AD156">
        <v>58.85</v>
      </c>
      <c r="AE156">
        <f t="shared" ref="AE156:AE160" si="159">(AC156+AD156)/2</f>
        <v>66.22</v>
      </c>
      <c r="AF156">
        <v>14.75</v>
      </c>
      <c r="AG156">
        <v>66.22</v>
      </c>
      <c r="AH156">
        <v>33.14</v>
      </c>
    </row>
    <row r="157" spans="1:34" x14ac:dyDescent="0.25">
      <c r="B157">
        <v>89.32</v>
      </c>
      <c r="C157">
        <v>84.28</v>
      </c>
      <c r="D157">
        <v>64.7</v>
      </c>
      <c r="E157">
        <v>72.22</v>
      </c>
      <c r="F157">
        <v>84.62</v>
      </c>
      <c r="G157">
        <v>63.11</v>
      </c>
      <c r="H157">
        <v>72.3</v>
      </c>
      <c r="I157">
        <v>64.66</v>
      </c>
      <c r="J157">
        <v>71.08</v>
      </c>
      <c r="K157">
        <v>80.819999999999993</v>
      </c>
      <c r="L157">
        <v>64.7</v>
      </c>
      <c r="M157">
        <v>77.45</v>
      </c>
      <c r="N157">
        <f t="shared" si="158"/>
        <v>71.075000000000003</v>
      </c>
      <c r="O157">
        <v>12.74</v>
      </c>
      <c r="P157">
        <v>71.08</v>
      </c>
      <c r="Q157">
        <v>37.15</v>
      </c>
      <c r="S157">
        <v>73.819999999999993</v>
      </c>
      <c r="T157">
        <v>70.59</v>
      </c>
      <c r="U157">
        <v>73.94</v>
      </c>
      <c r="V157">
        <v>71.58</v>
      </c>
      <c r="W157">
        <v>74.52</v>
      </c>
      <c r="X157">
        <v>76.47</v>
      </c>
      <c r="Y157">
        <v>75.48</v>
      </c>
      <c r="Z157">
        <v>71.87</v>
      </c>
      <c r="AA157">
        <v>72.959999999999994</v>
      </c>
      <c r="AB157">
        <v>77.98</v>
      </c>
      <c r="AC157">
        <v>73.94</v>
      </c>
      <c r="AD157">
        <v>71.98</v>
      </c>
      <c r="AE157">
        <f t="shared" si="159"/>
        <v>72.960000000000008</v>
      </c>
      <c r="AF157">
        <v>1.96</v>
      </c>
      <c r="AG157">
        <v>72.959999999999994</v>
      </c>
      <c r="AH157">
        <v>45.27</v>
      </c>
    </row>
    <row r="158" spans="1:34" x14ac:dyDescent="0.25">
      <c r="B158">
        <v>72.08</v>
      </c>
      <c r="C158">
        <v>75.739999999999995</v>
      </c>
      <c r="D158">
        <v>57.1</v>
      </c>
      <c r="E158">
        <v>63.97</v>
      </c>
      <c r="F158">
        <v>81.03</v>
      </c>
      <c r="G158">
        <v>59.87</v>
      </c>
      <c r="H158">
        <v>68.86</v>
      </c>
      <c r="I158">
        <v>64.94</v>
      </c>
      <c r="J158">
        <v>69.83</v>
      </c>
      <c r="K158">
        <v>77.98</v>
      </c>
      <c r="L158">
        <v>57.1</v>
      </c>
      <c r="M158">
        <v>82.56</v>
      </c>
      <c r="N158">
        <f t="shared" si="158"/>
        <v>69.83</v>
      </c>
      <c r="O158">
        <v>25.46</v>
      </c>
      <c r="P158">
        <v>69.83</v>
      </c>
      <c r="Q158">
        <v>36.01</v>
      </c>
      <c r="S158">
        <v>83.27</v>
      </c>
      <c r="T158">
        <v>75.89</v>
      </c>
      <c r="U158">
        <v>79.010000000000005</v>
      </c>
      <c r="V158">
        <v>76.63</v>
      </c>
      <c r="W158">
        <v>76.09</v>
      </c>
      <c r="X158">
        <v>79.19</v>
      </c>
      <c r="Y158">
        <v>77.61</v>
      </c>
      <c r="Z158">
        <v>69.88</v>
      </c>
      <c r="AA158">
        <v>71.41</v>
      </c>
      <c r="AB158">
        <v>78.010000000000005</v>
      </c>
      <c r="AC158">
        <v>79.010000000000005</v>
      </c>
      <c r="AD158">
        <v>63.8</v>
      </c>
      <c r="AE158">
        <f t="shared" si="159"/>
        <v>71.405000000000001</v>
      </c>
      <c r="AF158">
        <v>15.22</v>
      </c>
      <c r="AG158">
        <v>71.41</v>
      </c>
      <c r="AH158">
        <v>42.22</v>
      </c>
    </row>
    <row r="159" spans="1:34" x14ac:dyDescent="0.25">
      <c r="B159">
        <v>65.849999999999994</v>
      </c>
      <c r="C159">
        <v>68.52</v>
      </c>
      <c r="D159">
        <v>53.6</v>
      </c>
      <c r="E159">
        <v>59.59</v>
      </c>
      <c r="F159">
        <v>76.040000000000006</v>
      </c>
      <c r="G159">
        <v>59.84</v>
      </c>
      <c r="H159">
        <v>66.97</v>
      </c>
      <c r="I159">
        <v>65.680000000000007</v>
      </c>
      <c r="J159">
        <v>67</v>
      </c>
      <c r="K159">
        <v>68.930000000000007</v>
      </c>
      <c r="L159">
        <v>53.6</v>
      </c>
      <c r="M159">
        <v>80.400000000000006</v>
      </c>
      <c r="N159">
        <f t="shared" si="158"/>
        <v>67</v>
      </c>
      <c r="O159">
        <v>26.8</v>
      </c>
      <c r="P159">
        <v>67</v>
      </c>
      <c r="Q159">
        <v>34</v>
      </c>
      <c r="S159">
        <v>72.150000000000006</v>
      </c>
      <c r="T159">
        <v>70.37</v>
      </c>
      <c r="U159">
        <v>80.23</v>
      </c>
      <c r="V159">
        <v>74.2</v>
      </c>
      <c r="W159">
        <v>71.59</v>
      </c>
      <c r="X159">
        <v>82.35</v>
      </c>
      <c r="Y159">
        <v>76.599999999999994</v>
      </c>
      <c r="Z159">
        <v>70.91</v>
      </c>
      <c r="AA159">
        <v>71.900000000000006</v>
      </c>
      <c r="AB159">
        <v>77.89</v>
      </c>
      <c r="AC159">
        <v>80.23</v>
      </c>
      <c r="AD159">
        <v>63.56</v>
      </c>
      <c r="AE159">
        <f t="shared" si="159"/>
        <v>71.89500000000001</v>
      </c>
      <c r="AF159">
        <v>16.670000000000002</v>
      </c>
      <c r="AG159">
        <v>71.900000000000006</v>
      </c>
      <c r="AH159">
        <v>45.03</v>
      </c>
    </row>
    <row r="160" spans="1:34" x14ac:dyDescent="0.25">
      <c r="B160">
        <v>70.53</v>
      </c>
      <c r="C160">
        <v>67.47</v>
      </c>
      <c r="D160">
        <v>60.9</v>
      </c>
      <c r="E160">
        <v>61.87</v>
      </c>
      <c r="F160">
        <v>68.239999999999995</v>
      </c>
      <c r="G160">
        <v>62.85</v>
      </c>
      <c r="H160">
        <v>65.430000000000007</v>
      </c>
      <c r="I160">
        <v>63.87</v>
      </c>
      <c r="J160">
        <v>65.52</v>
      </c>
      <c r="K160">
        <v>71.7</v>
      </c>
      <c r="L160">
        <v>60.9</v>
      </c>
      <c r="M160">
        <v>70.150000000000006</v>
      </c>
      <c r="N160">
        <f t="shared" si="158"/>
        <v>65.525000000000006</v>
      </c>
      <c r="O160">
        <v>9.25</v>
      </c>
      <c r="P160">
        <v>65.52</v>
      </c>
      <c r="Q160">
        <v>31.66</v>
      </c>
      <c r="S160">
        <v>74.87</v>
      </c>
      <c r="T160">
        <v>65.599999999999994</v>
      </c>
      <c r="U160">
        <v>74.03</v>
      </c>
      <c r="V160">
        <v>67.73</v>
      </c>
      <c r="W160">
        <v>69.27</v>
      </c>
      <c r="X160">
        <v>75.150000000000006</v>
      </c>
      <c r="Y160">
        <v>72.09</v>
      </c>
      <c r="Z160">
        <v>66.61</v>
      </c>
      <c r="AA160">
        <v>68.680000000000007</v>
      </c>
      <c r="AB160">
        <v>76.42</v>
      </c>
      <c r="AC160">
        <v>74.03</v>
      </c>
      <c r="AD160">
        <v>63.32</v>
      </c>
      <c r="AE160">
        <f t="shared" si="159"/>
        <v>68.674999999999997</v>
      </c>
      <c r="AF160">
        <v>10.71</v>
      </c>
      <c r="AG160">
        <v>68.680000000000007</v>
      </c>
      <c r="AH160">
        <v>36.71</v>
      </c>
    </row>
    <row r="161" spans="2:34" x14ac:dyDescent="0.25">
      <c r="B161" s="2">
        <f>AVERAGE(B151:B160)</f>
        <v>75.132999999999996</v>
      </c>
      <c r="C161" s="2">
        <f t="shared" ref="C161:Q161" si="160">AVERAGE(C151:C160)</f>
        <v>75.170999999999992</v>
      </c>
      <c r="D161" s="2">
        <f t="shared" si="160"/>
        <v>62.411000000000001</v>
      </c>
      <c r="E161" s="2">
        <f t="shared" si="160"/>
        <v>68.173000000000002</v>
      </c>
      <c r="F161" s="2">
        <f t="shared" si="160"/>
        <v>78.890999999999991</v>
      </c>
      <c r="G161" s="2">
        <f t="shared" si="160"/>
        <v>64.984000000000009</v>
      </c>
      <c r="H161" s="2">
        <f t="shared" si="160"/>
        <v>71.121000000000009</v>
      </c>
      <c r="I161" s="2">
        <f t="shared" si="160"/>
        <v>64.931000000000012</v>
      </c>
      <c r="J161" s="2">
        <f t="shared" si="160"/>
        <v>68.244</v>
      </c>
      <c r="K161" s="2">
        <f t="shared" si="160"/>
        <v>74.181000000000012</v>
      </c>
      <c r="L161" s="2">
        <f t="shared" si="160"/>
        <v>62.411000000000001</v>
      </c>
      <c r="M161" s="2">
        <f t="shared" si="160"/>
        <v>74.075999999999993</v>
      </c>
      <c r="N161" s="2">
        <f t="shared" si="160"/>
        <v>68.243499999999997</v>
      </c>
      <c r="O161" s="2">
        <f t="shared" si="160"/>
        <v>15.074999999999999</v>
      </c>
      <c r="P161" s="2">
        <f t="shared" si="160"/>
        <v>68.244</v>
      </c>
      <c r="Q161" s="2">
        <f t="shared" si="160"/>
        <v>34.076000000000008</v>
      </c>
      <c r="S161" s="2">
        <f>AVERAGE(S155:S160)</f>
        <v>77.541666666666671</v>
      </c>
      <c r="T161" s="2">
        <f t="shared" ref="T161:AH161" si="161">AVERAGE(T155:T160)</f>
        <v>72.093333333333348</v>
      </c>
      <c r="U161" s="2">
        <f t="shared" si="161"/>
        <v>76.428333333333342</v>
      </c>
      <c r="V161" s="2">
        <f t="shared" si="161"/>
        <v>73.416666666666671</v>
      </c>
      <c r="W161" s="2">
        <f t="shared" si="161"/>
        <v>74.123333333333335</v>
      </c>
      <c r="X161" s="2">
        <f t="shared" si="161"/>
        <v>77.910000000000011</v>
      </c>
      <c r="Y161" s="2">
        <f t="shared" si="161"/>
        <v>75.926666666666677</v>
      </c>
      <c r="Z161" s="2">
        <f t="shared" si="161"/>
        <v>69.341666666666654</v>
      </c>
      <c r="AA161" s="2">
        <f t="shared" si="161"/>
        <v>70.391666666666666</v>
      </c>
      <c r="AB161" s="2">
        <f t="shared" si="161"/>
        <v>76.87</v>
      </c>
      <c r="AC161" s="2">
        <f t="shared" si="161"/>
        <v>76.428333333333342</v>
      </c>
      <c r="AD161" s="2">
        <f t="shared" si="161"/>
        <v>64.351666666666674</v>
      </c>
      <c r="AE161" s="2">
        <f t="shared" si="161"/>
        <v>70.39</v>
      </c>
      <c r="AF161" s="2">
        <f t="shared" si="161"/>
        <v>12.08</v>
      </c>
      <c r="AG161" s="2">
        <f t="shared" si="161"/>
        <v>70.391666666666666</v>
      </c>
      <c r="AH161" s="2">
        <f t="shared" si="161"/>
        <v>40.693333333333335</v>
      </c>
    </row>
    <row r="162" spans="2:34" x14ac:dyDescent="0.25">
      <c r="B162">
        <v>86.42</v>
      </c>
      <c r="C162">
        <v>83.16</v>
      </c>
      <c r="D162">
        <v>72.72</v>
      </c>
      <c r="E162">
        <v>77.459999999999994</v>
      </c>
      <c r="F162">
        <v>84.91</v>
      </c>
      <c r="G162">
        <v>73.77</v>
      </c>
      <c r="H162">
        <v>78.95</v>
      </c>
      <c r="I162">
        <v>68.48</v>
      </c>
      <c r="J162">
        <v>71.53</v>
      </c>
      <c r="K162">
        <v>80.19</v>
      </c>
      <c r="L162">
        <v>72.72</v>
      </c>
      <c r="M162">
        <v>70.34</v>
      </c>
      <c r="N162">
        <f>(L162+M162)/2</f>
        <v>71.53</v>
      </c>
      <c r="O162">
        <v>2.39</v>
      </c>
      <c r="P162">
        <v>71.53</v>
      </c>
      <c r="Q162">
        <v>39.21</v>
      </c>
    </row>
    <row r="163" spans="2:34" x14ac:dyDescent="0.25">
      <c r="B163">
        <v>86.17</v>
      </c>
      <c r="C163">
        <v>78.73</v>
      </c>
      <c r="D163">
        <v>85.07</v>
      </c>
      <c r="E163">
        <v>80.790000000000006</v>
      </c>
      <c r="F163">
        <v>79.23</v>
      </c>
      <c r="G163">
        <v>84.43</v>
      </c>
      <c r="H163">
        <v>81.75</v>
      </c>
      <c r="I163">
        <v>68.34</v>
      </c>
      <c r="J163">
        <v>70.489999999999995</v>
      </c>
      <c r="K163">
        <v>77.510000000000005</v>
      </c>
      <c r="L163">
        <v>85.07</v>
      </c>
      <c r="M163">
        <v>55.91</v>
      </c>
      <c r="N163">
        <f t="shared" ref="N163:N171" si="162">(L163+M163)/2</f>
        <v>70.489999999999995</v>
      </c>
      <c r="O163">
        <v>29.16</v>
      </c>
      <c r="P163">
        <v>70.489999999999995</v>
      </c>
      <c r="Q163">
        <v>39.74</v>
      </c>
    </row>
    <row r="164" spans="2:34" x14ac:dyDescent="0.25">
      <c r="B164">
        <v>67.86</v>
      </c>
      <c r="C164">
        <v>65.27</v>
      </c>
      <c r="D164">
        <v>75.819999999999993</v>
      </c>
      <c r="E164">
        <v>68.31</v>
      </c>
      <c r="F164">
        <v>67.760000000000005</v>
      </c>
      <c r="G164">
        <v>78.98</v>
      </c>
      <c r="H164">
        <v>72.94</v>
      </c>
      <c r="I164">
        <v>60.63</v>
      </c>
      <c r="J164">
        <v>64.010000000000005</v>
      </c>
      <c r="K164">
        <v>72.11</v>
      </c>
      <c r="L164">
        <v>75.819999999999993</v>
      </c>
      <c r="M164">
        <v>52.2</v>
      </c>
      <c r="N164">
        <f t="shared" si="162"/>
        <v>64.009999999999991</v>
      </c>
      <c r="O164">
        <v>23.62</v>
      </c>
      <c r="P164">
        <v>64.010000000000005</v>
      </c>
      <c r="Q164">
        <v>25.71</v>
      </c>
    </row>
    <row r="165" spans="2:34" x14ac:dyDescent="0.25">
      <c r="B165">
        <v>83.31</v>
      </c>
      <c r="C165">
        <v>78.08</v>
      </c>
      <c r="D165">
        <v>71.52</v>
      </c>
      <c r="E165">
        <v>74.48</v>
      </c>
      <c r="F165">
        <v>80.180000000000007</v>
      </c>
      <c r="G165">
        <v>72.95</v>
      </c>
      <c r="H165">
        <v>76.39</v>
      </c>
      <c r="I165">
        <v>64.040000000000006</v>
      </c>
      <c r="J165">
        <v>66.34</v>
      </c>
      <c r="K165">
        <v>73.56</v>
      </c>
      <c r="L165">
        <v>71.52</v>
      </c>
      <c r="M165">
        <v>61.17</v>
      </c>
      <c r="N165">
        <f t="shared" si="162"/>
        <v>66.344999999999999</v>
      </c>
      <c r="O165">
        <v>10.35</v>
      </c>
      <c r="P165">
        <v>66.34</v>
      </c>
      <c r="Q165">
        <v>29.64</v>
      </c>
    </row>
    <row r="166" spans="2:34" x14ac:dyDescent="0.25">
      <c r="B166">
        <v>74.08</v>
      </c>
      <c r="C166">
        <v>69.290000000000006</v>
      </c>
      <c r="D166">
        <v>75.87</v>
      </c>
      <c r="E166">
        <v>68.7</v>
      </c>
      <c r="F166">
        <v>69.94</v>
      </c>
      <c r="G166">
        <v>77.069999999999993</v>
      </c>
      <c r="H166">
        <v>73.33</v>
      </c>
      <c r="I166">
        <v>63.42</v>
      </c>
      <c r="J166">
        <v>67.13</v>
      </c>
      <c r="K166">
        <v>77.73</v>
      </c>
      <c r="L166">
        <v>75.87</v>
      </c>
      <c r="M166">
        <v>58.39</v>
      </c>
      <c r="N166">
        <f t="shared" si="162"/>
        <v>67.13</v>
      </c>
      <c r="O166">
        <v>17.48</v>
      </c>
      <c r="P166">
        <v>67.13</v>
      </c>
      <c r="Q166">
        <v>33.86</v>
      </c>
      <c r="S166">
        <v>82.85</v>
      </c>
      <c r="T166">
        <v>75.94</v>
      </c>
      <c r="U166">
        <v>81.489999999999995</v>
      </c>
      <c r="V166">
        <v>78.23</v>
      </c>
      <c r="W166">
        <v>76.37</v>
      </c>
      <c r="X166">
        <v>81.900000000000006</v>
      </c>
      <c r="Y166">
        <v>79.040000000000006</v>
      </c>
      <c r="Z166">
        <v>68.91</v>
      </c>
      <c r="AA166">
        <v>69.45</v>
      </c>
      <c r="AB166">
        <v>79.37</v>
      </c>
      <c r="AC166">
        <v>81.489999999999995</v>
      </c>
      <c r="AD166">
        <v>57.42</v>
      </c>
      <c r="AE166">
        <f>(AC166+AD166)/2</f>
        <v>69.454999999999998</v>
      </c>
      <c r="AF166">
        <v>24.07</v>
      </c>
      <c r="AG166">
        <v>69.45</v>
      </c>
      <c r="AH166">
        <v>39.49</v>
      </c>
    </row>
    <row r="167" spans="2:34" x14ac:dyDescent="0.25">
      <c r="B167">
        <v>65.459999999999994</v>
      </c>
      <c r="C167">
        <v>56.16</v>
      </c>
      <c r="D167">
        <v>75.25</v>
      </c>
      <c r="E167">
        <v>63</v>
      </c>
      <c r="F167">
        <v>59.39</v>
      </c>
      <c r="G167">
        <v>80.33</v>
      </c>
      <c r="H167">
        <v>68.290000000000006</v>
      </c>
      <c r="I167">
        <v>57.27</v>
      </c>
      <c r="J167">
        <v>60.33</v>
      </c>
      <c r="K167">
        <v>68.569999999999993</v>
      </c>
      <c r="L167">
        <v>75.25</v>
      </c>
      <c r="M167">
        <v>45.41</v>
      </c>
      <c r="N167">
        <f t="shared" si="162"/>
        <v>60.33</v>
      </c>
      <c r="O167">
        <v>29.84</v>
      </c>
      <c r="P167">
        <v>60.33</v>
      </c>
      <c r="Q167">
        <v>21.72</v>
      </c>
      <c r="S167">
        <v>83.97</v>
      </c>
      <c r="T167">
        <v>74.489999999999995</v>
      </c>
      <c r="U167">
        <v>88.88</v>
      </c>
      <c r="V167">
        <v>80.81</v>
      </c>
      <c r="W167">
        <v>75.290000000000006</v>
      </c>
      <c r="X167">
        <v>89.59</v>
      </c>
      <c r="Y167">
        <v>81.819999999999993</v>
      </c>
      <c r="Z167">
        <v>70.5</v>
      </c>
      <c r="AA167">
        <v>70.430000000000007</v>
      </c>
      <c r="AB167">
        <v>80.349999999999994</v>
      </c>
      <c r="AC167">
        <v>88.88</v>
      </c>
      <c r="AD167">
        <v>51.98</v>
      </c>
      <c r="AE167">
        <f t="shared" ref="AE167:AE171" si="163">(AC167+AD167)/2</f>
        <v>70.429999999999993</v>
      </c>
      <c r="AF167">
        <v>36.909999999999997</v>
      </c>
      <c r="AG167">
        <v>70.430000000000007</v>
      </c>
      <c r="AH167">
        <v>44.77</v>
      </c>
    </row>
    <row r="168" spans="2:34" x14ac:dyDescent="0.25">
      <c r="B168">
        <v>85.4</v>
      </c>
      <c r="C168">
        <v>77.180000000000007</v>
      </c>
      <c r="D168">
        <v>94.4</v>
      </c>
      <c r="E168">
        <v>83.49</v>
      </c>
      <c r="F168">
        <v>77.03</v>
      </c>
      <c r="G168">
        <v>93.44</v>
      </c>
      <c r="H168">
        <v>84.44</v>
      </c>
      <c r="I168">
        <v>69.3</v>
      </c>
      <c r="J168">
        <v>70.84</v>
      </c>
      <c r="K168">
        <v>79.38</v>
      </c>
      <c r="L168">
        <v>94.4</v>
      </c>
      <c r="M168">
        <v>47.28</v>
      </c>
      <c r="N168">
        <f t="shared" si="162"/>
        <v>70.84</v>
      </c>
      <c r="O168">
        <v>47.12</v>
      </c>
      <c r="P168">
        <v>70.84</v>
      </c>
      <c r="Q168">
        <v>46.7</v>
      </c>
      <c r="S168">
        <v>73.64</v>
      </c>
      <c r="T168">
        <v>57.97</v>
      </c>
      <c r="U168">
        <v>94.64</v>
      </c>
      <c r="V168">
        <v>68.95</v>
      </c>
      <c r="W168">
        <v>55.38</v>
      </c>
      <c r="X168">
        <v>94.12</v>
      </c>
      <c r="Y168">
        <v>69.73</v>
      </c>
      <c r="Z168">
        <v>51.89</v>
      </c>
      <c r="AA168">
        <v>62.06</v>
      </c>
      <c r="AB168">
        <v>79.08</v>
      </c>
      <c r="AC168">
        <v>94.64</v>
      </c>
      <c r="AD168">
        <v>29.48</v>
      </c>
      <c r="AE168">
        <f t="shared" si="163"/>
        <v>62.06</v>
      </c>
      <c r="AF168">
        <v>65.16</v>
      </c>
      <c r="AG168">
        <v>62.06</v>
      </c>
      <c r="AH168">
        <v>26.47</v>
      </c>
    </row>
    <row r="169" spans="2:34" x14ac:dyDescent="0.25">
      <c r="B169">
        <v>66.290000000000006</v>
      </c>
      <c r="C169">
        <v>64.31</v>
      </c>
      <c r="D169">
        <v>90.56</v>
      </c>
      <c r="E169">
        <v>70.88</v>
      </c>
      <c r="F169">
        <v>63.64</v>
      </c>
      <c r="G169">
        <v>89.17</v>
      </c>
      <c r="H169">
        <v>74.27</v>
      </c>
      <c r="I169">
        <v>58.76</v>
      </c>
      <c r="J169">
        <v>64.900000000000006</v>
      </c>
      <c r="K169">
        <v>75.209999999999994</v>
      </c>
      <c r="L169">
        <v>90.56</v>
      </c>
      <c r="M169">
        <v>39.24</v>
      </c>
      <c r="N169">
        <f t="shared" si="162"/>
        <v>64.900000000000006</v>
      </c>
      <c r="O169">
        <v>51.31</v>
      </c>
      <c r="P169">
        <v>64.900000000000006</v>
      </c>
      <c r="Q169">
        <v>33.81</v>
      </c>
      <c r="S169">
        <v>87.45</v>
      </c>
      <c r="T169">
        <v>78.78</v>
      </c>
      <c r="U169">
        <v>85.15</v>
      </c>
      <c r="V169">
        <v>81.680000000000007</v>
      </c>
      <c r="W169">
        <v>79.5</v>
      </c>
      <c r="X169">
        <v>85.97</v>
      </c>
      <c r="Y169">
        <v>82.61</v>
      </c>
      <c r="Z169">
        <v>74.25</v>
      </c>
      <c r="AA169">
        <v>74.14</v>
      </c>
      <c r="AB169">
        <v>82.83</v>
      </c>
      <c r="AC169">
        <v>85.15</v>
      </c>
      <c r="AD169">
        <v>63.14</v>
      </c>
      <c r="AE169">
        <f t="shared" si="163"/>
        <v>74.14500000000001</v>
      </c>
      <c r="AF169">
        <v>22.01</v>
      </c>
      <c r="AG169">
        <v>74.14</v>
      </c>
      <c r="AH169">
        <v>49.61</v>
      </c>
    </row>
    <row r="170" spans="2:34" x14ac:dyDescent="0.25">
      <c r="B170">
        <v>62.67</v>
      </c>
      <c r="C170">
        <v>53.03</v>
      </c>
      <c r="D170">
        <v>93.93</v>
      </c>
      <c r="E170">
        <v>65.2</v>
      </c>
      <c r="F170">
        <v>52.78</v>
      </c>
      <c r="G170">
        <v>93.44</v>
      </c>
      <c r="H170">
        <v>67.459999999999994</v>
      </c>
      <c r="I170">
        <v>47.25</v>
      </c>
      <c r="J170">
        <v>58.38</v>
      </c>
      <c r="K170">
        <v>66.709999999999994</v>
      </c>
      <c r="L170">
        <v>93.93</v>
      </c>
      <c r="M170">
        <v>22.84</v>
      </c>
      <c r="N170">
        <f t="shared" si="162"/>
        <v>58.385000000000005</v>
      </c>
      <c r="O170">
        <v>71.09</v>
      </c>
      <c r="P170">
        <v>58.38</v>
      </c>
      <c r="Q170">
        <v>15.76</v>
      </c>
      <c r="S170">
        <v>75.62</v>
      </c>
      <c r="T170">
        <v>63.46</v>
      </c>
      <c r="U170">
        <v>91.5</v>
      </c>
      <c r="V170">
        <v>72.959999999999994</v>
      </c>
      <c r="W170">
        <v>63.18</v>
      </c>
      <c r="X170">
        <v>90.85</v>
      </c>
      <c r="Y170">
        <v>74.53</v>
      </c>
      <c r="Z170">
        <v>64.69</v>
      </c>
      <c r="AA170">
        <v>69.55</v>
      </c>
      <c r="AB170">
        <v>80.73</v>
      </c>
      <c r="AC170">
        <v>91.5</v>
      </c>
      <c r="AD170">
        <v>47.6</v>
      </c>
      <c r="AE170">
        <f t="shared" si="163"/>
        <v>69.55</v>
      </c>
      <c r="AF170">
        <v>43.9</v>
      </c>
      <c r="AG170">
        <v>69.55</v>
      </c>
      <c r="AH170">
        <v>40.14</v>
      </c>
    </row>
    <row r="171" spans="2:34" x14ac:dyDescent="0.25">
      <c r="B171">
        <v>69.78</v>
      </c>
      <c r="C171">
        <v>52.46</v>
      </c>
      <c r="D171">
        <v>92.39</v>
      </c>
      <c r="E171">
        <v>65</v>
      </c>
      <c r="F171">
        <v>52.68</v>
      </c>
      <c r="G171">
        <v>93.28</v>
      </c>
      <c r="H171">
        <v>67.33</v>
      </c>
      <c r="I171">
        <v>45.75</v>
      </c>
      <c r="J171">
        <v>56.5</v>
      </c>
      <c r="K171">
        <v>72.19</v>
      </c>
      <c r="L171">
        <v>92.39</v>
      </c>
      <c r="M171">
        <v>20.61</v>
      </c>
      <c r="N171">
        <f t="shared" si="162"/>
        <v>56.5</v>
      </c>
      <c r="O171">
        <v>71.78</v>
      </c>
      <c r="P171">
        <v>56.5</v>
      </c>
      <c r="Q171">
        <v>14.29</v>
      </c>
      <c r="S171">
        <v>74.739999999999995</v>
      </c>
      <c r="T171">
        <v>58.39</v>
      </c>
      <c r="U171">
        <v>90.74</v>
      </c>
      <c r="V171">
        <v>68.3</v>
      </c>
      <c r="W171">
        <v>58.24</v>
      </c>
      <c r="X171">
        <v>90</v>
      </c>
      <c r="Y171">
        <v>70.709999999999994</v>
      </c>
      <c r="Z171">
        <v>56.21</v>
      </c>
      <c r="AA171">
        <v>63.35</v>
      </c>
      <c r="AB171">
        <v>77.95</v>
      </c>
      <c r="AC171">
        <v>90.74</v>
      </c>
      <c r="AD171">
        <v>35.96</v>
      </c>
      <c r="AE171">
        <f t="shared" si="163"/>
        <v>63.349999999999994</v>
      </c>
      <c r="AF171">
        <v>54.78</v>
      </c>
      <c r="AG171">
        <v>63.35</v>
      </c>
      <c r="AH171">
        <v>29.61</v>
      </c>
    </row>
    <row r="172" spans="2:34" x14ac:dyDescent="0.25">
      <c r="B172" s="2">
        <f>AVERAGE(B162:B171)</f>
        <v>74.743999999999986</v>
      </c>
      <c r="C172" s="2">
        <f t="shared" ref="C172:Q172" si="164">AVERAGE(C162:C171)</f>
        <v>67.766999999999996</v>
      </c>
      <c r="D172" s="2">
        <f t="shared" si="164"/>
        <v>82.753000000000014</v>
      </c>
      <c r="E172" s="2">
        <f t="shared" si="164"/>
        <v>71.731000000000009</v>
      </c>
      <c r="F172" s="2">
        <f t="shared" si="164"/>
        <v>68.753999999999991</v>
      </c>
      <c r="G172" s="2">
        <f t="shared" si="164"/>
        <v>83.685999999999993</v>
      </c>
      <c r="H172" s="2">
        <f t="shared" si="164"/>
        <v>74.515000000000001</v>
      </c>
      <c r="I172" s="2">
        <f t="shared" si="164"/>
        <v>60.323999999999998</v>
      </c>
      <c r="J172" s="2">
        <f t="shared" si="164"/>
        <v>65.044999999999987</v>
      </c>
      <c r="K172" s="2">
        <f t="shared" si="164"/>
        <v>74.316000000000003</v>
      </c>
      <c r="L172" s="2">
        <f t="shared" si="164"/>
        <v>82.753000000000014</v>
      </c>
      <c r="M172" s="2">
        <f t="shared" si="164"/>
        <v>47.338999999999992</v>
      </c>
      <c r="N172" s="2">
        <f t="shared" si="164"/>
        <v>65.045999999999992</v>
      </c>
      <c r="O172" s="2">
        <f t="shared" si="164"/>
        <v>35.414000000000001</v>
      </c>
      <c r="P172" s="2">
        <f t="shared" si="164"/>
        <v>65.044999999999987</v>
      </c>
      <c r="Q172" s="2">
        <f t="shared" si="164"/>
        <v>30.044000000000004</v>
      </c>
      <c r="S172" s="2">
        <f>AVERAGE(S166:S171)</f>
        <v>79.711666666666659</v>
      </c>
      <c r="T172" s="2">
        <f t="shared" ref="T172:AH172" si="165">AVERAGE(T166:T171)</f>
        <v>68.171666666666667</v>
      </c>
      <c r="U172" s="2">
        <f t="shared" si="165"/>
        <v>88.733333333333334</v>
      </c>
      <c r="V172" s="2">
        <f t="shared" si="165"/>
        <v>75.155000000000001</v>
      </c>
      <c r="W172" s="2">
        <f t="shared" si="165"/>
        <v>67.993333333333339</v>
      </c>
      <c r="X172" s="2">
        <f t="shared" si="165"/>
        <v>88.738333333333344</v>
      </c>
      <c r="Y172" s="2">
        <f t="shared" si="165"/>
        <v>76.406666666666666</v>
      </c>
      <c r="Z172" s="2">
        <f t="shared" si="165"/>
        <v>64.408333333333331</v>
      </c>
      <c r="AA172" s="2">
        <f t="shared" si="165"/>
        <v>68.163333333333341</v>
      </c>
      <c r="AB172" s="2">
        <f t="shared" si="165"/>
        <v>80.051666666666662</v>
      </c>
      <c r="AC172" s="2">
        <f t="shared" si="165"/>
        <v>88.733333333333334</v>
      </c>
      <c r="AD172" s="2">
        <f t="shared" si="165"/>
        <v>47.596666666666664</v>
      </c>
      <c r="AE172" s="2">
        <f t="shared" si="165"/>
        <v>68.165000000000006</v>
      </c>
      <c r="AF172" s="2">
        <f t="shared" si="165"/>
        <v>41.138333333333328</v>
      </c>
      <c r="AG172" s="2">
        <f t="shared" si="165"/>
        <v>68.163333333333341</v>
      </c>
      <c r="AH172" s="2">
        <f t="shared" si="165"/>
        <v>38.348333333333336</v>
      </c>
    </row>
    <row r="173" spans="2:34" x14ac:dyDescent="0.25">
      <c r="B173">
        <v>85.57</v>
      </c>
      <c r="C173">
        <v>79.42</v>
      </c>
      <c r="D173">
        <v>83.51</v>
      </c>
      <c r="E173">
        <v>80.05</v>
      </c>
      <c r="F173">
        <v>79.37</v>
      </c>
      <c r="G173">
        <v>81.97</v>
      </c>
      <c r="H173">
        <v>80.650000000000006</v>
      </c>
      <c r="I173">
        <v>67.8</v>
      </c>
      <c r="J173">
        <v>70.989999999999995</v>
      </c>
      <c r="K173">
        <v>76.27</v>
      </c>
      <c r="L173">
        <v>83.51</v>
      </c>
      <c r="M173">
        <v>58.47</v>
      </c>
      <c r="N173">
        <f>(L173+M173)/2</f>
        <v>70.990000000000009</v>
      </c>
      <c r="O173">
        <v>25.04</v>
      </c>
      <c r="P173">
        <v>70.989999999999995</v>
      </c>
      <c r="Q173">
        <v>39.93</v>
      </c>
    </row>
    <row r="174" spans="2:34" x14ac:dyDescent="0.25">
      <c r="B174">
        <v>91.48</v>
      </c>
      <c r="C174">
        <v>80.58</v>
      </c>
      <c r="D174">
        <v>86.01</v>
      </c>
      <c r="E174">
        <v>80.760000000000005</v>
      </c>
      <c r="F174">
        <v>79.069999999999993</v>
      </c>
      <c r="G174">
        <v>83.61</v>
      </c>
      <c r="H174">
        <v>81.27</v>
      </c>
      <c r="I174">
        <v>69.14</v>
      </c>
      <c r="J174">
        <v>74.489999999999995</v>
      </c>
      <c r="K174">
        <v>82.65</v>
      </c>
      <c r="L174">
        <v>86.01</v>
      </c>
      <c r="M174">
        <v>62.98</v>
      </c>
      <c r="N174">
        <f t="shared" ref="N174:N182" si="166">(L174+M174)/2</f>
        <v>74.495000000000005</v>
      </c>
      <c r="O174">
        <v>23.03</v>
      </c>
      <c r="P174">
        <v>74.489999999999995</v>
      </c>
      <c r="Q174">
        <v>47.38</v>
      </c>
    </row>
    <row r="175" spans="2:34" x14ac:dyDescent="0.25">
      <c r="B175">
        <v>67.42</v>
      </c>
      <c r="C175">
        <v>64.45</v>
      </c>
      <c r="D175">
        <v>73.45</v>
      </c>
      <c r="E175">
        <v>66.69</v>
      </c>
      <c r="F175">
        <v>67.22</v>
      </c>
      <c r="G175">
        <v>77.069999999999993</v>
      </c>
      <c r="H175">
        <v>71.81</v>
      </c>
      <c r="I175">
        <v>59</v>
      </c>
      <c r="J175">
        <v>61.99</v>
      </c>
      <c r="K175">
        <v>71.260000000000005</v>
      </c>
      <c r="L175">
        <v>73.45</v>
      </c>
      <c r="M175">
        <v>50.53</v>
      </c>
      <c r="N175">
        <f t="shared" si="166"/>
        <v>61.99</v>
      </c>
      <c r="O175">
        <v>22.92</v>
      </c>
      <c r="P175">
        <v>61.99</v>
      </c>
      <c r="Q175">
        <v>23.88</v>
      </c>
    </row>
    <row r="176" spans="2:34" x14ac:dyDescent="0.25">
      <c r="B176">
        <v>90.36</v>
      </c>
      <c r="C176">
        <v>79.02</v>
      </c>
      <c r="D176">
        <v>79.19</v>
      </c>
      <c r="E176">
        <v>76.78</v>
      </c>
      <c r="F176">
        <v>78.150000000000006</v>
      </c>
      <c r="G176">
        <v>76.23</v>
      </c>
      <c r="H176">
        <v>77.180000000000007</v>
      </c>
      <c r="I176">
        <v>65.150000000000006</v>
      </c>
      <c r="J176">
        <v>69.709999999999994</v>
      </c>
      <c r="K176">
        <v>82.74</v>
      </c>
      <c r="L176">
        <v>79.19</v>
      </c>
      <c r="M176">
        <v>60.24</v>
      </c>
      <c r="N176">
        <f t="shared" si="166"/>
        <v>69.715000000000003</v>
      </c>
      <c r="O176">
        <v>18.95</v>
      </c>
      <c r="P176">
        <v>69.709999999999994</v>
      </c>
      <c r="Q176">
        <v>37.76</v>
      </c>
    </row>
    <row r="177" spans="1:34" x14ac:dyDescent="0.25">
      <c r="B177">
        <v>69.86</v>
      </c>
      <c r="C177">
        <v>68.16</v>
      </c>
      <c r="D177">
        <v>70.959999999999994</v>
      </c>
      <c r="E177">
        <v>66.16</v>
      </c>
      <c r="F177">
        <v>69.62</v>
      </c>
      <c r="G177">
        <v>70.06</v>
      </c>
      <c r="H177">
        <v>69.84</v>
      </c>
      <c r="I177">
        <v>60.6</v>
      </c>
      <c r="J177">
        <v>65.459999999999994</v>
      </c>
      <c r="K177">
        <v>73.41</v>
      </c>
      <c r="L177">
        <v>70.959999999999994</v>
      </c>
      <c r="M177">
        <v>59.97</v>
      </c>
      <c r="N177">
        <f t="shared" si="166"/>
        <v>65.465000000000003</v>
      </c>
      <c r="O177">
        <v>10.99</v>
      </c>
      <c r="P177">
        <v>65.459999999999994</v>
      </c>
      <c r="Q177">
        <v>28.67</v>
      </c>
      <c r="S177">
        <v>83.17</v>
      </c>
      <c r="T177">
        <v>74.81</v>
      </c>
      <c r="U177">
        <v>79.680000000000007</v>
      </c>
      <c r="V177">
        <v>76.25</v>
      </c>
      <c r="W177">
        <v>74.790000000000006</v>
      </c>
      <c r="X177">
        <v>79.19</v>
      </c>
      <c r="Y177">
        <v>76.92</v>
      </c>
      <c r="Z177">
        <v>68.09</v>
      </c>
      <c r="AA177">
        <v>69.34</v>
      </c>
      <c r="AB177">
        <v>77.78</v>
      </c>
      <c r="AC177">
        <v>79.680000000000007</v>
      </c>
      <c r="AD177">
        <v>59</v>
      </c>
      <c r="AE177">
        <f>(AC177+AD177)/2</f>
        <v>69.34</v>
      </c>
      <c r="AF177">
        <v>20.68</v>
      </c>
      <c r="AG177">
        <v>69.34</v>
      </c>
      <c r="AH177">
        <v>39.1</v>
      </c>
    </row>
    <row r="178" spans="1:34" x14ac:dyDescent="0.25">
      <c r="B178">
        <v>61.95</v>
      </c>
      <c r="C178">
        <v>52.38</v>
      </c>
      <c r="D178">
        <v>61.07</v>
      </c>
      <c r="E178">
        <v>77.91</v>
      </c>
      <c r="F178">
        <v>59.31</v>
      </c>
      <c r="G178">
        <v>70.489999999999995</v>
      </c>
      <c r="H178">
        <v>64.42</v>
      </c>
      <c r="I178">
        <v>55.36</v>
      </c>
      <c r="J178">
        <v>56.9</v>
      </c>
      <c r="K178">
        <v>67.42</v>
      </c>
      <c r="L178">
        <v>61.07</v>
      </c>
      <c r="M178">
        <v>52.73</v>
      </c>
      <c r="N178">
        <f t="shared" si="166"/>
        <v>56.9</v>
      </c>
      <c r="O178">
        <v>8.34</v>
      </c>
      <c r="P178">
        <v>56.9</v>
      </c>
      <c r="Q178">
        <v>15.18</v>
      </c>
      <c r="S178">
        <v>82.38</v>
      </c>
      <c r="T178">
        <v>74.430000000000007</v>
      </c>
      <c r="U178">
        <v>79.64</v>
      </c>
      <c r="V178">
        <v>76.599999999999994</v>
      </c>
      <c r="W178">
        <v>75.849999999999994</v>
      </c>
      <c r="X178">
        <v>81</v>
      </c>
      <c r="Y178">
        <v>78.34</v>
      </c>
      <c r="Z178">
        <v>68.239999999999995</v>
      </c>
      <c r="AA178">
        <v>68.510000000000005</v>
      </c>
      <c r="AB178">
        <v>77.78</v>
      </c>
      <c r="AC178">
        <v>79.64</v>
      </c>
      <c r="AD178">
        <v>57.38</v>
      </c>
      <c r="AE178">
        <f t="shared" ref="AE178:AE182" si="167">(AC178+AD178)/2</f>
        <v>68.510000000000005</v>
      </c>
      <c r="AF178">
        <v>22.26</v>
      </c>
      <c r="AG178">
        <v>68.510000000000005</v>
      </c>
      <c r="AH178">
        <v>38.39</v>
      </c>
    </row>
    <row r="179" spans="1:34" x14ac:dyDescent="0.25">
      <c r="B179">
        <v>90.5</v>
      </c>
      <c r="C179">
        <v>83.29</v>
      </c>
      <c r="D179">
        <v>81.099999999999994</v>
      </c>
      <c r="E179">
        <v>80.62</v>
      </c>
      <c r="F179">
        <v>83.33</v>
      </c>
      <c r="G179">
        <v>77.87</v>
      </c>
      <c r="H179">
        <v>80.510000000000005</v>
      </c>
      <c r="I179">
        <v>70.23</v>
      </c>
      <c r="J179">
        <v>74.31</v>
      </c>
      <c r="K179">
        <v>83.13</v>
      </c>
      <c r="L179">
        <v>81.099999999999994</v>
      </c>
      <c r="M179">
        <v>67.52</v>
      </c>
      <c r="N179">
        <f t="shared" si="166"/>
        <v>74.31</v>
      </c>
      <c r="O179">
        <v>13.58</v>
      </c>
      <c r="P179">
        <v>74.31</v>
      </c>
      <c r="Q179">
        <v>45.55</v>
      </c>
      <c r="S179">
        <v>76.91</v>
      </c>
      <c r="T179">
        <v>64.61</v>
      </c>
      <c r="U179">
        <v>83.04</v>
      </c>
      <c r="V179">
        <v>72.010000000000005</v>
      </c>
      <c r="W179">
        <v>67.010000000000005</v>
      </c>
      <c r="X179">
        <v>84.97</v>
      </c>
      <c r="Y179">
        <v>74.930000000000007</v>
      </c>
      <c r="Z179">
        <v>68.849999999999994</v>
      </c>
      <c r="AA179">
        <v>70.150000000000006</v>
      </c>
      <c r="AB179">
        <v>78.709999999999994</v>
      </c>
      <c r="AC179">
        <v>83.04</v>
      </c>
      <c r="AD179">
        <v>57.26</v>
      </c>
      <c r="AE179">
        <f t="shared" si="167"/>
        <v>70.150000000000006</v>
      </c>
      <c r="AF179">
        <v>25.78</v>
      </c>
      <c r="AG179">
        <v>70.150000000000006</v>
      </c>
      <c r="AH179">
        <v>41.17</v>
      </c>
    </row>
    <row r="180" spans="1:34" x14ac:dyDescent="0.25">
      <c r="B180">
        <v>69.28</v>
      </c>
      <c r="C180">
        <v>69.38</v>
      </c>
      <c r="D180">
        <v>66.34</v>
      </c>
      <c r="E180">
        <v>63.93</v>
      </c>
      <c r="F180">
        <v>70.27</v>
      </c>
      <c r="G180">
        <v>66.239999999999995</v>
      </c>
      <c r="H180">
        <v>68.2</v>
      </c>
      <c r="I180">
        <v>60.96</v>
      </c>
      <c r="J180">
        <v>65.790000000000006</v>
      </c>
      <c r="K180">
        <v>72.44</v>
      </c>
      <c r="L180">
        <v>66.34</v>
      </c>
      <c r="M180">
        <v>65.239999999999995</v>
      </c>
      <c r="N180">
        <f t="shared" si="166"/>
        <v>65.789999999999992</v>
      </c>
      <c r="O180">
        <v>1.1000000000000001</v>
      </c>
      <c r="P180">
        <v>65.790000000000006</v>
      </c>
      <c r="Q180">
        <v>29.99</v>
      </c>
      <c r="S180">
        <v>85.96</v>
      </c>
      <c r="T180">
        <v>78.569999999999993</v>
      </c>
      <c r="U180">
        <v>82.06</v>
      </c>
      <c r="V180">
        <v>79.930000000000007</v>
      </c>
      <c r="W180">
        <v>79.569999999999993</v>
      </c>
      <c r="X180">
        <v>82.81</v>
      </c>
      <c r="Y180">
        <v>81.150000000000006</v>
      </c>
      <c r="Z180">
        <v>73.989999999999995</v>
      </c>
      <c r="AA180">
        <v>74.42</v>
      </c>
      <c r="AB180">
        <v>81.31</v>
      </c>
      <c r="AC180">
        <v>82.06</v>
      </c>
      <c r="AD180">
        <v>66.790000000000006</v>
      </c>
      <c r="AE180">
        <f t="shared" si="167"/>
        <v>74.425000000000011</v>
      </c>
      <c r="AF180">
        <v>15.27</v>
      </c>
      <c r="AG180">
        <v>74.42</v>
      </c>
      <c r="AH180">
        <v>49.18</v>
      </c>
    </row>
    <row r="181" spans="1:34" x14ac:dyDescent="0.25">
      <c r="B181">
        <v>68.040000000000006</v>
      </c>
      <c r="C181">
        <v>64.25</v>
      </c>
      <c r="D181">
        <v>69.430000000000007</v>
      </c>
      <c r="E181">
        <v>77.319999999999993</v>
      </c>
      <c r="F181">
        <v>69.7</v>
      </c>
      <c r="G181">
        <v>75.41</v>
      </c>
      <c r="H181">
        <v>72.44</v>
      </c>
      <c r="I181">
        <v>67.569999999999993</v>
      </c>
      <c r="J181">
        <v>68.260000000000005</v>
      </c>
      <c r="K181">
        <v>73.86</v>
      </c>
      <c r="L181">
        <v>69.430000000000007</v>
      </c>
      <c r="M181">
        <v>67.09</v>
      </c>
      <c r="N181">
        <f t="shared" si="166"/>
        <v>68.260000000000005</v>
      </c>
      <c r="O181">
        <v>2.34</v>
      </c>
      <c r="P181">
        <v>68.260000000000005</v>
      </c>
      <c r="Q181">
        <v>37.020000000000003</v>
      </c>
      <c r="S181">
        <v>74.94</v>
      </c>
      <c r="T181">
        <v>67.73</v>
      </c>
      <c r="U181">
        <v>78.790000000000006</v>
      </c>
      <c r="V181">
        <v>71.08</v>
      </c>
      <c r="W181">
        <v>68.36</v>
      </c>
      <c r="X181">
        <v>79.08</v>
      </c>
      <c r="Y181">
        <v>73.33</v>
      </c>
      <c r="Z181">
        <v>68.94</v>
      </c>
      <c r="AA181">
        <v>71.5</v>
      </c>
      <c r="AB181">
        <v>78.3</v>
      </c>
      <c r="AC181">
        <v>78.790000000000006</v>
      </c>
      <c r="AD181">
        <v>64.209999999999994</v>
      </c>
      <c r="AE181">
        <f t="shared" si="167"/>
        <v>71.5</v>
      </c>
      <c r="AF181">
        <v>14.58</v>
      </c>
      <c r="AG181">
        <v>71.5</v>
      </c>
      <c r="AH181">
        <v>42.71</v>
      </c>
    </row>
    <row r="182" spans="1:34" x14ac:dyDescent="0.25">
      <c r="B182">
        <v>71.959999999999994</v>
      </c>
      <c r="C182">
        <v>61.28</v>
      </c>
      <c r="D182">
        <v>78.930000000000007</v>
      </c>
      <c r="E182">
        <v>67.349999999999994</v>
      </c>
      <c r="F182">
        <v>62.61</v>
      </c>
      <c r="G182">
        <v>81.42</v>
      </c>
      <c r="H182">
        <v>70.790000000000006</v>
      </c>
      <c r="I182">
        <v>63.25</v>
      </c>
      <c r="J182">
        <v>66.59</v>
      </c>
      <c r="K182">
        <v>74.67</v>
      </c>
      <c r="L182">
        <v>78.930000000000007</v>
      </c>
      <c r="M182">
        <v>54.24</v>
      </c>
      <c r="N182">
        <f t="shared" si="166"/>
        <v>66.585000000000008</v>
      </c>
      <c r="O182">
        <v>24.68</v>
      </c>
      <c r="P182">
        <v>66.59</v>
      </c>
      <c r="Q182">
        <v>34.24</v>
      </c>
      <c r="S182">
        <v>78.78</v>
      </c>
      <c r="T182">
        <v>64.319999999999993</v>
      </c>
      <c r="U182">
        <v>81.540000000000006</v>
      </c>
      <c r="V182">
        <v>70.37</v>
      </c>
      <c r="W182">
        <v>67.08</v>
      </c>
      <c r="X182">
        <v>82.12</v>
      </c>
      <c r="Y182">
        <v>73.84</v>
      </c>
      <c r="Z182">
        <v>66.569999999999993</v>
      </c>
      <c r="AA182">
        <v>68.900000000000006</v>
      </c>
      <c r="AB182">
        <v>78.650000000000006</v>
      </c>
      <c r="AC182">
        <v>81.540000000000006</v>
      </c>
      <c r="AD182">
        <v>56.26</v>
      </c>
      <c r="AE182">
        <f t="shared" si="167"/>
        <v>68.900000000000006</v>
      </c>
      <c r="AF182">
        <v>25.28</v>
      </c>
      <c r="AG182">
        <v>68.900000000000006</v>
      </c>
      <c r="AH182">
        <v>37.659999999999997</v>
      </c>
    </row>
    <row r="183" spans="1:34" x14ac:dyDescent="0.25">
      <c r="B183" s="2">
        <f>AVERAGE(B173:B182)</f>
        <v>76.64200000000001</v>
      </c>
      <c r="C183" s="2">
        <f t="shared" ref="C183:Q183" si="168">AVERAGE(C173:C182)</f>
        <v>70.221000000000004</v>
      </c>
      <c r="D183" s="2">
        <f t="shared" si="168"/>
        <v>74.998999999999995</v>
      </c>
      <c r="E183" s="2">
        <f t="shared" si="168"/>
        <v>73.756999999999977</v>
      </c>
      <c r="F183" s="2">
        <f t="shared" si="168"/>
        <v>71.865000000000009</v>
      </c>
      <c r="G183" s="2">
        <f t="shared" si="168"/>
        <v>76.036999999999992</v>
      </c>
      <c r="H183" s="2">
        <f t="shared" si="168"/>
        <v>73.711000000000013</v>
      </c>
      <c r="I183" s="2">
        <f t="shared" si="168"/>
        <v>63.906000000000006</v>
      </c>
      <c r="J183" s="2">
        <f t="shared" si="168"/>
        <v>67.448999999999998</v>
      </c>
      <c r="K183" s="2">
        <f t="shared" si="168"/>
        <v>75.785000000000011</v>
      </c>
      <c r="L183" s="2">
        <f t="shared" si="168"/>
        <v>74.998999999999995</v>
      </c>
      <c r="M183" s="2">
        <f t="shared" si="168"/>
        <v>59.900999999999996</v>
      </c>
      <c r="N183" s="2">
        <f t="shared" si="168"/>
        <v>67.450000000000017</v>
      </c>
      <c r="O183" s="2">
        <f t="shared" si="168"/>
        <v>15.097</v>
      </c>
      <c r="P183" s="2">
        <f t="shared" si="168"/>
        <v>67.448999999999998</v>
      </c>
      <c r="Q183" s="2">
        <f t="shared" si="168"/>
        <v>33.96</v>
      </c>
      <c r="S183" s="2">
        <f>AVERAGE(S177:S182)</f>
        <v>80.356666666666669</v>
      </c>
      <c r="T183" s="2">
        <f t="shared" ref="T183:AH183" si="169">AVERAGE(T177:T182)</f>
        <v>70.745000000000005</v>
      </c>
      <c r="U183" s="2">
        <f t="shared" si="169"/>
        <v>80.791666666666671</v>
      </c>
      <c r="V183" s="2">
        <f t="shared" si="169"/>
        <v>74.373333333333335</v>
      </c>
      <c r="W183" s="2">
        <f t="shared" si="169"/>
        <v>72.11</v>
      </c>
      <c r="X183" s="2">
        <f t="shared" si="169"/>
        <v>81.528333333333336</v>
      </c>
      <c r="Y183" s="2">
        <f t="shared" si="169"/>
        <v>76.418333333333337</v>
      </c>
      <c r="Z183" s="2">
        <f t="shared" si="169"/>
        <v>69.11333333333333</v>
      </c>
      <c r="AA183" s="2">
        <f t="shared" si="169"/>
        <v>70.470000000000013</v>
      </c>
      <c r="AB183" s="2">
        <f t="shared" si="169"/>
        <v>78.754999999999995</v>
      </c>
      <c r="AC183" s="2">
        <f t="shared" si="169"/>
        <v>80.791666666666671</v>
      </c>
      <c r="AD183" s="2">
        <f t="shared" si="169"/>
        <v>60.15</v>
      </c>
      <c r="AE183" s="2">
        <f t="shared" si="169"/>
        <v>70.470833333333346</v>
      </c>
      <c r="AF183" s="2">
        <f t="shared" si="169"/>
        <v>20.641666666666666</v>
      </c>
      <c r="AG183" s="2">
        <f t="shared" si="169"/>
        <v>70.470000000000013</v>
      </c>
      <c r="AH183" s="2">
        <f t="shared" si="169"/>
        <v>41.368333333333332</v>
      </c>
    </row>
    <row r="185" spans="1:34" x14ac:dyDescent="0.25">
      <c r="B185" s="2">
        <f>AVERAGE(B161,B172,B183)</f>
        <v>75.50633333333333</v>
      </c>
      <c r="C185" s="2">
        <f t="shared" ref="C185" si="170">AVERAGE(C161,C172,C183)</f>
        <v>71.052999999999997</v>
      </c>
      <c r="D185" s="2">
        <f t="shared" ref="D185" si="171">AVERAGE(D161,D172,D183)</f>
        <v>73.387666666666675</v>
      </c>
      <c r="E185" s="2">
        <f t="shared" ref="E185" si="172">AVERAGE(E161,E172,E183)</f>
        <v>71.220333333333329</v>
      </c>
      <c r="F185" s="2">
        <f t="shared" ref="F185" si="173">AVERAGE(F161,F172,F183)</f>
        <v>73.17</v>
      </c>
      <c r="G185" s="2">
        <f t="shared" ref="G185" si="174">AVERAGE(G161,G172,G183)</f>
        <v>74.902333333333331</v>
      </c>
      <c r="H185" s="2">
        <f t="shared" ref="H185" si="175">AVERAGE(H161,H172,H183)</f>
        <v>73.115666666666684</v>
      </c>
      <c r="I185" s="2">
        <f t="shared" ref="I185" si="176">AVERAGE(I161,I172,I183)</f>
        <v>63.053666666666665</v>
      </c>
      <c r="J185" s="2">
        <f t="shared" ref="J185" si="177">AVERAGE(J161,J172,J183)</f>
        <v>66.912666666666667</v>
      </c>
      <c r="K185" s="2">
        <f t="shared" ref="K185" si="178">AVERAGE(K161,K172,K183)</f>
        <v>74.76066666666668</v>
      </c>
      <c r="L185" s="2">
        <f t="shared" ref="L185" si="179">AVERAGE(L161,L172,L183)</f>
        <v>73.387666666666675</v>
      </c>
      <c r="M185" s="2">
        <f t="shared" ref="M185" si="180">AVERAGE(M161,M172,M183)</f>
        <v>60.438666666666656</v>
      </c>
      <c r="N185" s="2">
        <f t="shared" ref="N185" si="181">AVERAGE(N161,N172,N183)</f>
        <v>66.913166666666669</v>
      </c>
      <c r="O185" s="2">
        <f t="shared" ref="O185" si="182">AVERAGE(O161,O172,O183)</f>
        <v>21.861999999999998</v>
      </c>
      <c r="P185" s="2">
        <f t="shared" ref="P185" si="183">AVERAGE(P161,P172,P183)</f>
        <v>66.912666666666667</v>
      </c>
      <c r="Q185" s="2">
        <f t="shared" ref="Q185" si="184">AVERAGE(Q161,Q172,Q183)</f>
        <v>32.693333333333335</v>
      </c>
      <c r="S185" s="2">
        <f>AVERAGE(S161,S172,S183)</f>
        <v>79.203333333333333</v>
      </c>
      <c r="T185" s="2">
        <f t="shared" ref="T185" si="185">AVERAGE(T161,T172,T183)</f>
        <v>70.336666666666673</v>
      </c>
      <c r="U185" s="2">
        <f t="shared" ref="U185" si="186">AVERAGE(U161,U172,U183)</f>
        <v>81.984444444444463</v>
      </c>
      <c r="V185" s="2">
        <f t="shared" ref="V185" si="187">AVERAGE(V161,V172,V183)</f>
        <v>74.314999999999998</v>
      </c>
      <c r="W185" s="2">
        <f t="shared" ref="W185" si="188">AVERAGE(W161,W172,W183)</f>
        <v>71.408888888888896</v>
      </c>
      <c r="X185" s="2">
        <f t="shared" ref="X185" si="189">AVERAGE(X161,X172,X183)</f>
        <v>82.725555555555573</v>
      </c>
      <c r="Y185" s="2">
        <f t="shared" ref="Y185" si="190">AVERAGE(Y161,Y172,Y183)</f>
        <v>76.25055555555555</v>
      </c>
      <c r="Z185" s="2">
        <f t="shared" ref="Z185" si="191">AVERAGE(Z161,Z172,Z183)</f>
        <v>67.621111111111119</v>
      </c>
      <c r="AA185" s="2">
        <f t="shared" ref="AA185" si="192">AVERAGE(AA161,AA172,AA183)</f>
        <v>69.675000000000011</v>
      </c>
      <c r="AB185" s="2">
        <f t="shared" ref="AB185" si="193">AVERAGE(AB161,AB172,AB183)</f>
        <v>78.558888888888887</v>
      </c>
      <c r="AC185" s="2">
        <f t="shared" ref="AC185" si="194">AVERAGE(AC161,AC172,AC183)</f>
        <v>81.984444444444463</v>
      </c>
      <c r="AD185" s="2">
        <f t="shared" ref="AD185" si="195">AVERAGE(AD161,AD172,AD183)</f>
        <v>57.36611111111111</v>
      </c>
      <c r="AE185" s="2">
        <f>AVERAGE(AE161,AE172,AE183)</f>
        <v>69.675277777777794</v>
      </c>
      <c r="AF185" s="2">
        <f t="shared" ref="AF185" si="196">AVERAGE(AF161,AF172,AF183)</f>
        <v>24.619999999999994</v>
      </c>
      <c r="AG185" s="2">
        <f t="shared" ref="AG185" si="197">AVERAGE(AG161,AG172,AG183)</f>
        <v>69.675000000000011</v>
      </c>
      <c r="AH185" s="2">
        <f t="shared" ref="AH185" si="198">AVERAGE(AH161,AH172,AH183)</f>
        <v>40.136666666666663</v>
      </c>
    </row>
    <row r="186" spans="1:34" x14ac:dyDescent="0.25">
      <c r="B186" s="2">
        <f>_xlfn.STDEV.S(B161,B172,B183)</f>
        <v>1.0025638799265397</v>
      </c>
      <c r="C186" s="2">
        <f t="shared" ref="C186:Q186" si="199">_xlfn.STDEV.S(C161,C172,C183)</f>
        <v>3.7714681491429802</v>
      </c>
      <c r="D186" s="2">
        <f t="shared" si="199"/>
        <v>10.266281572864344</v>
      </c>
      <c r="E186" s="2">
        <f t="shared" si="199"/>
        <v>2.8268090372951042</v>
      </c>
      <c r="F186" s="2">
        <f t="shared" si="199"/>
        <v>5.1929722702899133</v>
      </c>
      <c r="G186" s="2">
        <f t="shared" si="199"/>
        <v>9.4024891562464976</v>
      </c>
      <c r="H186" s="2">
        <f t="shared" si="199"/>
        <v>1.7735910840250981</v>
      </c>
      <c r="I186" s="2">
        <f t="shared" si="199"/>
        <v>2.4188770810715798</v>
      </c>
      <c r="J186" s="2">
        <f t="shared" si="199"/>
        <v>1.6655750758621948</v>
      </c>
      <c r="K186" s="2">
        <f t="shared" si="199"/>
        <v>0.88966304482839831</v>
      </c>
      <c r="L186" s="2">
        <f t="shared" si="199"/>
        <v>10.266281572864344</v>
      </c>
      <c r="M186" s="2">
        <f t="shared" si="199"/>
        <v>13.376606682314206</v>
      </c>
      <c r="N186" s="2">
        <f t="shared" si="199"/>
        <v>1.6649757005233901</v>
      </c>
      <c r="O186" s="2">
        <f t="shared" si="199"/>
        <v>11.736381426998705</v>
      </c>
      <c r="P186" s="2">
        <f t="shared" si="199"/>
        <v>1.6655750758621948</v>
      </c>
      <c r="Q186" s="2">
        <f t="shared" si="199"/>
        <v>2.2951229451454958</v>
      </c>
      <c r="S186" s="2">
        <f>_xlfn.STDEV.S(S161,S172,S183)</f>
        <v>1.4747400900949712</v>
      </c>
      <c r="T186" s="2">
        <f t="shared" ref="T186:AH186" si="200">_xlfn.STDEV.S(T161,T172,T183)</f>
        <v>1.9924656695773888</v>
      </c>
      <c r="U186" s="2">
        <f t="shared" si="200"/>
        <v>6.2386132569963273</v>
      </c>
      <c r="V186" s="2">
        <f t="shared" si="200"/>
        <v>0.87063354965092776</v>
      </c>
      <c r="W186" s="2">
        <f t="shared" si="200"/>
        <v>3.1245627842295915</v>
      </c>
      <c r="X186" s="2">
        <f t="shared" si="200"/>
        <v>5.5125499073914508</v>
      </c>
      <c r="Y186" s="2">
        <f t="shared" si="200"/>
        <v>0.28055665566340487</v>
      </c>
      <c r="Z186" s="2">
        <f t="shared" si="200"/>
        <v>2.7846884592023566</v>
      </c>
      <c r="AA186" s="2">
        <f t="shared" si="200"/>
        <v>1.3097274949817268</v>
      </c>
      <c r="AB186" s="2">
        <f t="shared" si="200"/>
        <v>1.5998735482438466</v>
      </c>
      <c r="AC186" s="2">
        <f t="shared" si="200"/>
        <v>6.2386132569963273</v>
      </c>
      <c r="AD186" s="2">
        <f t="shared" si="200"/>
        <v>8.7175130776649912</v>
      </c>
      <c r="AE186" s="2">
        <f t="shared" si="200"/>
        <v>1.308563231747508</v>
      </c>
      <c r="AF186" s="2">
        <f t="shared" si="200"/>
        <v>14.932080769641962</v>
      </c>
      <c r="AG186" s="2">
        <f t="shared" si="200"/>
        <v>1.3097274949817268</v>
      </c>
      <c r="AH186" s="2">
        <f t="shared" si="200"/>
        <v>1.5850893770804624</v>
      </c>
    </row>
    <row r="188" spans="1:34" x14ac:dyDescent="0.25">
      <c r="A188" s="1" t="s">
        <v>74</v>
      </c>
      <c r="B188">
        <v>79.349999999999994</v>
      </c>
      <c r="C188">
        <v>79.010000000000005</v>
      </c>
      <c r="D188">
        <v>80.81</v>
      </c>
      <c r="E188">
        <v>79.319999999999993</v>
      </c>
      <c r="F188">
        <v>80</v>
      </c>
      <c r="G188">
        <v>81.97</v>
      </c>
      <c r="H188">
        <v>80.97</v>
      </c>
      <c r="I188">
        <v>65.489999999999995</v>
      </c>
      <c r="J188">
        <v>68.16</v>
      </c>
      <c r="K188">
        <v>71.569999999999993</v>
      </c>
      <c r="L188">
        <v>80.81</v>
      </c>
      <c r="M188">
        <v>55.52</v>
      </c>
      <c r="N188">
        <f>(L188+M188)/2</f>
        <v>68.165000000000006</v>
      </c>
      <c r="O188">
        <v>25.29</v>
      </c>
      <c r="P188">
        <v>68.16</v>
      </c>
      <c r="Q188">
        <v>33.29</v>
      </c>
    </row>
    <row r="189" spans="1:34" x14ac:dyDescent="0.25">
      <c r="B189">
        <v>87.23</v>
      </c>
      <c r="C189">
        <v>76.17</v>
      </c>
      <c r="D189">
        <v>94.04</v>
      </c>
      <c r="E189">
        <v>83.52</v>
      </c>
      <c r="F189">
        <v>77.180000000000007</v>
      </c>
      <c r="G189">
        <v>94.26</v>
      </c>
      <c r="H189">
        <v>84.87</v>
      </c>
      <c r="I189">
        <v>67.11</v>
      </c>
      <c r="J189">
        <v>67.13</v>
      </c>
      <c r="K189">
        <v>80.13</v>
      </c>
      <c r="L189">
        <v>94.04</v>
      </c>
      <c r="M189">
        <v>40.21</v>
      </c>
      <c r="N189">
        <f t="shared" ref="N189:N197" si="201">(L189+M189)/2</f>
        <v>67.125</v>
      </c>
      <c r="O189">
        <v>53.83</v>
      </c>
      <c r="P189">
        <v>67.13</v>
      </c>
      <c r="Q189">
        <v>39.68</v>
      </c>
    </row>
    <row r="190" spans="1:34" x14ac:dyDescent="0.25">
      <c r="B190">
        <v>68.239999999999995</v>
      </c>
      <c r="C190">
        <v>61.3</v>
      </c>
      <c r="D190">
        <v>81.94</v>
      </c>
      <c r="E190">
        <v>68.53</v>
      </c>
      <c r="F190">
        <v>63.85</v>
      </c>
      <c r="G190">
        <v>86.62</v>
      </c>
      <c r="H190">
        <v>73.510000000000005</v>
      </c>
      <c r="I190">
        <v>58.04</v>
      </c>
      <c r="J190">
        <v>59.72</v>
      </c>
      <c r="K190">
        <v>70.25</v>
      </c>
      <c r="L190">
        <v>81.94</v>
      </c>
      <c r="M190">
        <v>37.5</v>
      </c>
      <c r="N190">
        <f t="shared" si="201"/>
        <v>59.72</v>
      </c>
      <c r="O190">
        <v>44.45</v>
      </c>
      <c r="P190">
        <v>59.72</v>
      </c>
      <c r="Q190">
        <v>22.99</v>
      </c>
    </row>
    <row r="191" spans="1:34" x14ac:dyDescent="0.25">
      <c r="B191">
        <v>88.77</v>
      </c>
      <c r="C191">
        <v>77.62</v>
      </c>
      <c r="D191">
        <v>85.25</v>
      </c>
      <c r="E191">
        <v>80.739999999999995</v>
      </c>
      <c r="F191">
        <v>78.790000000000006</v>
      </c>
      <c r="G191">
        <v>85.25</v>
      </c>
      <c r="H191">
        <v>81.89</v>
      </c>
      <c r="I191">
        <v>66.92</v>
      </c>
      <c r="J191">
        <v>67.64</v>
      </c>
      <c r="K191">
        <v>79.069999999999993</v>
      </c>
      <c r="L191">
        <v>85.25</v>
      </c>
      <c r="M191">
        <v>50.02</v>
      </c>
      <c r="N191">
        <f t="shared" si="201"/>
        <v>67.635000000000005</v>
      </c>
      <c r="O191">
        <v>35.229999999999997</v>
      </c>
      <c r="P191">
        <v>67.64</v>
      </c>
      <c r="Q191">
        <v>35.46</v>
      </c>
    </row>
    <row r="192" spans="1:34" x14ac:dyDescent="0.25">
      <c r="B192">
        <v>69.67</v>
      </c>
      <c r="C192">
        <v>66.86</v>
      </c>
      <c r="D192">
        <v>72.56</v>
      </c>
      <c r="E192">
        <v>65.42</v>
      </c>
      <c r="F192">
        <v>66.86</v>
      </c>
      <c r="G192">
        <v>73.25</v>
      </c>
      <c r="H192">
        <v>69.91</v>
      </c>
      <c r="I192">
        <v>60.74</v>
      </c>
      <c r="J192">
        <v>65.209999999999994</v>
      </c>
      <c r="K192">
        <v>75.11</v>
      </c>
      <c r="L192">
        <v>72.56</v>
      </c>
      <c r="M192">
        <v>57.86</v>
      </c>
      <c r="N192">
        <f t="shared" si="201"/>
        <v>65.210000000000008</v>
      </c>
      <c r="O192">
        <v>14.7</v>
      </c>
      <c r="P192">
        <v>65.209999999999994</v>
      </c>
      <c r="Q192">
        <v>28.97</v>
      </c>
      <c r="S192">
        <v>83.62</v>
      </c>
      <c r="T192">
        <v>74.94</v>
      </c>
      <c r="U192">
        <v>82.35</v>
      </c>
      <c r="V192">
        <v>78.16</v>
      </c>
      <c r="W192">
        <v>75.72</v>
      </c>
      <c r="X192">
        <v>83.26</v>
      </c>
      <c r="Y192">
        <v>79.31</v>
      </c>
      <c r="Z192">
        <v>69.47</v>
      </c>
      <c r="AA192">
        <v>69.81</v>
      </c>
      <c r="AB192">
        <v>79.02</v>
      </c>
      <c r="AC192">
        <v>82.35</v>
      </c>
      <c r="AD192">
        <v>57.27</v>
      </c>
      <c r="AE192">
        <f>(AC192+AD192)/2</f>
        <v>69.81</v>
      </c>
      <c r="AF192">
        <v>25.08</v>
      </c>
      <c r="AG192">
        <v>69.81</v>
      </c>
      <c r="AH192">
        <v>41.05</v>
      </c>
    </row>
    <row r="193" spans="2:34" x14ac:dyDescent="0.25">
      <c r="B193">
        <v>59.23</v>
      </c>
      <c r="C193">
        <v>55.11</v>
      </c>
      <c r="D193">
        <v>78.37</v>
      </c>
      <c r="E193">
        <v>63.05</v>
      </c>
      <c r="F193">
        <v>57.71</v>
      </c>
      <c r="G193">
        <v>82.79</v>
      </c>
      <c r="H193">
        <v>68.010000000000005</v>
      </c>
      <c r="I193">
        <v>55.48</v>
      </c>
      <c r="J193">
        <v>59.75</v>
      </c>
      <c r="K193">
        <v>64.58</v>
      </c>
      <c r="L193">
        <v>78.37</v>
      </c>
      <c r="M193">
        <v>41.13</v>
      </c>
      <c r="N193">
        <f t="shared" si="201"/>
        <v>59.75</v>
      </c>
      <c r="O193">
        <v>37.24</v>
      </c>
      <c r="P193">
        <v>59.75</v>
      </c>
      <c r="Q193">
        <v>19.98</v>
      </c>
      <c r="S193">
        <v>78.17</v>
      </c>
      <c r="T193">
        <v>72.010000000000005</v>
      </c>
      <c r="U193">
        <v>76.239999999999995</v>
      </c>
      <c r="V193">
        <v>74.02</v>
      </c>
      <c r="W193">
        <v>74.36</v>
      </c>
      <c r="X193">
        <v>78.73</v>
      </c>
      <c r="Y193">
        <v>76.48</v>
      </c>
      <c r="Z193">
        <v>66.459999999999994</v>
      </c>
      <c r="AA193">
        <v>65.930000000000007</v>
      </c>
      <c r="AB193">
        <v>72.8</v>
      </c>
      <c r="AC193">
        <v>76.239999999999995</v>
      </c>
      <c r="AD193">
        <v>55.62</v>
      </c>
      <c r="AE193">
        <f t="shared" ref="AE193:AE197" si="202">(AC193+AD193)/2</f>
        <v>65.929999999999993</v>
      </c>
      <c r="AF193">
        <v>20.62</v>
      </c>
      <c r="AG193">
        <v>65.930000000000007</v>
      </c>
      <c r="AH193">
        <v>33.61</v>
      </c>
    </row>
    <row r="194" spans="2:34" x14ac:dyDescent="0.25">
      <c r="B194">
        <v>87.39</v>
      </c>
      <c r="C194">
        <v>81.75</v>
      </c>
      <c r="D194">
        <v>84.74</v>
      </c>
      <c r="E194">
        <v>82.13</v>
      </c>
      <c r="F194">
        <v>82.11</v>
      </c>
      <c r="G194">
        <v>82.79</v>
      </c>
      <c r="H194">
        <v>82.45</v>
      </c>
      <c r="I194">
        <v>70.87</v>
      </c>
      <c r="J194">
        <v>73.73</v>
      </c>
      <c r="K194">
        <v>80.63</v>
      </c>
      <c r="L194">
        <v>84.74</v>
      </c>
      <c r="M194">
        <v>62.72</v>
      </c>
      <c r="N194">
        <f t="shared" si="201"/>
        <v>73.72999999999999</v>
      </c>
      <c r="O194">
        <v>22.02</v>
      </c>
      <c r="P194">
        <v>73.73</v>
      </c>
      <c r="Q194">
        <v>45.1</v>
      </c>
      <c r="S194">
        <v>72.64</v>
      </c>
      <c r="T194">
        <v>67.88</v>
      </c>
      <c r="U194">
        <v>78.900000000000006</v>
      </c>
      <c r="V194">
        <v>72.28</v>
      </c>
      <c r="W194">
        <v>70.69</v>
      </c>
      <c r="X194">
        <v>80.39</v>
      </c>
      <c r="Y194">
        <v>75.23</v>
      </c>
      <c r="Z194">
        <v>70.59</v>
      </c>
      <c r="AA194">
        <v>71.989999999999995</v>
      </c>
      <c r="AB194">
        <v>76.709999999999994</v>
      </c>
      <c r="AC194">
        <v>78.900000000000006</v>
      </c>
      <c r="AD194">
        <v>65.09</v>
      </c>
      <c r="AE194">
        <f t="shared" si="202"/>
        <v>71.995000000000005</v>
      </c>
      <c r="AF194">
        <v>13.81</v>
      </c>
      <c r="AG194">
        <v>71.989999999999995</v>
      </c>
      <c r="AH194">
        <v>43.29</v>
      </c>
    </row>
    <row r="195" spans="2:34" x14ac:dyDescent="0.25">
      <c r="B195">
        <v>71.459999999999994</v>
      </c>
      <c r="C195">
        <v>69.39</v>
      </c>
      <c r="D195">
        <v>79.88</v>
      </c>
      <c r="E195">
        <v>70.86</v>
      </c>
      <c r="F195">
        <v>70.06</v>
      </c>
      <c r="G195">
        <v>78.98</v>
      </c>
      <c r="H195">
        <v>74.25</v>
      </c>
      <c r="I195">
        <v>66.08</v>
      </c>
      <c r="J195">
        <v>71.459999999999994</v>
      </c>
      <c r="K195">
        <v>77.5</v>
      </c>
      <c r="L195">
        <v>79.88</v>
      </c>
      <c r="M195">
        <v>63.05</v>
      </c>
      <c r="N195">
        <f t="shared" si="201"/>
        <v>71.465000000000003</v>
      </c>
      <c r="O195">
        <v>16.829999999999998</v>
      </c>
      <c r="P195">
        <v>71.459999999999994</v>
      </c>
      <c r="Q195">
        <v>38.630000000000003</v>
      </c>
      <c r="S195">
        <v>84.61</v>
      </c>
      <c r="T195">
        <v>75.64</v>
      </c>
      <c r="U195">
        <v>82.01</v>
      </c>
      <c r="V195">
        <v>78.040000000000006</v>
      </c>
      <c r="W195">
        <v>76.150000000000006</v>
      </c>
      <c r="X195">
        <v>82.35</v>
      </c>
      <c r="Y195">
        <v>79.13</v>
      </c>
      <c r="Z195">
        <v>70.930000000000007</v>
      </c>
      <c r="AA195">
        <v>71.88</v>
      </c>
      <c r="AB195">
        <v>78.66</v>
      </c>
      <c r="AC195">
        <v>82.01</v>
      </c>
      <c r="AD195">
        <v>61.75</v>
      </c>
      <c r="AE195">
        <f t="shared" si="202"/>
        <v>71.88</v>
      </c>
      <c r="AF195">
        <v>20.260000000000002</v>
      </c>
      <c r="AG195">
        <v>71.88</v>
      </c>
      <c r="AH195">
        <v>44.28</v>
      </c>
    </row>
    <row r="196" spans="2:34" x14ac:dyDescent="0.25">
      <c r="B196">
        <v>65.930000000000007</v>
      </c>
      <c r="C196">
        <v>56.44</v>
      </c>
      <c r="D196">
        <v>73.27</v>
      </c>
      <c r="E196">
        <v>62.86</v>
      </c>
      <c r="F196">
        <v>60.62</v>
      </c>
      <c r="G196">
        <v>79.510000000000005</v>
      </c>
      <c r="H196">
        <v>68.790000000000006</v>
      </c>
      <c r="I196">
        <v>60.38</v>
      </c>
      <c r="J196">
        <v>62.4</v>
      </c>
      <c r="K196">
        <v>69.27</v>
      </c>
      <c r="L196">
        <v>73.27</v>
      </c>
      <c r="M196">
        <v>51.53</v>
      </c>
      <c r="N196">
        <f t="shared" si="201"/>
        <v>62.4</v>
      </c>
      <c r="O196">
        <v>21.74</v>
      </c>
      <c r="P196">
        <v>62.4</v>
      </c>
      <c r="Q196">
        <v>25.25</v>
      </c>
      <c r="S196">
        <v>73.47</v>
      </c>
      <c r="T196">
        <v>69.819999999999993</v>
      </c>
      <c r="U196">
        <v>81.17</v>
      </c>
      <c r="V196">
        <v>74.2</v>
      </c>
      <c r="W196">
        <v>70.95</v>
      </c>
      <c r="X196">
        <v>83.01</v>
      </c>
      <c r="Y196">
        <v>76.510000000000005</v>
      </c>
      <c r="Z196">
        <v>70.75</v>
      </c>
      <c r="AA196">
        <v>71.900000000000006</v>
      </c>
      <c r="AB196">
        <v>78.27</v>
      </c>
      <c r="AC196">
        <v>81.17</v>
      </c>
      <c r="AD196">
        <v>62.64</v>
      </c>
      <c r="AE196">
        <f t="shared" si="202"/>
        <v>71.905000000000001</v>
      </c>
      <c r="AF196">
        <v>18.53</v>
      </c>
      <c r="AG196">
        <v>71.900000000000006</v>
      </c>
      <c r="AH196">
        <v>44.93</v>
      </c>
    </row>
    <row r="197" spans="2:34" x14ac:dyDescent="0.25">
      <c r="B197">
        <v>69.150000000000006</v>
      </c>
      <c r="C197">
        <v>56.29</v>
      </c>
      <c r="D197">
        <v>81.97</v>
      </c>
      <c r="E197">
        <v>65.069999999999993</v>
      </c>
      <c r="F197">
        <v>57.45</v>
      </c>
      <c r="G197">
        <v>83.79</v>
      </c>
      <c r="H197">
        <v>68.17</v>
      </c>
      <c r="I197">
        <v>54.95</v>
      </c>
      <c r="J197">
        <v>60.3</v>
      </c>
      <c r="K197">
        <v>71.72</v>
      </c>
      <c r="L197">
        <v>81.97</v>
      </c>
      <c r="M197">
        <v>38.630000000000003</v>
      </c>
      <c r="N197">
        <f t="shared" si="201"/>
        <v>60.3</v>
      </c>
      <c r="O197">
        <v>43.34</v>
      </c>
      <c r="P197">
        <v>60.3</v>
      </c>
      <c r="Q197">
        <v>22.51</v>
      </c>
      <c r="S197">
        <v>74.52</v>
      </c>
      <c r="T197">
        <v>63.59</v>
      </c>
      <c r="U197">
        <v>75.52</v>
      </c>
      <c r="V197">
        <v>67.42</v>
      </c>
      <c r="W197">
        <v>67.37</v>
      </c>
      <c r="X197">
        <v>76.97</v>
      </c>
      <c r="Y197">
        <v>71.849999999999994</v>
      </c>
      <c r="Z197">
        <v>65.97</v>
      </c>
      <c r="AA197">
        <v>67.930000000000007</v>
      </c>
      <c r="AB197">
        <v>75.760000000000005</v>
      </c>
      <c r="AC197">
        <v>75.52</v>
      </c>
      <c r="AD197">
        <v>60.34</v>
      </c>
      <c r="AE197">
        <f t="shared" si="202"/>
        <v>67.930000000000007</v>
      </c>
      <c r="AF197">
        <v>15.18</v>
      </c>
      <c r="AG197">
        <v>67.930000000000007</v>
      </c>
      <c r="AH197">
        <v>35.06</v>
      </c>
    </row>
    <row r="198" spans="2:34" x14ac:dyDescent="0.25">
      <c r="B198" s="2">
        <f>AVERAGE(B188:B197)</f>
        <v>74.641999999999996</v>
      </c>
      <c r="C198" s="2">
        <f t="shared" ref="C198:Q198" si="203">AVERAGE(C188:C197)</f>
        <v>67.994</v>
      </c>
      <c r="D198" s="2">
        <f t="shared" si="203"/>
        <v>81.283000000000001</v>
      </c>
      <c r="E198" s="2">
        <f t="shared" si="203"/>
        <v>72.150000000000006</v>
      </c>
      <c r="F198" s="2">
        <f t="shared" si="203"/>
        <v>69.462999999999994</v>
      </c>
      <c r="G198" s="2">
        <f t="shared" si="203"/>
        <v>82.921000000000006</v>
      </c>
      <c r="H198" s="2">
        <f t="shared" si="203"/>
        <v>75.281999999999996</v>
      </c>
      <c r="I198" s="2">
        <f t="shared" si="203"/>
        <v>62.606000000000009</v>
      </c>
      <c r="J198" s="2">
        <f t="shared" si="203"/>
        <v>65.549999999999983</v>
      </c>
      <c r="K198" s="2">
        <f t="shared" si="203"/>
        <v>73.98299999999999</v>
      </c>
      <c r="L198" s="2">
        <f t="shared" si="203"/>
        <v>81.283000000000001</v>
      </c>
      <c r="M198" s="2">
        <f t="shared" si="203"/>
        <v>49.817000000000007</v>
      </c>
      <c r="N198" s="2">
        <f t="shared" si="203"/>
        <v>65.55</v>
      </c>
      <c r="O198" s="2">
        <f t="shared" si="203"/>
        <v>31.467000000000006</v>
      </c>
      <c r="P198" s="2">
        <f t="shared" si="203"/>
        <v>65.549999999999983</v>
      </c>
      <c r="Q198" s="2">
        <f t="shared" si="203"/>
        <v>31.185999999999996</v>
      </c>
      <c r="S198" s="2">
        <f>AVERAGE(S192:S197)</f>
        <v>77.838333333333324</v>
      </c>
      <c r="T198" s="2">
        <f t="shared" ref="T198:AH198" si="204">AVERAGE(T192:T197)</f>
        <v>70.646666666666661</v>
      </c>
      <c r="U198" s="2">
        <f t="shared" si="204"/>
        <v>79.364999999999995</v>
      </c>
      <c r="V198" s="2">
        <f t="shared" si="204"/>
        <v>74.02</v>
      </c>
      <c r="W198" s="2">
        <f t="shared" si="204"/>
        <v>72.539999999999992</v>
      </c>
      <c r="X198" s="2">
        <f t="shared" si="204"/>
        <v>80.785000000000011</v>
      </c>
      <c r="Y198" s="2">
        <f t="shared" si="204"/>
        <v>76.418333333333337</v>
      </c>
      <c r="Z198" s="2">
        <f t="shared" si="204"/>
        <v>69.02833333333335</v>
      </c>
      <c r="AA198" s="2">
        <f t="shared" si="204"/>
        <v>69.906666666666666</v>
      </c>
      <c r="AB198" s="2">
        <f t="shared" si="204"/>
        <v>76.86999999999999</v>
      </c>
      <c r="AC198" s="2">
        <f t="shared" si="204"/>
        <v>79.364999999999995</v>
      </c>
      <c r="AD198" s="2">
        <f t="shared" si="204"/>
        <v>60.451666666666675</v>
      </c>
      <c r="AE198" s="2">
        <f t="shared" si="204"/>
        <v>69.908333333333331</v>
      </c>
      <c r="AF198" s="2">
        <f t="shared" si="204"/>
        <v>18.913333333333338</v>
      </c>
      <c r="AG198" s="2">
        <f t="shared" si="204"/>
        <v>69.906666666666666</v>
      </c>
      <c r="AH198" s="2">
        <f t="shared" si="204"/>
        <v>40.369999999999997</v>
      </c>
    </row>
    <row r="199" spans="2:34" x14ac:dyDescent="0.25">
      <c r="B199">
        <v>86.41</v>
      </c>
      <c r="C199">
        <v>81.93</v>
      </c>
      <c r="D199">
        <v>73.959999999999994</v>
      </c>
      <c r="E199">
        <v>77.44</v>
      </c>
      <c r="F199">
        <v>83.49</v>
      </c>
      <c r="G199">
        <v>74.59</v>
      </c>
      <c r="H199">
        <v>78.790000000000006</v>
      </c>
      <c r="I199">
        <v>68.010000000000005</v>
      </c>
      <c r="J199">
        <v>71.14</v>
      </c>
      <c r="K199">
        <v>80.19</v>
      </c>
      <c r="L199">
        <v>73.959999999999994</v>
      </c>
      <c r="M199">
        <v>68.319999999999993</v>
      </c>
      <c r="N199">
        <f>(L199+M199)/2</f>
        <v>71.139999999999986</v>
      </c>
      <c r="O199">
        <v>5.64</v>
      </c>
      <c r="P199">
        <v>71.14</v>
      </c>
      <c r="Q199">
        <v>38.31</v>
      </c>
    </row>
    <row r="200" spans="2:34" x14ac:dyDescent="0.25">
      <c r="B200">
        <v>85.88</v>
      </c>
      <c r="C200">
        <v>83.55</v>
      </c>
      <c r="D200">
        <v>51.82</v>
      </c>
      <c r="E200">
        <v>63.64</v>
      </c>
      <c r="F200">
        <v>87.01</v>
      </c>
      <c r="G200">
        <v>54.92</v>
      </c>
      <c r="H200">
        <v>67.34</v>
      </c>
      <c r="I200">
        <v>59.53</v>
      </c>
      <c r="J200">
        <v>65.98</v>
      </c>
      <c r="K200">
        <v>77.67</v>
      </c>
      <c r="L200">
        <v>51.82</v>
      </c>
      <c r="M200">
        <v>80.150000000000006</v>
      </c>
      <c r="N200">
        <f t="shared" ref="N200:N208" si="205">(L200+M200)/2</f>
        <v>65.984999999999999</v>
      </c>
      <c r="O200">
        <v>28.33</v>
      </c>
      <c r="P200">
        <v>65.98</v>
      </c>
      <c r="Q200">
        <v>28.75</v>
      </c>
    </row>
    <row r="201" spans="2:34" x14ac:dyDescent="0.25">
      <c r="B201">
        <v>67.489999999999995</v>
      </c>
      <c r="C201">
        <v>84.81</v>
      </c>
      <c r="D201">
        <v>37.36</v>
      </c>
      <c r="E201">
        <v>46.93</v>
      </c>
      <c r="F201">
        <v>82.14</v>
      </c>
      <c r="G201">
        <v>43.95</v>
      </c>
      <c r="H201">
        <v>57.26</v>
      </c>
      <c r="I201">
        <v>54.22</v>
      </c>
      <c r="J201">
        <v>61.17</v>
      </c>
      <c r="K201">
        <v>72.3</v>
      </c>
      <c r="L201">
        <v>37.36</v>
      </c>
      <c r="M201">
        <v>84.99</v>
      </c>
      <c r="N201">
        <f t="shared" si="205"/>
        <v>61.174999999999997</v>
      </c>
      <c r="O201">
        <v>47.63</v>
      </c>
      <c r="P201">
        <v>61.17</v>
      </c>
      <c r="Q201">
        <v>21.18</v>
      </c>
    </row>
    <row r="202" spans="2:34" x14ac:dyDescent="0.25">
      <c r="B202">
        <v>82.91</v>
      </c>
      <c r="C202">
        <v>90.28</v>
      </c>
      <c r="D202">
        <v>23.39</v>
      </c>
      <c r="E202">
        <v>37.090000000000003</v>
      </c>
      <c r="F202">
        <v>90.32</v>
      </c>
      <c r="G202">
        <v>22.95</v>
      </c>
      <c r="H202">
        <v>36.6</v>
      </c>
      <c r="I202">
        <v>43.64</v>
      </c>
      <c r="J202">
        <v>58.41</v>
      </c>
      <c r="K202">
        <v>72.47</v>
      </c>
      <c r="L202">
        <v>23.39</v>
      </c>
      <c r="M202">
        <v>93.43</v>
      </c>
      <c r="N202">
        <f t="shared" si="205"/>
        <v>58.410000000000004</v>
      </c>
      <c r="O202">
        <v>70.05</v>
      </c>
      <c r="P202">
        <v>58.41</v>
      </c>
      <c r="Q202">
        <v>20.86</v>
      </c>
    </row>
    <row r="203" spans="2:34" x14ac:dyDescent="0.25">
      <c r="B203">
        <v>73.45</v>
      </c>
      <c r="C203">
        <v>81.569999999999993</v>
      </c>
      <c r="D203">
        <v>23.15</v>
      </c>
      <c r="E203">
        <v>34.86</v>
      </c>
      <c r="F203">
        <v>86.67</v>
      </c>
      <c r="G203">
        <v>24.84</v>
      </c>
      <c r="H203">
        <v>38.61</v>
      </c>
      <c r="I203">
        <v>47.85</v>
      </c>
      <c r="J203">
        <v>59.69</v>
      </c>
      <c r="K203">
        <v>78.150000000000006</v>
      </c>
      <c r="L203">
        <v>23.15</v>
      </c>
      <c r="M203">
        <v>96.23</v>
      </c>
      <c r="N203">
        <f t="shared" si="205"/>
        <v>59.69</v>
      </c>
      <c r="O203">
        <v>73.08</v>
      </c>
      <c r="P203">
        <v>59.69</v>
      </c>
      <c r="Q203">
        <v>22.45</v>
      </c>
      <c r="S203">
        <v>81.5</v>
      </c>
      <c r="T203">
        <v>80.11</v>
      </c>
      <c r="U203">
        <v>66.489999999999995</v>
      </c>
      <c r="V203">
        <v>72.349999999999994</v>
      </c>
      <c r="W203">
        <v>81.52</v>
      </c>
      <c r="X203">
        <v>67.87</v>
      </c>
      <c r="Y203">
        <v>74.069999999999993</v>
      </c>
      <c r="Z203">
        <v>68.430000000000007</v>
      </c>
      <c r="AA203">
        <v>70.430000000000007</v>
      </c>
      <c r="AB203">
        <v>78.67</v>
      </c>
      <c r="AC203">
        <v>66.489999999999995</v>
      </c>
      <c r="AD203">
        <v>74.37</v>
      </c>
      <c r="AE203">
        <f>(AC203+AD203)/2</f>
        <v>70.430000000000007</v>
      </c>
      <c r="AF203">
        <v>7.88</v>
      </c>
      <c r="AG203">
        <v>70.430000000000007</v>
      </c>
      <c r="AH203">
        <v>39.22</v>
      </c>
    </row>
    <row r="204" spans="2:34" x14ac:dyDescent="0.25">
      <c r="B204">
        <v>61.85</v>
      </c>
      <c r="C204">
        <v>63.53</v>
      </c>
      <c r="D204">
        <v>26.86</v>
      </c>
      <c r="E204">
        <v>48.52</v>
      </c>
      <c r="F204">
        <v>75</v>
      </c>
      <c r="G204">
        <v>31.97</v>
      </c>
      <c r="H204">
        <v>44.83</v>
      </c>
      <c r="I204">
        <v>52.79</v>
      </c>
      <c r="J204">
        <v>57.65</v>
      </c>
      <c r="K204">
        <v>66.66</v>
      </c>
      <c r="L204">
        <v>26.86</v>
      </c>
      <c r="M204">
        <v>88.45</v>
      </c>
      <c r="N204">
        <f t="shared" si="205"/>
        <v>57.655000000000001</v>
      </c>
      <c r="O204">
        <v>61.59</v>
      </c>
      <c r="P204">
        <v>57.65</v>
      </c>
      <c r="Q204">
        <v>17.57</v>
      </c>
      <c r="S204">
        <v>84.87</v>
      </c>
      <c r="T204">
        <v>87.42</v>
      </c>
      <c r="U204">
        <v>46.46</v>
      </c>
      <c r="V204">
        <v>57.39</v>
      </c>
      <c r="W204">
        <v>90.16</v>
      </c>
      <c r="X204">
        <v>49.77</v>
      </c>
      <c r="Y204">
        <v>64.14</v>
      </c>
      <c r="Z204">
        <v>61.74</v>
      </c>
      <c r="AA204">
        <v>68.260000000000005</v>
      </c>
      <c r="AB204">
        <v>80.34</v>
      </c>
      <c r="AC204">
        <v>46.46</v>
      </c>
      <c r="AD204">
        <v>90.06</v>
      </c>
      <c r="AE204">
        <f t="shared" ref="AE204:AE208" si="206">(AC204+AD204)/2</f>
        <v>68.260000000000005</v>
      </c>
      <c r="AF204">
        <v>43.6</v>
      </c>
      <c r="AG204">
        <v>68.260000000000005</v>
      </c>
      <c r="AH204">
        <v>36.79</v>
      </c>
    </row>
    <row r="205" spans="2:34" x14ac:dyDescent="0.25">
      <c r="B205">
        <v>88.24</v>
      </c>
      <c r="C205">
        <v>100</v>
      </c>
      <c r="D205">
        <v>5.31</v>
      </c>
      <c r="E205">
        <v>9.83</v>
      </c>
      <c r="F205">
        <v>100</v>
      </c>
      <c r="G205">
        <v>4.92</v>
      </c>
      <c r="H205">
        <v>9.3800000000000008</v>
      </c>
      <c r="I205">
        <v>28.84</v>
      </c>
      <c r="J205">
        <v>52.65</v>
      </c>
      <c r="K205">
        <v>78.55</v>
      </c>
      <c r="L205">
        <v>5.31</v>
      </c>
      <c r="M205">
        <v>100</v>
      </c>
      <c r="N205">
        <f t="shared" si="205"/>
        <v>52.655000000000001</v>
      </c>
      <c r="O205">
        <v>94.69</v>
      </c>
      <c r="P205">
        <v>52.65</v>
      </c>
      <c r="Q205">
        <v>11.53</v>
      </c>
      <c r="S205">
        <v>71.349999999999994</v>
      </c>
      <c r="T205">
        <v>92.55</v>
      </c>
      <c r="U205">
        <v>24.65</v>
      </c>
      <c r="V205">
        <v>27.55</v>
      </c>
      <c r="W205">
        <v>81.63</v>
      </c>
      <c r="X205">
        <v>26.14</v>
      </c>
      <c r="Y205">
        <v>39.6</v>
      </c>
      <c r="Z205">
        <v>48.03</v>
      </c>
      <c r="AA205">
        <v>59.09</v>
      </c>
      <c r="AB205">
        <v>75.459999999999994</v>
      </c>
      <c r="AC205">
        <v>24.65</v>
      </c>
      <c r="AD205">
        <v>93.53</v>
      </c>
      <c r="AE205">
        <f t="shared" si="206"/>
        <v>59.09</v>
      </c>
      <c r="AF205">
        <v>68.88</v>
      </c>
      <c r="AG205">
        <v>59.09</v>
      </c>
      <c r="AH205">
        <v>18.28</v>
      </c>
    </row>
    <row r="206" spans="2:34" x14ac:dyDescent="0.25">
      <c r="B206">
        <v>69.97</v>
      </c>
      <c r="C206">
        <v>100</v>
      </c>
      <c r="D206">
        <v>1.7</v>
      </c>
      <c r="E206">
        <v>3.2</v>
      </c>
      <c r="F206">
        <v>100</v>
      </c>
      <c r="G206">
        <v>1.91</v>
      </c>
      <c r="H206">
        <v>3.75</v>
      </c>
      <c r="I206">
        <v>30.36</v>
      </c>
      <c r="J206">
        <v>50.85</v>
      </c>
      <c r="K206">
        <v>75.45</v>
      </c>
      <c r="L206">
        <v>1.7</v>
      </c>
      <c r="M206">
        <v>100</v>
      </c>
      <c r="N206">
        <f t="shared" si="205"/>
        <v>50.85</v>
      </c>
      <c r="O206">
        <v>98.3</v>
      </c>
      <c r="P206">
        <v>50.85</v>
      </c>
      <c r="Q206">
        <v>4.58</v>
      </c>
      <c r="S206">
        <v>89.4</v>
      </c>
      <c r="T206">
        <v>94.53</v>
      </c>
      <c r="U206">
        <v>36.590000000000003</v>
      </c>
      <c r="V206">
        <v>50.09</v>
      </c>
      <c r="W206">
        <v>93.41</v>
      </c>
      <c r="X206">
        <v>38.46</v>
      </c>
      <c r="Y206">
        <v>54.49</v>
      </c>
      <c r="Z206">
        <v>56.93</v>
      </c>
      <c r="AA206">
        <v>65.92</v>
      </c>
      <c r="AB206">
        <v>84.65</v>
      </c>
      <c r="AC206">
        <v>36.590000000000003</v>
      </c>
      <c r="AD206">
        <v>95.25</v>
      </c>
      <c r="AE206">
        <f t="shared" si="206"/>
        <v>65.92</v>
      </c>
      <c r="AF206">
        <v>58.66</v>
      </c>
      <c r="AG206">
        <v>65.92</v>
      </c>
      <c r="AH206">
        <v>35.04</v>
      </c>
    </row>
    <row r="207" spans="2:34" x14ac:dyDescent="0.25">
      <c r="B207">
        <v>63.11</v>
      </c>
      <c r="C207">
        <v>100</v>
      </c>
      <c r="D207">
        <v>4.0999999999999996</v>
      </c>
      <c r="E207">
        <v>7.44</v>
      </c>
      <c r="F207">
        <v>100</v>
      </c>
      <c r="G207">
        <v>4.92</v>
      </c>
      <c r="H207">
        <v>9.3800000000000008</v>
      </c>
      <c r="I207">
        <v>37.450000000000003</v>
      </c>
      <c r="J207">
        <v>52.05</v>
      </c>
      <c r="K207">
        <v>67.73</v>
      </c>
      <c r="L207">
        <v>4.0999999999999996</v>
      </c>
      <c r="M207">
        <v>100</v>
      </c>
      <c r="N207">
        <f t="shared" si="205"/>
        <v>52.05</v>
      </c>
      <c r="O207">
        <v>95.9</v>
      </c>
      <c r="P207">
        <v>52.05</v>
      </c>
      <c r="Q207">
        <v>9</v>
      </c>
      <c r="S207">
        <v>75.849999999999994</v>
      </c>
      <c r="T207">
        <v>83.4</v>
      </c>
      <c r="U207">
        <v>21.53</v>
      </c>
      <c r="V207">
        <v>28.74</v>
      </c>
      <c r="W207">
        <v>83.33</v>
      </c>
      <c r="X207">
        <v>22.88</v>
      </c>
      <c r="Y207">
        <v>35.9</v>
      </c>
      <c r="Z207">
        <v>48.48</v>
      </c>
      <c r="AA207">
        <v>58.72</v>
      </c>
      <c r="AB207">
        <v>81.16</v>
      </c>
      <c r="AC207">
        <v>21.53</v>
      </c>
      <c r="AD207">
        <v>95.91</v>
      </c>
      <c r="AE207">
        <f t="shared" si="206"/>
        <v>58.72</v>
      </c>
      <c r="AF207">
        <v>74.38</v>
      </c>
      <c r="AG207">
        <v>58.72</v>
      </c>
      <c r="AH207">
        <v>19.52</v>
      </c>
    </row>
    <row r="208" spans="2:34" x14ac:dyDescent="0.25">
      <c r="B208">
        <v>65.48</v>
      </c>
      <c r="C208">
        <v>100</v>
      </c>
      <c r="D208">
        <v>1.25</v>
      </c>
      <c r="E208">
        <v>2.41</v>
      </c>
      <c r="F208">
        <v>100</v>
      </c>
      <c r="G208">
        <v>1.58</v>
      </c>
      <c r="H208">
        <v>3.11</v>
      </c>
      <c r="I208">
        <v>34.340000000000003</v>
      </c>
      <c r="J208">
        <v>50.63</v>
      </c>
      <c r="K208">
        <v>67.8</v>
      </c>
      <c r="L208">
        <v>1.25</v>
      </c>
      <c r="M208">
        <v>100</v>
      </c>
      <c r="N208">
        <f t="shared" si="205"/>
        <v>50.625</v>
      </c>
      <c r="O208">
        <v>98.75</v>
      </c>
      <c r="P208">
        <v>50.63</v>
      </c>
      <c r="Q208">
        <v>3.95</v>
      </c>
      <c r="S208">
        <v>75.52</v>
      </c>
      <c r="T208">
        <v>91.67</v>
      </c>
      <c r="U208">
        <v>20.149999999999999</v>
      </c>
      <c r="V208">
        <v>30.24</v>
      </c>
      <c r="W208">
        <v>92.31</v>
      </c>
      <c r="X208">
        <v>21.82</v>
      </c>
      <c r="Y208">
        <v>35.29</v>
      </c>
      <c r="Z208">
        <v>49.47</v>
      </c>
      <c r="AA208">
        <v>59.06</v>
      </c>
      <c r="AB208">
        <v>77.88</v>
      </c>
      <c r="AC208">
        <v>20.149999999999999</v>
      </c>
      <c r="AD208">
        <v>97.98</v>
      </c>
      <c r="AE208">
        <f t="shared" si="206"/>
        <v>59.064999999999998</v>
      </c>
      <c r="AF208">
        <v>77.83</v>
      </c>
      <c r="AG208">
        <v>59.06</v>
      </c>
      <c r="AH208">
        <v>25.74</v>
      </c>
    </row>
    <row r="209" spans="2:34" x14ac:dyDescent="0.25">
      <c r="B209" s="2">
        <f>AVERAGE(B199:B208)</f>
        <v>74.478999999999999</v>
      </c>
      <c r="C209" s="2">
        <f t="shared" ref="C209:Q209" si="207">AVERAGE(C199:C208)</f>
        <v>88.567000000000007</v>
      </c>
      <c r="D209" s="2">
        <f t="shared" si="207"/>
        <v>24.889999999999993</v>
      </c>
      <c r="E209" s="2">
        <f t="shared" si="207"/>
        <v>33.135999999999996</v>
      </c>
      <c r="F209" s="2">
        <f t="shared" si="207"/>
        <v>90.462999999999994</v>
      </c>
      <c r="G209" s="2">
        <f t="shared" si="207"/>
        <v>26.655000000000001</v>
      </c>
      <c r="H209" s="2">
        <f t="shared" si="207"/>
        <v>34.904999999999994</v>
      </c>
      <c r="I209" s="2">
        <f t="shared" si="207"/>
        <v>45.702999999999996</v>
      </c>
      <c r="J209" s="2">
        <f t="shared" si="207"/>
        <v>58.022000000000006</v>
      </c>
      <c r="K209" s="2">
        <f t="shared" si="207"/>
        <v>73.696999999999989</v>
      </c>
      <c r="L209" s="2">
        <f t="shared" si="207"/>
        <v>24.889999999999993</v>
      </c>
      <c r="M209" s="2">
        <f t="shared" si="207"/>
        <v>91.156999999999996</v>
      </c>
      <c r="N209" s="2">
        <f t="shared" si="207"/>
        <v>58.023499999999999</v>
      </c>
      <c r="O209" s="2">
        <f t="shared" si="207"/>
        <v>67.395999999999987</v>
      </c>
      <c r="P209" s="2">
        <f t="shared" si="207"/>
        <v>58.022000000000006</v>
      </c>
      <c r="Q209" s="2">
        <f t="shared" si="207"/>
        <v>17.818000000000001</v>
      </c>
      <c r="S209" s="2">
        <f>AVERAGE(S203:S208)</f>
        <v>79.748333333333335</v>
      </c>
      <c r="T209" s="2">
        <f t="shared" ref="T209:AH209" si="208">AVERAGE(T203:T208)</f>
        <v>88.279999999999987</v>
      </c>
      <c r="U209" s="2">
        <f t="shared" si="208"/>
        <v>35.978333333333332</v>
      </c>
      <c r="V209" s="2">
        <f t="shared" si="208"/>
        <v>44.393333333333338</v>
      </c>
      <c r="W209" s="2">
        <f t="shared" si="208"/>
        <v>87.06</v>
      </c>
      <c r="X209" s="2">
        <f t="shared" si="208"/>
        <v>37.823333333333338</v>
      </c>
      <c r="Y209" s="2">
        <f t="shared" si="208"/>
        <v>50.581666666666671</v>
      </c>
      <c r="Z209" s="2">
        <f t="shared" si="208"/>
        <v>55.513333333333343</v>
      </c>
      <c r="AA209" s="2">
        <f t="shared" si="208"/>
        <v>63.579999999999991</v>
      </c>
      <c r="AB209" s="2">
        <f t="shared" si="208"/>
        <v>79.693333333333328</v>
      </c>
      <c r="AC209" s="2">
        <f t="shared" si="208"/>
        <v>35.978333333333332</v>
      </c>
      <c r="AD209" s="2">
        <f t="shared" si="208"/>
        <v>91.183333333333337</v>
      </c>
      <c r="AE209" s="2">
        <f t="shared" si="208"/>
        <v>63.580833333333324</v>
      </c>
      <c r="AF209" s="2">
        <f t="shared" si="208"/>
        <v>55.204999999999991</v>
      </c>
      <c r="AG209" s="2">
        <f t="shared" si="208"/>
        <v>63.579999999999991</v>
      </c>
      <c r="AH209" s="2">
        <f t="shared" si="208"/>
        <v>29.098333333333333</v>
      </c>
    </row>
    <row r="210" spans="2:34" x14ac:dyDescent="0.25">
      <c r="B210">
        <v>85.52</v>
      </c>
      <c r="C210">
        <v>79.72</v>
      </c>
      <c r="D210">
        <v>85.59</v>
      </c>
      <c r="E210">
        <v>81.31</v>
      </c>
      <c r="F210">
        <v>79.84</v>
      </c>
      <c r="G210">
        <v>84.43</v>
      </c>
      <c r="H210">
        <v>82.07</v>
      </c>
      <c r="I210">
        <v>69.22</v>
      </c>
      <c r="J210">
        <v>72.03</v>
      </c>
      <c r="K210">
        <v>76.209999999999994</v>
      </c>
      <c r="L210">
        <v>85.59</v>
      </c>
      <c r="M210">
        <v>58.47</v>
      </c>
      <c r="N210">
        <f>(L210+M210)/2</f>
        <v>72.03</v>
      </c>
      <c r="O210">
        <v>27.12</v>
      </c>
      <c r="P210">
        <v>72.03</v>
      </c>
      <c r="Q210">
        <v>42.43</v>
      </c>
    </row>
    <row r="211" spans="2:34" x14ac:dyDescent="0.25">
      <c r="B211">
        <v>91.61</v>
      </c>
      <c r="C211">
        <v>78.22</v>
      </c>
      <c r="D211">
        <v>86.01</v>
      </c>
      <c r="E211">
        <v>79.5</v>
      </c>
      <c r="F211">
        <v>76.69</v>
      </c>
      <c r="G211">
        <v>83.61</v>
      </c>
      <c r="H211">
        <v>80</v>
      </c>
      <c r="I211">
        <v>65.930000000000007</v>
      </c>
      <c r="J211">
        <v>70.7</v>
      </c>
      <c r="K211">
        <v>82.77</v>
      </c>
      <c r="L211">
        <v>86.01</v>
      </c>
      <c r="M211">
        <v>55.4</v>
      </c>
      <c r="N211">
        <f t="shared" ref="N211:N219" si="209">(L211+M211)/2</f>
        <v>70.704999999999998</v>
      </c>
      <c r="O211">
        <v>30.61</v>
      </c>
      <c r="P211">
        <v>70.7</v>
      </c>
      <c r="Q211">
        <v>41.42</v>
      </c>
    </row>
    <row r="212" spans="2:34" x14ac:dyDescent="0.25">
      <c r="B212">
        <v>67.66</v>
      </c>
      <c r="C212">
        <v>63.71</v>
      </c>
      <c r="D212">
        <v>74.89</v>
      </c>
      <c r="E212">
        <v>66.930000000000007</v>
      </c>
      <c r="F212">
        <v>66.31</v>
      </c>
      <c r="G212">
        <v>78.98</v>
      </c>
      <c r="H212">
        <v>72.09</v>
      </c>
      <c r="I212">
        <v>58.3</v>
      </c>
      <c r="J212">
        <v>61.32</v>
      </c>
      <c r="K212">
        <v>71.25</v>
      </c>
      <c r="L212">
        <v>74.89</v>
      </c>
      <c r="M212">
        <v>47.75</v>
      </c>
      <c r="N212">
        <f t="shared" si="209"/>
        <v>61.32</v>
      </c>
      <c r="O212">
        <v>27.14</v>
      </c>
      <c r="P212">
        <v>61.32</v>
      </c>
      <c r="Q212">
        <v>22.58</v>
      </c>
    </row>
    <row r="213" spans="2:34" x14ac:dyDescent="0.25">
      <c r="B213">
        <v>90.46</v>
      </c>
      <c r="C213">
        <v>78.58</v>
      </c>
      <c r="D213">
        <v>79.19</v>
      </c>
      <c r="E213">
        <v>76.44</v>
      </c>
      <c r="F213">
        <v>77.5</v>
      </c>
      <c r="G213">
        <v>76.23</v>
      </c>
      <c r="H213">
        <v>76.86</v>
      </c>
      <c r="I213">
        <v>64.5</v>
      </c>
      <c r="J213">
        <v>69.209999999999994</v>
      </c>
      <c r="K213">
        <v>82.94</v>
      </c>
      <c r="L213">
        <v>79.19</v>
      </c>
      <c r="M213">
        <v>59.23</v>
      </c>
      <c r="N213">
        <f t="shared" si="209"/>
        <v>69.209999999999994</v>
      </c>
      <c r="O213">
        <v>19.96</v>
      </c>
      <c r="P213">
        <v>69.209999999999994</v>
      </c>
      <c r="Q213">
        <v>36.93</v>
      </c>
    </row>
    <row r="214" spans="2:34" x14ac:dyDescent="0.25">
      <c r="B214">
        <v>69.81</v>
      </c>
      <c r="C214">
        <v>66.180000000000007</v>
      </c>
      <c r="D214">
        <v>73.209999999999994</v>
      </c>
      <c r="E214">
        <v>65.47</v>
      </c>
      <c r="F214">
        <v>66.67</v>
      </c>
      <c r="G214">
        <v>72.61</v>
      </c>
      <c r="H214">
        <v>69.510000000000005</v>
      </c>
      <c r="I214">
        <v>58.41</v>
      </c>
      <c r="J214">
        <v>63.97</v>
      </c>
      <c r="K214">
        <v>73.489999999999995</v>
      </c>
      <c r="L214">
        <v>73.209999999999994</v>
      </c>
      <c r="M214">
        <v>54.73</v>
      </c>
      <c r="N214">
        <f t="shared" si="209"/>
        <v>63.97</v>
      </c>
      <c r="O214">
        <v>18.48</v>
      </c>
      <c r="P214">
        <v>63.97</v>
      </c>
      <c r="Q214">
        <v>26.04</v>
      </c>
      <c r="S214">
        <v>83.38</v>
      </c>
      <c r="T214">
        <v>76.41</v>
      </c>
      <c r="U214">
        <v>74.27</v>
      </c>
      <c r="V214">
        <v>74.42</v>
      </c>
      <c r="W214">
        <v>76.28</v>
      </c>
      <c r="X214">
        <v>74.209999999999994</v>
      </c>
      <c r="Y214">
        <v>75.23</v>
      </c>
      <c r="Z214">
        <v>68.08</v>
      </c>
      <c r="AA214">
        <v>70.03</v>
      </c>
      <c r="AB214">
        <v>77.78</v>
      </c>
      <c r="AC214">
        <v>74.27</v>
      </c>
      <c r="AD214">
        <v>65.8</v>
      </c>
      <c r="AE214">
        <f>(AC214+AD214)/2</f>
        <v>70.034999999999997</v>
      </c>
      <c r="AF214">
        <v>8.4600000000000009</v>
      </c>
      <c r="AG214">
        <v>70.03</v>
      </c>
      <c r="AH214">
        <v>38.81</v>
      </c>
    </row>
    <row r="215" spans="2:34" x14ac:dyDescent="0.25">
      <c r="B215">
        <v>62.09</v>
      </c>
      <c r="C215">
        <v>53.67</v>
      </c>
      <c r="D215">
        <v>69.069999999999993</v>
      </c>
      <c r="E215">
        <v>70.12</v>
      </c>
      <c r="F215">
        <v>58.23</v>
      </c>
      <c r="G215">
        <v>75.41</v>
      </c>
      <c r="H215">
        <v>65.709999999999994</v>
      </c>
      <c r="I215">
        <v>56.07</v>
      </c>
      <c r="J215">
        <v>58.86</v>
      </c>
      <c r="K215">
        <v>67.55</v>
      </c>
      <c r="L215">
        <v>69.069999999999993</v>
      </c>
      <c r="M215">
        <v>48.64</v>
      </c>
      <c r="N215">
        <f t="shared" si="209"/>
        <v>58.854999999999997</v>
      </c>
      <c r="O215">
        <v>20.43</v>
      </c>
      <c r="P215">
        <v>58.86</v>
      </c>
      <c r="Q215">
        <v>18.78</v>
      </c>
      <c r="S215">
        <v>82.04</v>
      </c>
      <c r="T215">
        <v>78.92</v>
      </c>
      <c r="U215">
        <v>73.569999999999993</v>
      </c>
      <c r="V215">
        <v>75.77</v>
      </c>
      <c r="W215">
        <v>80.489999999999995</v>
      </c>
      <c r="X215">
        <v>74.66</v>
      </c>
      <c r="Y215">
        <v>77.459999999999994</v>
      </c>
      <c r="Z215">
        <v>70.61</v>
      </c>
      <c r="AA215">
        <v>71.56</v>
      </c>
      <c r="AB215">
        <v>77.599999999999994</v>
      </c>
      <c r="AC215">
        <v>73.569999999999993</v>
      </c>
      <c r="AD215">
        <v>69.55</v>
      </c>
      <c r="AE215">
        <f t="shared" ref="AE215:AE219" si="210">(AC215+AD215)/2</f>
        <v>71.56</v>
      </c>
      <c r="AF215">
        <v>4.03</v>
      </c>
      <c r="AG215">
        <v>71.56</v>
      </c>
      <c r="AH215">
        <v>42.49</v>
      </c>
    </row>
    <row r="216" spans="2:34" x14ac:dyDescent="0.25">
      <c r="B216">
        <v>90.57</v>
      </c>
      <c r="C216">
        <v>81.03</v>
      </c>
      <c r="D216">
        <v>81.099999999999994</v>
      </c>
      <c r="E216">
        <v>79.02</v>
      </c>
      <c r="F216">
        <v>80.510000000000005</v>
      </c>
      <c r="G216">
        <v>77.87</v>
      </c>
      <c r="H216">
        <v>79.17</v>
      </c>
      <c r="I216">
        <v>67.86</v>
      </c>
      <c r="J216">
        <v>72.290000000000006</v>
      </c>
      <c r="K216">
        <v>83.19</v>
      </c>
      <c r="L216">
        <v>81.099999999999994</v>
      </c>
      <c r="M216">
        <v>63.48</v>
      </c>
      <c r="N216">
        <f t="shared" si="209"/>
        <v>72.289999999999992</v>
      </c>
      <c r="O216">
        <v>17.62</v>
      </c>
      <c r="P216">
        <v>72.290000000000006</v>
      </c>
      <c r="Q216">
        <v>42.35</v>
      </c>
      <c r="S216">
        <v>76.37</v>
      </c>
      <c r="T216">
        <v>68.33</v>
      </c>
      <c r="U216">
        <v>71.2</v>
      </c>
      <c r="V216">
        <v>69.41</v>
      </c>
      <c r="W216">
        <v>72.150000000000006</v>
      </c>
      <c r="X216">
        <v>74.510000000000005</v>
      </c>
      <c r="Y216">
        <v>73.31</v>
      </c>
      <c r="Z216">
        <v>70.14</v>
      </c>
      <c r="AA216">
        <v>71.09</v>
      </c>
      <c r="AB216">
        <v>78.78</v>
      </c>
      <c r="AC216">
        <v>71.2</v>
      </c>
      <c r="AD216">
        <v>70.989999999999995</v>
      </c>
      <c r="AE216">
        <f t="shared" si="210"/>
        <v>71.094999999999999</v>
      </c>
      <c r="AF216">
        <v>0.21</v>
      </c>
      <c r="AG216">
        <v>71.09</v>
      </c>
      <c r="AH216">
        <v>40.98</v>
      </c>
    </row>
    <row r="217" spans="2:34" x14ac:dyDescent="0.25">
      <c r="B217">
        <v>69.17</v>
      </c>
      <c r="C217">
        <v>66.819999999999993</v>
      </c>
      <c r="D217">
        <v>69.42</v>
      </c>
      <c r="E217">
        <v>64.39</v>
      </c>
      <c r="F217">
        <v>67.069999999999993</v>
      </c>
      <c r="G217">
        <v>70.06</v>
      </c>
      <c r="H217">
        <v>68.540000000000006</v>
      </c>
      <c r="I217">
        <v>59.24</v>
      </c>
      <c r="J217">
        <v>63.14</v>
      </c>
      <c r="K217">
        <v>72.38</v>
      </c>
      <c r="L217">
        <v>69.42</v>
      </c>
      <c r="M217">
        <v>56.86</v>
      </c>
      <c r="N217">
        <f t="shared" si="209"/>
        <v>63.14</v>
      </c>
      <c r="O217">
        <v>12.56</v>
      </c>
      <c r="P217">
        <v>63.14</v>
      </c>
      <c r="Q217">
        <v>26.19</v>
      </c>
      <c r="S217">
        <v>85.19</v>
      </c>
      <c r="T217">
        <v>80.599999999999994</v>
      </c>
      <c r="U217">
        <v>70.930000000000007</v>
      </c>
      <c r="V217">
        <v>74.95</v>
      </c>
      <c r="W217">
        <v>81.96</v>
      </c>
      <c r="X217">
        <v>71.95</v>
      </c>
      <c r="Y217">
        <v>76.63</v>
      </c>
      <c r="Z217">
        <v>71.14</v>
      </c>
      <c r="AA217">
        <v>73.099999999999994</v>
      </c>
      <c r="AB217">
        <v>80.81</v>
      </c>
      <c r="AC217">
        <v>70.930000000000007</v>
      </c>
      <c r="AD217">
        <v>75.28</v>
      </c>
      <c r="AE217">
        <f t="shared" si="210"/>
        <v>73.105000000000004</v>
      </c>
      <c r="AF217">
        <v>4.3499999999999996</v>
      </c>
      <c r="AG217">
        <v>73.099999999999994</v>
      </c>
      <c r="AH217">
        <v>44.43</v>
      </c>
    </row>
    <row r="218" spans="2:34" x14ac:dyDescent="0.25">
      <c r="B218">
        <v>67.819999999999993</v>
      </c>
      <c r="C218">
        <v>64.72</v>
      </c>
      <c r="D218">
        <v>76.16</v>
      </c>
      <c r="E218">
        <v>69.25</v>
      </c>
      <c r="F218">
        <v>68.09</v>
      </c>
      <c r="G218">
        <v>78.69</v>
      </c>
      <c r="H218">
        <v>73</v>
      </c>
      <c r="I218">
        <v>68.290000000000006</v>
      </c>
      <c r="J218">
        <v>69.84</v>
      </c>
      <c r="K218">
        <v>73.48</v>
      </c>
      <c r="L218">
        <v>76.16</v>
      </c>
      <c r="M218">
        <v>63.52</v>
      </c>
      <c r="N218">
        <f t="shared" si="209"/>
        <v>69.84</v>
      </c>
      <c r="O218">
        <v>12.65</v>
      </c>
      <c r="P218">
        <v>69.84</v>
      </c>
      <c r="Q218">
        <v>39.119999999999997</v>
      </c>
      <c r="S218">
        <v>75.489999999999995</v>
      </c>
      <c r="T218">
        <v>75.11</v>
      </c>
      <c r="U218">
        <v>72.150000000000006</v>
      </c>
      <c r="V218">
        <v>72.12</v>
      </c>
      <c r="W218">
        <v>76.03</v>
      </c>
      <c r="X218">
        <v>72.55</v>
      </c>
      <c r="Y218">
        <v>74.25</v>
      </c>
      <c r="Z218">
        <v>72.28</v>
      </c>
      <c r="AA218">
        <v>73.959999999999994</v>
      </c>
      <c r="AB218">
        <v>78.650000000000006</v>
      </c>
      <c r="AC218">
        <v>72.150000000000006</v>
      </c>
      <c r="AD218">
        <v>75.78</v>
      </c>
      <c r="AE218">
        <f t="shared" si="210"/>
        <v>73.965000000000003</v>
      </c>
      <c r="AF218">
        <v>3.63</v>
      </c>
      <c r="AG218">
        <v>73.959999999999994</v>
      </c>
      <c r="AH218">
        <v>47.67</v>
      </c>
    </row>
    <row r="219" spans="2:34" x14ac:dyDescent="0.25">
      <c r="B219">
        <v>71.98</v>
      </c>
      <c r="C219">
        <v>61.05</v>
      </c>
      <c r="D219">
        <v>81.87</v>
      </c>
      <c r="E219">
        <v>68.28</v>
      </c>
      <c r="F219">
        <v>62.21</v>
      </c>
      <c r="G219">
        <v>84.58</v>
      </c>
      <c r="H219">
        <v>71.69</v>
      </c>
      <c r="I219">
        <v>62.89</v>
      </c>
      <c r="J219">
        <v>66.8</v>
      </c>
      <c r="K219">
        <v>74.67</v>
      </c>
      <c r="L219">
        <v>81.87</v>
      </c>
      <c r="M219">
        <v>51.72</v>
      </c>
      <c r="N219">
        <f t="shared" si="209"/>
        <v>66.795000000000002</v>
      </c>
      <c r="O219">
        <v>30.15</v>
      </c>
      <c r="P219">
        <v>66.8</v>
      </c>
      <c r="Q219">
        <v>35.26</v>
      </c>
      <c r="S219">
        <v>78.510000000000005</v>
      </c>
      <c r="T219">
        <v>68.010000000000005</v>
      </c>
      <c r="U219">
        <v>69.83</v>
      </c>
      <c r="V219">
        <v>66.64</v>
      </c>
      <c r="W219">
        <v>71.040000000000006</v>
      </c>
      <c r="X219">
        <v>72.12</v>
      </c>
      <c r="Y219">
        <v>71.58</v>
      </c>
      <c r="Z219">
        <v>66.62</v>
      </c>
      <c r="AA219">
        <v>68.430000000000007</v>
      </c>
      <c r="AB219">
        <v>78.52</v>
      </c>
      <c r="AC219">
        <v>69.83</v>
      </c>
      <c r="AD219">
        <v>67.03</v>
      </c>
      <c r="AE219">
        <f t="shared" si="210"/>
        <v>68.430000000000007</v>
      </c>
      <c r="AF219">
        <v>2.8</v>
      </c>
      <c r="AG219">
        <v>68.430000000000007</v>
      </c>
      <c r="AH219">
        <v>36.32</v>
      </c>
    </row>
    <row r="220" spans="2:34" x14ac:dyDescent="0.25">
      <c r="B220" s="2">
        <f>AVERAGE(B210:B219)</f>
        <v>76.669000000000011</v>
      </c>
      <c r="C220" s="2">
        <f t="shared" ref="C220:Q220" si="211">AVERAGE(C210:C219)</f>
        <v>69.37</v>
      </c>
      <c r="D220" s="2">
        <f t="shared" si="211"/>
        <v>77.650999999999982</v>
      </c>
      <c r="E220" s="2">
        <f t="shared" si="211"/>
        <v>72.070999999999998</v>
      </c>
      <c r="F220" s="2">
        <f t="shared" si="211"/>
        <v>70.312000000000012</v>
      </c>
      <c r="G220" s="2">
        <f t="shared" si="211"/>
        <v>78.247000000000014</v>
      </c>
      <c r="H220" s="2">
        <f t="shared" si="211"/>
        <v>73.86399999999999</v>
      </c>
      <c r="I220" s="2">
        <f t="shared" si="211"/>
        <v>63.071000000000005</v>
      </c>
      <c r="J220" s="2">
        <f t="shared" si="211"/>
        <v>66.816000000000003</v>
      </c>
      <c r="K220" s="2">
        <f t="shared" si="211"/>
        <v>75.792999999999992</v>
      </c>
      <c r="L220" s="2">
        <f t="shared" si="211"/>
        <v>77.650999999999982</v>
      </c>
      <c r="M220" s="2">
        <f t="shared" si="211"/>
        <v>55.98</v>
      </c>
      <c r="N220" s="2">
        <f t="shared" si="211"/>
        <v>66.8155</v>
      </c>
      <c r="O220" s="2">
        <f t="shared" si="211"/>
        <v>21.672000000000004</v>
      </c>
      <c r="P220" s="2">
        <f t="shared" si="211"/>
        <v>66.816000000000003</v>
      </c>
      <c r="Q220" s="2">
        <f t="shared" si="211"/>
        <v>33.11</v>
      </c>
      <c r="S220" s="2">
        <f>AVERAGE(S214:S219)</f>
        <v>80.163333333333341</v>
      </c>
      <c r="T220" s="2">
        <f t="shared" ref="T220:AH220" si="212">AVERAGE(T214:T219)</f>
        <v>74.563333333333333</v>
      </c>
      <c r="U220" s="2">
        <f t="shared" si="212"/>
        <v>71.99166666666666</v>
      </c>
      <c r="V220" s="2">
        <f t="shared" si="212"/>
        <v>72.218333333333334</v>
      </c>
      <c r="W220" s="2">
        <f t="shared" si="212"/>
        <v>76.325000000000003</v>
      </c>
      <c r="X220" s="2">
        <f t="shared" si="212"/>
        <v>73.333333333333329</v>
      </c>
      <c r="Y220" s="2">
        <f t="shared" si="212"/>
        <v>74.743333333333325</v>
      </c>
      <c r="Z220" s="2">
        <f t="shared" si="212"/>
        <v>69.811666666666667</v>
      </c>
      <c r="AA220" s="2">
        <f t="shared" si="212"/>
        <v>71.361666666666665</v>
      </c>
      <c r="AB220" s="2">
        <f t="shared" si="212"/>
        <v>78.69</v>
      </c>
      <c r="AC220" s="2">
        <f t="shared" si="212"/>
        <v>71.99166666666666</v>
      </c>
      <c r="AD220" s="2">
        <f t="shared" si="212"/>
        <v>70.73833333333333</v>
      </c>
      <c r="AE220" s="2">
        <f t="shared" si="212"/>
        <v>71.364999999999995</v>
      </c>
      <c r="AF220" s="2">
        <f t="shared" si="212"/>
        <v>3.913333333333334</v>
      </c>
      <c r="AG220" s="2">
        <f t="shared" si="212"/>
        <v>71.361666666666665</v>
      </c>
      <c r="AH220" s="2">
        <f t="shared" si="212"/>
        <v>41.783333333333331</v>
      </c>
    </row>
    <row r="222" spans="2:34" x14ac:dyDescent="0.25">
      <c r="B222" s="2">
        <f>AVERAGE(B198,B209,B220)</f>
        <v>75.263333333333335</v>
      </c>
      <c r="C222" s="2">
        <f t="shared" ref="C222" si="213">AVERAGE(C198,C209,C220)</f>
        <v>75.310333333333332</v>
      </c>
      <c r="D222" s="2">
        <f t="shared" ref="D222" si="214">AVERAGE(D198,D209,D220)</f>
        <v>61.274666666666661</v>
      </c>
      <c r="E222" s="2">
        <f t="shared" ref="E222" si="215">AVERAGE(E198,E209,E220)</f>
        <v>59.119</v>
      </c>
      <c r="F222" s="2">
        <f t="shared" ref="F222" si="216">AVERAGE(F198,F209,F220)</f>
        <v>76.745999999999995</v>
      </c>
      <c r="G222" s="2">
        <f t="shared" ref="G222" si="217">AVERAGE(G198,G209,G220)</f>
        <v>62.607666666666681</v>
      </c>
      <c r="H222" s="2">
        <f t="shared" ref="H222" si="218">AVERAGE(H198,H209,H220)</f>
        <v>61.350333333333332</v>
      </c>
      <c r="I222" s="2">
        <f t="shared" ref="I222" si="219">AVERAGE(I198,I209,I220)</f>
        <v>57.126666666666665</v>
      </c>
      <c r="J222" s="2">
        <f t="shared" ref="J222" si="220">AVERAGE(J198,J209,J220)</f>
        <v>63.462666666666657</v>
      </c>
      <c r="K222" s="2">
        <f t="shared" ref="K222" si="221">AVERAGE(K198,K209,K220)</f>
        <v>74.490999999999985</v>
      </c>
      <c r="L222" s="2">
        <f t="shared" ref="L222" si="222">AVERAGE(L198,L209,L220)</f>
        <v>61.274666666666661</v>
      </c>
      <c r="M222" s="2">
        <f t="shared" ref="M222" si="223">AVERAGE(M198,M209,M220)</f>
        <v>65.651333333333326</v>
      </c>
      <c r="N222" s="2">
        <f t="shared" ref="N222" si="224">AVERAGE(N198,N209,N220)</f>
        <v>63.463000000000001</v>
      </c>
      <c r="O222" s="2">
        <f t="shared" ref="O222" si="225">AVERAGE(O198,O209,O220)</f>
        <v>40.178333333333335</v>
      </c>
      <c r="P222" s="2">
        <f t="shared" ref="P222" si="226">AVERAGE(P198,P209,P220)</f>
        <v>63.462666666666657</v>
      </c>
      <c r="Q222" s="2">
        <f t="shared" ref="Q222" si="227">AVERAGE(Q198,Q209,Q220)</f>
        <v>27.371333333333336</v>
      </c>
      <c r="S222" s="2">
        <f>AVERAGE(S198,S209,S220)</f>
        <v>79.25</v>
      </c>
      <c r="T222" s="2">
        <f t="shared" ref="T222" si="228">AVERAGE(T198,T209,T220)</f>
        <v>77.83</v>
      </c>
      <c r="U222" s="2">
        <f t="shared" ref="U222" si="229">AVERAGE(U198,U209,U220)</f>
        <v>62.444999999999993</v>
      </c>
      <c r="V222" s="2">
        <f t="shared" ref="V222" si="230">AVERAGE(V198,V209,V220)</f>
        <v>63.543888888888887</v>
      </c>
      <c r="W222" s="2">
        <f t="shared" ref="W222" si="231">AVERAGE(W198,W209,W220)</f>
        <v>78.641666666666666</v>
      </c>
      <c r="X222" s="2">
        <f t="shared" ref="X222" si="232">AVERAGE(X198,X209,X220)</f>
        <v>63.980555555555554</v>
      </c>
      <c r="Y222" s="2">
        <f t="shared" ref="Y222" si="233">AVERAGE(Y198,Y209,Y220)</f>
        <v>67.247777777777785</v>
      </c>
      <c r="Z222" s="2">
        <f t="shared" ref="Z222" si="234">AVERAGE(Z198,Z209,Z220)</f>
        <v>64.784444444444446</v>
      </c>
      <c r="AA222" s="2">
        <f t="shared" ref="AA222" si="235">AVERAGE(AA198,AA209,AA220)</f>
        <v>68.282777777777767</v>
      </c>
      <c r="AB222" s="2">
        <f t="shared" ref="AB222" si="236">AVERAGE(AB198,AB209,AB220)</f>
        <v>78.417777777777772</v>
      </c>
      <c r="AC222" s="2">
        <f t="shared" ref="AC222" si="237">AVERAGE(AC198,AC209,AC220)</f>
        <v>62.444999999999993</v>
      </c>
      <c r="AD222" s="2">
        <f t="shared" ref="AD222" si="238">AVERAGE(AD198,AD209,AD220)</f>
        <v>74.12444444444445</v>
      </c>
      <c r="AE222" s="2">
        <f>AVERAGE(AE198,AE209,AE220)</f>
        <v>68.284722222222214</v>
      </c>
      <c r="AF222" s="2">
        <f t="shared" ref="AF222" si="239">AVERAGE(AF198,AF209,AF220)</f>
        <v>26.010555555555555</v>
      </c>
      <c r="AG222" s="2">
        <f t="shared" ref="AG222" si="240">AVERAGE(AG198,AG209,AG220)</f>
        <v>68.282777777777767</v>
      </c>
      <c r="AH222" s="2">
        <f t="shared" ref="AH222" si="241">AVERAGE(AH198,AH209,AH220)</f>
        <v>37.083888888888886</v>
      </c>
    </row>
    <row r="223" spans="2:34" x14ac:dyDescent="0.25">
      <c r="B223" s="2">
        <f>_xlfn.STDEV.S(B198,B209,B220)</f>
        <v>1.2200681674944855</v>
      </c>
      <c r="C223" s="2">
        <f t="shared" ref="C223:Q223" si="242">_xlfn.STDEV.S(C198,C209,C220)</f>
        <v>11.501206559893411</v>
      </c>
      <c r="D223" s="2">
        <f t="shared" si="242"/>
        <v>31.56233249196476</v>
      </c>
      <c r="E223" s="2">
        <f t="shared" si="242"/>
        <v>22.501972735740303</v>
      </c>
      <c r="F223" s="2">
        <f t="shared" si="242"/>
        <v>11.886852695310054</v>
      </c>
      <c r="G223" s="2">
        <f t="shared" si="242"/>
        <v>31.223504757367202</v>
      </c>
      <c r="H223" s="2">
        <f t="shared" si="242"/>
        <v>22.913302300919717</v>
      </c>
      <c r="I223" s="2">
        <f t="shared" si="242"/>
        <v>9.8959171547327536</v>
      </c>
      <c r="J223" s="2">
        <f t="shared" si="242"/>
        <v>4.7540855412301193</v>
      </c>
      <c r="K223" s="2">
        <f t="shared" si="242"/>
        <v>1.1365966742868836</v>
      </c>
      <c r="L223" s="2">
        <f t="shared" si="242"/>
        <v>31.56233249196476</v>
      </c>
      <c r="M223" s="2">
        <f t="shared" si="242"/>
        <v>22.302464355611775</v>
      </c>
      <c r="N223" s="2">
        <f t="shared" si="242"/>
        <v>4.7530508886398435</v>
      </c>
      <c r="O223" s="2">
        <f t="shared" si="242"/>
        <v>24.074603638135628</v>
      </c>
      <c r="P223" s="2">
        <f t="shared" si="242"/>
        <v>4.7540855412301193</v>
      </c>
      <c r="Q223" s="2">
        <f t="shared" si="242"/>
        <v>8.3291702667992773</v>
      </c>
      <c r="S223" s="2">
        <f>_xlfn.STDEV.S(S198,S209,S220)</f>
        <v>1.2400235212822999</v>
      </c>
      <c r="T223" s="2">
        <f t="shared" ref="T223:AH223" si="243">_xlfn.STDEV.S(T198,T209,T220)</f>
        <v>9.2594246281528925</v>
      </c>
      <c r="U223" s="2">
        <f t="shared" si="243"/>
        <v>23.215401018385304</v>
      </c>
      <c r="V223" s="2">
        <f t="shared" si="243"/>
        <v>16.609314683612286</v>
      </c>
      <c r="W223" s="2">
        <f t="shared" si="243"/>
        <v>7.5321184492368012</v>
      </c>
      <c r="X223" s="2">
        <f t="shared" si="243"/>
        <v>22.957178394019049</v>
      </c>
      <c r="Y223" s="2">
        <f t="shared" si="243"/>
        <v>14.457553421167933</v>
      </c>
      <c r="Z223" s="2">
        <f t="shared" si="243"/>
        <v>8.0385650898468324</v>
      </c>
      <c r="AA223" s="2">
        <f t="shared" si="243"/>
        <v>4.1371905165668164</v>
      </c>
      <c r="AB223" s="2">
        <f t="shared" si="243"/>
        <v>1.4312167835382203</v>
      </c>
      <c r="AC223" s="2">
        <f t="shared" si="243"/>
        <v>23.215401018385304</v>
      </c>
      <c r="AD223" s="2">
        <f t="shared" si="243"/>
        <v>15.643150110203898</v>
      </c>
      <c r="AE223" s="2">
        <f t="shared" si="243"/>
        <v>4.1382843611457796</v>
      </c>
      <c r="AF223" s="2">
        <f t="shared" si="243"/>
        <v>26.372081635980397</v>
      </c>
      <c r="AG223" s="2">
        <f t="shared" si="243"/>
        <v>4.1371905165668164</v>
      </c>
      <c r="AH223" s="2">
        <f t="shared" si="243"/>
        <v>6.9517048934722192</v>
      </c>
    </row>
    <row r="225" spans="1:34" x14ac:dyDescent="0.25">
      <c r="A225" s="1" t="s">
        <v>78</v>
      </c>
      <c r="B225">
        <v>80.23</v>
      </c>
      <c r="C225">
        <v>79.95</v>
      </c>
      <c r="D225">
        <v>60.21</v>
      </c>
      <c r="E225">
        <v>68.260000000000005</v>
      </c>
      <c r="F225">
        <v>81.72</v>
      </c>
      <c r="G225">
        <v>62.3</v>
      </c>
      <c r="H225">
        <v>70.7</v>
      </c>
      <c r="I225">
        <v>59.39</v>
      </c>
      <c r="J225">
        <v>63.67</v>
      </c>
      <c r="K225">
        <v>71.16</v>
      </c>
      <c r="L225">
        <v>60.21</v>
      </c>
      <c r="M225">
        <v>67.13</v>
      </c>
      <c r="N225">
        <f>(L225+M225)/2</f>
        <v>63.67</v>
      </c>
      <c r="O225">
        <v>6.92</v>
      </c>
      <c r="P225">
        <v>63.67</v>
      </c>
      <c r="Q225">
        <v>24.42</v>
      </c>
    </row>
    <row r="226" spans="1:34" x14ac:dyDescent="0.25">
      <c r="B226">
        <v>88.64</v>
      </c>
      <c r="C226">
        <v>100</v>
      </c>
      <c r="D226">
        <v>14.62</v>
      </c>
      <c r="E226">
        <v>24.23</v>
      </c>
      <c r="F226">
        <v>100</v>
      </c>
      <c r="G226">
        <v>16.39</v>
      </c>
      <c r="H226">
        <v>28.17</v>
      </c>
      <c r="I226">
        <v>37.36</v>
      </c>
      <c r="J226">
        <v>57.31</v>
      </c>
      <c r="K226">
        <v>79.61</v>
      </c>
      <c r="L226">
        <v>14.62</v>
      </c>
      <c r="M226">
        <v>100</v>
      </c>
      <c r="N226">
        <f t="shared" ref="N226:N234" si="244">(L226+M226)/2</f>
        <v>57.31</v>
      </c>
      <c r="O226">
        <v>85.38</v>
      </c>
      <c r="P226">
        <v>57.31</v>
      </c>
      <c r="Q226">
        <v>19.57</v>
      </c>
    </row>
    <row r="227" spans="1:34" x14ac:dyDescent="0.25">
      <c r="B227">
        <v>66.290000000000006</v>
      </c>
      <c r="C227">
        <v>97.62</v>
      </c>
      <c r="D227">
        <v>8.85</v>
      </c>
      <c r="E227">
        <v>14.03</v>
      </c>
      <c r="F227">
        <v>94.74</v>
      </c>
      <c r="G227">
        <v>11.46</v>
      </c>
      <c r="H227">
        <v>20.45</v>
      </c>
      <c r="I227">
        <v>36.380000000000003</v>
      </c>
      <c r="J227">
        <v>52.76</v>
      </c>
      <c r="K227">
        <v>70</v>
      </c>
      <c r="L227">
        <v>8.85</v>
      </c>
      <c r="M227">
        <v>96.67</v>
      </c>
      <c r="N227">
        <f t="shared" si="244"/>
        <v>52.76</v>
      </c>
      <c r="O227">
        <v>87.81</v>
      </c>
      <c r="P227">
        <v>52.76</v>
      </c>
      <c r="Q227">
        <v>7.43</v>
      </c>
    </row>
    <row r="228" spans="1:34" x14ac:dyDescent="0.25">
      <c r="B228">
        <v>86.47</v>
      </c>
      <c r="C228">
        <v>100</v>
      </c>
      <c r="D228">
        <v>2.84</v>
      </c>
      <c r="E228">
        <v>5.23</v>
      </c>
      <c r="F228">
        <v>100</v>
      </c>
      <c r="G228">
        <v>3.28</v>
      </c>
      <c r="H228">
        <v>6.35</v>
      </c>
      <c r="I228">
        <v>26.28</v>
      </c>
      <c r="J228">
        <v>51.42</v>
      </c>
      <c r="K228">
        <v>77.17</v>
      </c>
      <c r="L228">
        <v>2.84</v>
      </c>
      <c r="M228">
        <v>100</v>
      </c>
      <c r="N228">
        <f t="shared" si="244"/>
        <v>51.42</v>
      </c>
      <c r="O228">
        <v>97.16</v>
      </c>
      <c r="P228">
        <v>51.42</v>
      </c>
      <c r="Q228">
        <v>4.6900000000000004</v>
      </c>
    </row>
    <row r="229" spans="1:34" x14ac:dyDescent="0.25">
      <c r="B229">
        <v>68.099999999999994</v>
      </c>
      <c r="C229">
        <v>100</v>
      </c>
      <c r="D229">
        <v>2.76</v>
      </c>
      <c r="E229">
        <v>5.17</v>
      </c>
      <c r="F229">
        <v>100</v>
      </c>
      <c r="G229">
        <v>3.18</v>
      </c>
      <c r="H229">
        <v>6.17</v>
      </c>
      <c r="I229">
        <v>31.46</v>
      </c>
      <c r="J229">
        <v>51.38</v>
      </c>
      <c r="K229">
        <v>73.89</v>
      </c>
      <c r="L229">
        <v>2.76</v>
      </c>
      <c r="M229">
        <v>100</v>
      </c>
      <c r="N229">
        <f t="shared" si="244"/>
        <v>51.38</v>
      </c>
      <c r="O229">
        <v>97.24</v>
      </c>
      <c r="P229">
        <v>51.38</v>
      </c>
      <c r="Q229">
        <v>6.38</v>
      </c>
      <c r="S229">
        <v>83.21</v>
      </c>
      <c r="T229">
        <v>73.599999999999994</v>
      </c>
      <c r="U229">
        <v>84.95</v>
      </c>
      <c r="V229">
        <v>78.459999999999994</v>
      </c>
      <c r="W229">
        <v>74.12</v>
      </c>
      <c r="X229">
        <v>85.52</v>
      </c>
      <c r="Y229">
        <v>79.41</v>
      </c>
      <c r="Z229">
        <v>67.94</v>
      </c>
      <c r="AA229">
        <v>68.48</v>
      </c>
      <c r="AB229">
        <v>78.02</v>
      </c>
      <c r="AC229">
        <v>84.95</v>
      </c>
      <c r="AD229">
        <v>52.01</v>
      </c>
      <c r="AE229">
        <f>(AC229+AD229)/2</f>
        <v>68.48</v>
      </c>
      <c r="AF229">
        <v>32.950000000000003</v>
      </c>
      <c r="AG229">
        <v>68.48</v>
      </c>
      <c r="AH229">
        <v>39.43</v>
      </c>
    </row>
    <row r="230" spans="1:34" x14ac:dyDescent="0.25">
      <c r="B230">
        <v>58.93</v>
      </c>
      <c r="C230">
        <v>51.85</v>
      </c>
      <c r="D230">
        <v>2.81</v>
      </c>
      <c r="E230">
        <v>49.38</v>
      </c>
      <c r="F230">
        <v>44.44</v>
      </c>
      <c r="G230">
        <v>3.28</v>
      </c>
      <c r="H230">
        <v>6.11</v>
      </c>
      <c r="I230">
        <v>35.22</v>
      </c>
      <c r="J230">
        <v>49.6</v>
      </c>
      <c r="K230">
        <v>64.27</v>
      </c>
      <c r="L230">
        <v>2.81</v>
      </c>
      <c r="M230">
        <v>96.39</v>
      </c>
      <c r="N230">
        <f t="shared" si="244"/>
        <v>49.6</v>
      </c>
      <c r="O230">
        <v>93.57</v>
      </c>
      <c r="P230">
        <v>49.6</v>
      </c>
      <c r="Q230">
        <v>-3.01</v>
      </c>
      <c r="S230">
        <v>76.77</v>
      </c>
      <c r="T230">
        <v>69.19</v>
      </c>
      <c r="U230">
        <v>81.45</v>
      </c>
      <c r="V230">
        <v>74.73</v>
      </c>
      <c r="W230">
        <v>70.77</v>
      </c>
      <c r="X230">
        <v>83.26</v>
      </c>
      <c r="Y230">
        <v>76.510000000000005</v>
      </c>
      <c r="Z230">
        <v>62.58</v>
      </c>
      <c r="AA230">
        <v>62.49</v>
      </c>
      <c r="AB230">
        <v>72.98</v>
      </c>
      <c r="AC230">
        <v>81.45</v>
      </c>
      <c r="AD230">
        <v>43.52</v>
      </c>
      <c r="AE230">
        <f t="shared" ref="AE230:AE234" si="245">(AC230+AD230)/2</f>
        <v>62.484999999999999</v>
      </c>
      <c r="AF230">
        <v>37.92</v>
      </c>
      <c r="AG230">
        <v>62.49</v>
      </c>
      <c r="AH230">
        <v>27.87</v>
      </c>
    </row>
    <row r="231" spans="1:34" x14ac:dyDescent="0.25">
      <c r="B231">
        <v>87.22</v>
      </c>
      <c r="C231">
        <v>97.22</v>
      </c>
      <c r="D231">
        <v>11.51</v>
      </c>
      <c r="E231">
        <v>19.100000000000001</v>
      </c>
      <c r="F231">
        <v>93.33</v>
      </c>
      <c r="G231">
        <v>11.48</v>
      </c>
      <c r="H231">
        <v>20.440000000000001</v>
      </c>
      <c r="I231">
        <v>33.880000000000003</v>
      </c>
      <c r="J231">
        <v>54.47</v>
      </c>
      <c r="K231">
        <v>72.680000000000007</v>
      </c>
      <c r="L231">
        <v>11.51</v>
      </c>
      <c r="M231">
        <v>97.44</v>
      </c>
      <c r="N231">
        <f t="shared" si="244"/>
        <v>54.475000000000001</v>
      </c>
      <c r="O231">
        <v>85.93</v>
      </c>
      <c r="P231">
        <v>54.47</v>
      </c>
      <c r="Q231">
        <v>13.85</v>
      </c>
      <c r="S231">
        <v>68.099999999999994</v>
      </c>
      <c r="T231">
        <v>61.34</v>
      </c>
      <c r="U231">
        <v>86.17</v>
      </c>
      <c r="V231">
        <v>69.89</v>
      </c>
      <c r="W231">
        <v>60.93</v>
      </c>
      <c r="X231">
        <v>85.62</v>
      </c>
      <c r="Y231">
        <v>71.2</v>
      </c>
      <c r="Z231">
        <v>62.32</v>
      </c>
      <c r="AA231">
        <v>66.150000000000006</v>
      </c>
      <c r="AB231">
        <v>71.7</v>
      </c>
      <c r="AC231">
        <v>86.17</v>
      </c>
      <c r="AD231">
        <v>46.12</v>
      </c>
      <c r="AE231">
        <f t="shared" si="245"/>
        <v>66.144999999999996</v>
      </c>
      <c r="AF231">
        <v>40.049999999999997</v>
      </c>
      <c r="AG231">
        <v>66.150000000000006</v>
      </c>
      <c r="AH231">
        <v>32.92</v>
      </c>
    </row>
    <row r="232" spans="1:34" x14ac:dyDescent="0.25">
      <c r="B232">
        <v>66.650000000000006</v>
      </c>
      <c r="C232">
        <v>75</v>
      </c>
      <c r="D232">
        <v>6.29</v>
      </c>
      <c r="E232">
        <v>27.91</v>
      </c>
      <c r="F232">
        <v>78.569999999999993</v>
      </c>
      <c r="G232">
        <v>7.01</v>
      </c>
      <c r="H232">
        <v>12.87</v>
      </c>
      <c r="I232">
        <v>34.44</v>
      </c>
      <c r="J232">
        <v>51.93</v>
      </c>
      <c r="K232">
        <v>70.66</v>
      </c>
      <c r="L232">
        <v>6.29</v>
      </c>
      <c r="M232">
        <v>97.57</v>
      </c>
      <c r="N232">
        <f t="shared" si="244"/>
        <v>51.93</v>
      </c>
      <c r="O232">
        <v>91.28</v>
      </c>
      <c r="P232">
        <v>51.93</v>
      </c>
      <c r="Q232">
        <v>8.23</v>
      </c>
      <c r="S232">
        <v>83.5</v>
      </c>
      <c r="T232">
        <v>73.349999999999994</v>
      </c>
      <c r="U232">
        <v>87.31</v>
      </c>
      <c r="V232">
        <v>79.19</v>
      </c>
      <c r="W232">
        <v>73.66</v>
      </c>
      <c r="X232">
        <v>87.33</v>
      </c>
      <c r="Y232">
        <v>79.92</v>
      </c>
      <c r="Z232">
        <v>69.45</v>
      </c>
      <c r="AA232">
        <v>69.92</v>
      </c>
      <c r="AB232">
        <v>77.47</v>
      </c>
      <c r="AC232">
        <v>87.31</v>
      </c>
      <c r="AD232">
        <v>52.52</v>
      </c>
      <c r="AE232">
        <f t="shared" si="245"/>
        <v>69.915000000000006</v>
      </c>
      <c r="AF232">
        <v>34.799999999999997</v>
      </c>
      <c r="AG232">
        <v>69.92</v>
      </c>
      <c r="AH232">
        <v>42.22</v>
      </c>
    </row>
    <row r="233" spans="1:34" x14ac:dyDescent="0.25">
      <c r="B233">
        <v>59.63</v>
      </c>
      <c r="C233">
        <v>78.89</v>
      </c>
      <c r="D233">
        <v>15.96</v>
      </c>
      <c r="E233">
        <v>25.54</v>
      </c>
      <c r="F233">
        <v>75</v>
      </c>
      <c r="G233">
        <v>14.75</v>
      </c>
      <c r="H233">
        <v>24.66</v>
      </c>
      <c r="I233">
        <v>46.5</v>
      </c>
      <c r="J233">
        <v>55.67</v>
      </c>
      <c r="K233">
        <v>64.099999999999994</v>
      </c>
      <c r="L233">
        <v>15.96</v>
      </c>
      <c r="M233">
        <v>95.37</v>
      </c>
      <c r="N233">
        <f t="shared" si="244"/>
        <v>55.665000000000006</v>
      </c>
      <c r="O233">
        <v>79.41</v>
      </c>
      <c r="P233">
        <v>55.67</v>
      </c>
      <c r="Q233">
        <v>19.29</v>
      </c>
      <c r="S233">
        <v>71.92</v>
      </c>
      <c r="T233">
        <v>63.51</v>
      </c>
      <c r="U233">
        <v>86.69</v>
      </c>
      <c r="V233">
        <v>72.099999999999994</v>
      </c>
      <c r="W233">
        <v>63.94</v>
      </c>
      <c r="X233">
        <v>86.93</v>
      </c>
      <c r="Y233">
        <v>73.680000000000007</v>
      </c>
      <c r="Z233">
        <v>65.150000000000006</v>
      </c>
      <c r="AA233">
        <v>68.040000000000006</v>
      </c>
      <c r="AB233">
        <v>75.930000000000007</v>
      </c>
      <c r="AC233">
        <v>86.69</v>
      </c>
      <c r="AD233">
        <v>49.38</v>
      </c>
      <c r="AE233">
        <f t="shared" si="245"/>
        <v>68.034999999999997</v>
      </c>
      <c r="AF233">
        <v>37.31</v>
      </c>
      <c r="AG233">
        <v>68.040000000000006</v>
      </c>
      <c r="AH233">
        <v>37.43</v>
      </c>
    </row>
    <row r="234" spans="1:34" x14ac:dyDescent="0.25">
      <c r="B234">
        <v>62.99</v>
      </c>
      <c r="C234">
        <v>87.5</v>
      </c>
      <c r="D234">
        <v>4.0199999999999996</v>
      </c>
      <c r="E234">
        <v>15.6</v>
      </c>
      <c r="F234">
        <v>85.71</v>
      </c>
      <c r="G234">
        <v>4.74</v>
      </c>
      <c r="H234">
        <v>8.99</v>
      </c>
      <c r="I234">
        <v>36.94</v>
      </c>
      <c r="J234">
        <v>51.69</v>
      </c>
      <c r="K234">
        <v>67.430000000000007</v>
      </c>
      <c r="L234">
        <v>4.0199999999999996</v>
      </c>
      <c r="M234">
        <v>99.37</v>
      </c>
      <c r="N234">
        <f t="shared" si="244"/>
        <v>51.695</v>
      </c>
      <c r="O234">
        <v>95.34</v>
      </c>
      <c r="P234">
        <v>51.69</v>
      </c>
      <c r="Q234">
        <v>6.84</v>
      </c>
      <c r="S234">
        <v>67.87</v>
      </c>
      <c r="T234">
        <v>59.18</v>
      </c>
      <c r="U234">
        <v>80.64</v>
      </c>
      <c r="V234">
        <v>66.010000000000005</v>
      </c>
      <c r="W234">
        <v>60.5</v>
      </c>
      <c r="X234">
        <v>81.209999999999994</v>
      </c>
      <c r="Y234">
        <v>69.34</v>
      </c>
      <c r="Z234">
        <v>60.47</v>
      </c>
      <c r="AA234">
        <v>63.82</v>
      </c>
      <c r="AB234">
        <v>69.709999999999994</v>
      </c>
      <c r="AC234">
        <v>80.64</v>
      </c>
      <c r="AD234">
        <v>47</v>
      </c>
      <c r="AE234">
        <f t="shared" si="245"/>
        <v>63.82</v>
      </c>
      <c r="AF234">
        <v>33.64</v>
      </c>
      <c r="AG234">
        <v>63.82</v>
      </c>
      <c r="AH234">
        <v>28.08</v>
      </c>
    </row>
    <row r="235" spans="1:34" x14ac:dyDescent="0.25">
      <c r="B235" s="2">
        <f>AVERAGE(B224:B234)</f>
        <v>72.515000000000001</v>
      </c>
      <c r="C235" s="2">
        <f t="shared" ref="C235:Q235" si="246">AVERAGE(C224:C234)</f>
        <v>86.802999999999997</v>
      </c>
      <c r="D235" s="2">
        <f t="shared" si="246"/>
        <v>12.987000000000004</v>
      </c>
      <c r="E235" s="2">
        <f t="shared" si="246"/>
        <v>25.445</v>
      </c>
      <c r="F235" s="2">
        <f t="shared" si="246"/>
        <v>85.350999999999999</v>
      </c>
      <c r="G235" s="2">
        <f t="shared" si="246"/>
        <v>13.787000000000003</v>
      </c>
      <c r="H235" s="2">
        <f t="shared" si="246"/>
        <v>20.491000000000003</v>
      </c>
      <c r="I235" s="2">
        <f t="shared" si="246"/>
        <v>37.785000000000004</v>
      </c>
      <c r="J235" s="2">
        <f t="shared" si="246"/>
        <v>53.990000000000009</v>
      </c>
      <c r="K235" s="2">
        <f t="shared" si="246"/>
        <v>71.097000000000008</v>
      </c>
      <c r="L235" s="2">
        <f t="shared" si="246"/>
        <v>12.987000000000004</v>
      </c>
      <c r="M235" s="2">
        <f t="shared" si="246"/>
        <v>94.994</v>
      </c>
      <c r="N235" s="2">
        <f t="shared" si="246"/>
        <v>53.990500000000011</v>
      </c>
      <c r="O235" s="2">
        <f t="shared" si="246"/>
        <v>82.003999999999991</v>
      </c>
      <c r="P235" s="2">
        <f t="shared" si="246"/>
        <v>53.990000000000009</v>
      </c>
      <c r="Q235" s="2">
        <f t="shared" si="246"/>
        <v>10.769</v>
      </c>
      <c r="S235" s="2">
        <f>AVERAGE(S229:S234)</f>
        <v>75.228333333333339</v>
      </c>
      <c r="T235" s="2">
        <f t="shared" ref="T235:AH235" si="247">AVERAGE(T229:T234)</f>
        <v>66.695000000000007</v>
      </c>
      <c r="U235" s="2">
        <f t="shared" si="247"/>
        <v>84.534999999999997</v>
      </c>
      <c r="V235" s="2">
        <f t="shared" si="247"/>
        <v>73.396666666666661</v>
      </c>
      <c r="W235" s="2">
        <f t="shared" si="247"/>
        <v>67.320000000000007</v>
      </c>
      <c r="X235" s="2">
        <f t="shared" si="247"/>
        <v>84.978333333333339</v>
      </c>
      <c r="Y235" s="2">
        <f t="shared" si="247"/>
        <v>75.010000000000005</v>
      </c>
      <c r="Z235" s="2">
        <f t="shared" si="247"/>
        <v>64.651666666666657</v>
      </c>
      <c r="AA235" s="2">
        <f t="shared" si="247"/>
        <v>66.483333333333334</v>
      </c>
      <c r="AB235" s="2">
        <f t="shared" si="247"/>
        <v>74.301666666666662</v>
      </c>
      <c r="AC235" s="2">
        <f t="shared" si="247"/>
        <v>84.534999999999997</v>
      </c>
      <c r="AD235" s="2">
        <f t="shared" si="247"/>
        <v>48.425000000000004</v>
      </c>
      <c r="AE235" s="2">
        <f t="shared" si="247"/>
        <v>66.48</v>
      </c>
      <c r="AF235" s="2">
        <f t="shared" si="247"/>
        <v>36.111666666666672</v>
      </c>
      <c r="AG235" s="2">
        <f t="shared" si="247"/>
        <v>66.483333333333334</v>
      </c>
      <c r="AH235" s="2">
        <f t="shared" si="247"/>
        <v>34.658333333333331</v>
      </c>
    </row>
    <row r="236" spans="1:34" x14ac:dyDescent="0.25">
      <c r="B236">
        <v>85.82</v>
      </c>
      <c r="C236">
        <v>77.86</v>
      </c>
      <c r="D236">
        <v>85.75</v>
      </c>
      <c r="E236">
        <v>80.599999999999994</v>
      </c>
      <c r="F236">
        <v>78.2</v>
      </c>
      <c r="G236">
        <v>85.25</v>
      </c>
      <c r="H236">
        <v>81.569999999999993</v>
      </c>
      <c r="I236">
        <v>65.739999999999995</v>
      </c>
      <c r="J236">
        <v>67.94</v>
      </c>
      <c r="K236">
        <v>79.67</v>
      </c>
      <c r="L236">
        <v>85.75</v>
      </c>
      <c r="M236">
        <v>50.14</v>
      </c>
      <c r="N236">
        <f>(L236+M236)/2</f>
        <v>67.944999999999993</v>
      </c>
      <c r="O236">
        <v>35.61</v>
      </c>
      <c r="P236">
        <v>67.94</v>
      </c>
      <c r="Q236">
        <v>35.049999999999997</v>
      </c>
    </row>
    <row r="237" spans="1:34" x14ac:dyDescent="0.25">
      <c r="B237">
        <v>78.78</v>
      </c>
      <c r="C237">
        <v>100</v>
      </c>
      <c r="D237">
        <v>0</v>
      </c>
      <c r="E237">
        <v>0</v>
      </c>
      <c r="F237">
        <v>100</v>
      </c>
      <c r="G237">
        <v>0</v>
      </c>
      <c r="H237">
        <v>0</v>
      </c>
      <c r="I237">
        <v>23.32</v>
      </c>
      <c r="J237">
        <v>50</v>
      </c>
      <c r="K237">
        <v>66.58</v>
      </c>
      <c r="L237">
        <v>0</v>
      </c>
      <c r="M237">
        <v>100</v>
      </c>
      <c r="N237">
        <f t="shared" ref="N237:N245" si="248">(L237+M237)/2</f>
        <v>50</v>
      </c>
      <c r="O237">
        <v>100</v>
      </c>
      <c r="P237">
        <v>50</v>
      </c>
      <c r="Q237">
        <v>0</v>
      </c>
    </row>
    <row r="238" spans="1:34" x14ac:dyDescent="0.25">
      <c r="B238">
        <v>63.74</v>
      </c>
      <c r="C238">
        <v>100</v>
      </c>
      <c r="D238">
        <v>0</v>
      </c>
      <c r="E238">
        <v>0</v>
      </c>
      <c r="F238">
        <v>100</v>
      </c>
      <c r="G238">
        <v>0</v>
      </c>
      <c r="H238">
        <v>0</v>
      </c>
      <c r="I238">
        <v>28.55</v>
      </c>
      <c r="J238">
        <v>50</v>
      </c>
      <c r="K238">
        <v>62.83</v>
      </c>
      <c r="L238">
        <v>0</v>
      </c>
      <c r="M238">
        <v>100</v>
      </c>
      <c r="N238">
        <f t="shared" si="248"/>
        <v>50</v>
      </c>
      <c r="O238">
        <v>100</v>
      </c>
      <c r="P238">
        <v>50</v>
      </c>
      <c r="Q238">
        <v>0</v>
      </c>
    </row>
    <row r="239" spans="1:34" x14ac:dyDescent="0.25">
      <c r="B239">
        <v>76.290000000000006</v>
      </c>
      <c r="C239">
        <v>100</v>
      </c>
      <c r="D239">
        <v>0</v>
      </c>
      <c r="E239">
        <v>0</v>
      </c>
      <c r="F239">
        <v>100</v>
      </c>
      <c r="G239">
        <v>0</v>
      </c>
      <c r="H239">
        <v>0</v>
      </c>
      <c r="I239">
        <v>23.32</v>
      </c>
      <c r="J239">
        <v>50</v>
      </c>
      <c r="K239">
        <v>60.82</v>
      </c>
      <c r="L239">
        <v>0</v>
      </c>
      <c r="M239">
        <v>100</v>
      </c>
      <c r="N239">
        <f t="shared" si="248"/>
        <v>50</v>
      </c>
      <c r="O239">
        <v>100</v>
      </c>
      <c r="P239">
        <v>50</v>
      </c>
      <c r="Q239">
        <v>0</v>
      </c>
    </row>
    <row r="240" spans="1:34" x14ac:dyDescent="0.25">
      <c r="B240">
        <v>65.61</v>
      </c>
      <c r="C240">
        <v>100</v>
      </c>
      <c r="D240">
        <v>0</v>
      </c>
      <c r="E240">
        <v>0</v>
      </c>
      <c r="F240">
        <v>100</v>
      </c>
      <c r="G240">
        <v>0</v>
      </c>
      <c r="H240">
        <v>0</v>
      </c>
      <c r="I240">
        <v>28.55</v>
      </c>
      <c r="J240">
        <v>50</v>
      </c>
      <c r="K240">
        <v>63.86</v>
      </c>
      <c r="L240">
        <v>0</v>
      </c>
      <c r="M240">
        <v>100</v>
      </c>
      <c r="N240">
        <f t="shared" si="248"/>
        <v>50</v>
      </c>
      <c r="O240">
        <v>100</v>
      </c>
      <c r="P240">
        <v>50</v>
      </c>
      <c r="Q240">
        <v>0</v>
      </c>
      <c r="S240">
        <v>80.739999999999995</v>
      </c>
      <c r="T240">
        <v>80.64</v>
      </c>
      <c r="U240">
        <v>34.18</v>
      </c>
      <c r="V240">
        <v>47.08</v>
      </c>
      <c r="W240">
        <v>86.52</v>
      </c>
      <c r="X240">
        <v>34.840000000000003</v>
      </c>
      <c r="Y240">
        <v>49.68</v>
      </c>
      <c r="Z240">
        <v>54.03</v>
      </c>
      <c r="AA240">
        <v>62.64</v>
      </c>
      <c r="AB240">
        <v>77.33</v>
      </c>
      <c r="AC240">
        <v>34.18</v>
      </c>
      <c r="AD240">
        <v>91.1</v>
      </c>
      <c r="AE240">
        <f>(AC240+AD240)/2</f>
        <v>62.64</v>
      </c>
      <c r="AF240">
        <v>56.93</v>
      </c>
      <c r="AG240">
        <v>62.64</v>
      </c>
      <c r="AH240">
        <v>26.13</v>
      </c>
    </row>
    <row r="241" spans="2:34" x14ac:dyDescent="0.25">
      <c r="B241">
        <v>54.57</v>
      </c>
      <c r="C241">
        <v>100</v>
      </c>
      <c r="D241">
        <v>0</v>
      </c>
      <c r="E241">
        <v>0</v>
      </c>
      <c r="F241">
        <v>100</v>
      </c>
      <c r="G241">
        <v>0</v>
      </c>
      <c r="H241">
        <v>0</v>
      </c>
      <c r="I241">
        <v>33.229999999999997</v>
      </c>
      <c r="J241">
        <v>50</v>
      </c>
      <c r="K241">
        <v>58.52</v>
      </c>
      <c r="L241">
        <v>0</v>
      </c>
      <c r="M241">
        <v>100</v>
      </c>
      <c r="N241">
        <f t="shared" si="248"/>
        <v>50</v>
      </c>
      <c r="O241">
        <v>100</v>
      </c>
      <c r="P241">
        <v>50</v>
      </c>
      <c r="Q241">
        <v>0</v>
      </c>
      <c r="S241">
        <v>84.35</v>
      </c>
      <c r="T241">
        <v>100</v>
      </c>
      <c r="U241">
        <v>6.61</v>
      </c>
      <c r="V241">
        <v>12</v>
      </c>
      <c r="W241">
        <v>100</v>
      </c>
      <c r="X241">
        <v>7.24</v>
      </c>
      <c r="Y241">
        <v>13.5</v>
      </c>
      <c r="Z241">
        <v>34.200000000000003</v>
      </c>
      <c r="AA241">
        <v>53.3</v>
      </c>
      <c r="AB241">
        <v>78.400000000000006</v>
      </c>
      <c r="AC241">
        <v>6.61</v>
      </c>
      <c r="AD241">
        <v>100</v>
      </c>
      <c r="AE241">
        <f t="shared" ref="AE241:AE245" si="249">(AC241+AD241)/2</f>
        <v>53.305</v>
      </c>
      <c r="AF241">
        <v>93.39</v>
      </c>
      <c r="AG241">
        <v>53.3</v>
      </c>
      <c r="AH241">
        <v>12.96</v>
      </c>
    </row>
    <row r="242" spans="2:34" x14ac:dyDescent="0.25">
      <c r="B242">
        <v>74.180000000000007</v>
      </c>
      <c r="C242">
        <v>100</v>
      </c>
      <c r="D242">
        <v>0</v>
      </c>
      <c r="E242">
        <v>0</v>
      </c>
      <c r="F242">
        <v>100</v>
      </c>
      <c r="G242">
        <v>0</v>
      </c>
      <c r="H242">
        <v>0</v>
      </c>
      <c r="I242">
        <v>23.32</v>
      </c>
      <c r="J242">
        <v>50</v>
      </c>
      <c r="K242">
        <v>59.23</v>
      </c>
      <c r="L242">
        <v>0</v>
      </c>
      <c r="M242">
        <v>100</v>
      </c>
      <c r="N242">
        <f t="shared" si="248"/>
        <v>50</v>
      </c>
      <c r="O242">
        <v>100</v>
      </c>
      <c r="P242">
        <v>50</v>
      </c>
      <c r="Q242">
        <v>0</v>
      </c>
      <c r="S242">
        <v>65.53</v>
      </c>
      <c r="T242">
        <v>100</v>
      </c>
      <c r="U242">
        <v>1.39</v>
      </c>
      <c r="V242">
        <v>2.5</v>
      </c>
      <c r="W242">
        <v>100</v>
      </c>
      <c r="X242">
        <v>1.96</v>
      </c>
      <c r="Y242">
        <v>3.85</v>
      </c>
      <c r="Z242">
        <v>33.659999999999997</v>
      </c>
      <c r="AA242">
        <v>50.69</v>
      </c>
      <c r="AB242">
        <v>67.739999999999995</v>
      </c>
      <c r="AC242">
        <v>1.39</v>
      </c>
      <c r="AD242">
        <v>100</v>
      </c>
      <c r="AE242">
        <f t="shared" si="249"/>
        <v>50.695</v>
      </c>
      <c r="AF242">
        <v>98.61</v>
      </c>
      <c r="AG242">
        <v>50.69</v>
      </c>
      <c r="AH242">
        <v>1.98</v>
      </c>
    </row>
    <row r="243" spans="2:34" x14ac:dyDescent="0.25">
      <c r="B243">
        <v>61.61</v>
      </c>
      <c r="C243">
        <v>100</v>
      </c>
      <c r="D243">
        <v>0</v>
      </c>
      <c r="E243">
        <v>0</v>
      </c>
      <c r="F243">
        <v>100</v>
      </c>
      <c r="G243">
        <v>0</v>
      </c>
      <c r="H243">
        <v>0</v>
      </c>
      <c r="I243">
        <v>28.55</v>
      </c>
      <c r="J243">
        <v>50</v>
      </c>
      <c r="K243">
        <v>54.81</v>
      </c>
      <c r="L243">
        <v>0</v>
      </c>
      <c r="M243">
        <v>100</v>
      </c>
      <c r="N243">
        <f t="shared" si="248"/>
        <v>50</v>
      </c>
      <c r="O243">
        <v>100</v>
      </c>
      <c r="P243">
        <v>50</v>
      </c>
      <c r="Q243">
        <v>0</v>
      </c>
      <c r="S243">
        <v>85.59</v>
      </c>
      <c r="T243">
        <v>98.21</v>
      </c>
      <c r="U243">
        <v>12.37</v>
      </c>
      <c r="V243">
        <v>19.82</v>
      </c>
      <c r="W243">
        <v>96.43</v>
      </c>
      <c r="X243">
        <v>12.22</v>
      </c>
      <c r="Y243">
        <v>21.69</v>
      </c>
      <c r="Z243">
        <v>38.75</v>
      </c>
      <c r="AA243">
        <v>55.9</v>
      </c>
      <c r="AB243">
        <v>81.86</v>
      </c>
      <c r="AC243">
        <v>12.37</v>
      </c>
      <c r="AD243">
        <v>99.43</v>
      </c>
      <c r="AE243">
        <f t="shared" si="249"/>
        <v>55.900000000000006</v>
      </c>
      <c r="AF243">
        <v>87.06</v>
      </c>
      <c r="AG243">
        <v>55.9</v>
      </c>
      <c r="AH243">
        <v>16.8</v>
      </c>
    </row>
    <row r="244" spans="2:34" x14ac:dyDescent="0.25">
      <c r="B244">
        <v>56.28</v>
      </c>
      <c r="C244">
        <v>100</v>
      </c>
      <c r="D244">
        <v>0</v>
      </c>
      <c r="E244">
        <v>0</v>
      </c>
      <c r="F244">
        <v>100</v>
      </c>
      <c r="G244">
        <v>0</v>
      </c>
      <c r="H244">
        <v>0</v>
      </c>
      <c r="I244">
        <v>33.229999999999997</v>
      </c>
      <c r="J244">
        <v>50</v>
      </c>
      <c r="K244">
        <v>58.03</v>
      </c>
      <c r="L244">
        <v>0</v>
      </c>
      <c r="M244">
        <v>100</v>
      </c>
      <c r="N244">
        <f t="shared" si="248"/>
        <v>50</v>
      </c>
      <c r="O244">
        <v>100</v>
      </c>
      <c r="P244">
        <v>50</v>
      </c>
      <c r="Q244">
        <v>0</v>
      </c>
      <c r="S244">
        <v>71.97</v>
      </c>
      <c r="T244">
        <v>100</v>
      </c>
      <c r="U244">
        <v>2.96</v>
      </c>
      <c r="V244">
        <v>5.0599999999999996</v>
      </c>
      <c r="W244">
        <v>100</v>
      </c>
      <c r="X244">
        <v>2.61</v>
      </c>
      <c r="Y244">
        <v>5.0999999999999996</v>
      </c>
      <c r="Z244">
        <v>35.06</v>
      </c>
      <c r="AA244">
        <v>51.48</v>
      </c>
      <c r="AB244">
        <v>78.61</v>
      </c>
      <c r="AC244">
        <v>2.96</v>
      </c>
      <c r="AD244">
        <v>100</v>
      </c>
      <c r="AE244">
        <f t="shared" si="249"/>
        <v>51.48</v>
      </c>
      <c r="AF244">
        <v>97.04</v>
      </c>
      <c r="AG244">
        <v>51.48</v>
      </c>
      <c r="AH244">
        <v>5.67</v>
      </c>
    </row>
    <row r="245" spans="2:34" x14ac:dyDescent="0.25">
      <c r="B245">
        <v>54.79</v>
      </c>
      <c r="C245">
        <v>100</v>
      </c>
      <c r="D245">
        <v>0</v>
      </c>
      <c r="E245">
        <v>0</v>
      </c>
      <c r="F245">
        <v>100</v>
      </c>
      <c r="G245">
        <v>0</v>
      </c>
      <c r="H245">
        <v>0</v>
      </c>
      <c r="I245">
        <v>32.979999999999997</v>
      </c>
      <c r="J245">
        <v>50</v>
      </c>
      <c r="K245">
        <v>55.12</v>
      </c>
      <c r="L245">
        <v>0</v>
      </c>
      <c r="M245">
        <v>100</v>
      </c>
      <c r="N245">
        <f t="shared" si="248"/>
        <v>50</v>
      </c>
      <c r="O245">
        <v>100</v>
      </c>
      <c r="P245">
        <v>50</v>
      </c>
      <c r="Q245">
        <v>0</v>
      </c>
      <c r="S245">
        <v>71.180000000000007</v>
      </c>
      <c r="T245">
        <v>90.97</v>
      </c>
      <c r="U245">
        <v>7.78</v>
      </c>
      <c r="V245">
        <v>13.85</v>
      </c>
      <c r="W245">
        <v>88.89</v>
      </c>
      <c r="X245">
        <v>7.27</v>
      </c>
      <c r="Y245">
        <v>13.45</v>
      </c>
      <c r="Z245">
        <v>39.71</v>
      </c>
      <c r="AA245">
        <v>53.39</v>
      </c>
      <c r="AB245">
        <v>73.62</v>
      </c>
      <c r="AC245">
        <v>7.78</v>
      </c>
      <c r="AD245">
        <v>99.01</v>
      </c>
      <c r="AE245">
        <f t="shared" si="249"/>
        <v>53.395000000000003</v>
      </c>
      <c r="AF245">
        <v>91.23</v>
      </c>
      <c r="AG245">
        <v>53.39</v>
      </c>
      <c r="AH245">
        <v>14.44</v>
      </c>
    </row>
    <row r="246" spans="2:34" x14ac:dyDescent="0.25">
      <c r="B246" s="2">
        <f>AVERAGE(B236:B245)</f>
        <v>67.167000000000002</v>
      </c>
      <c r="C246" s="2">
        <f t="shared" ref="C246:Q246" si="250">AVERAGE(C236:C245)</f>
        <v>97.786000000000001</v>
      </c>
      <c r="D246" s="2">
        <f t="shared" si="250"/>
        <v>8.5749999999999993</v>
      </c>
      <c r="E246" s="2">
        <f t="shared" si="250"/>
        <v>8.0599999999999987</v>
      </c>
      <c r="F246" s="2">
        <f t="shared" si="250"/>
        <v>97.820000000000007</v>
      </c>
      <c r="G246" s="2">
        <f t="shared" si="250"/>
        <v>8.5250000000000004</v>
      </c>
      <c r="H246" s="2">
        <f t="shared" si="250"/>
        <v>8.157</v>
      </c>
      <c r="I246" s="2">
        <f t="shared" si="250"/>
        <v>32.079000000000001</v>
      </c>
      <c r="J246" s="2">
        <f t="shared" si="250"/>
        <v>51.794000000000004</v>
      </c>
      <c r="K246" s="2">
        <f t="shared" si="250"/>
        <v>61.947000000000003</v>
      </c>
      <c r="L246" s="2">
        <f t="shared" si="250"/>
        <v>8.5749999999999993</v>
      </c>
      <c r="M246" s="2">
        <f t="shared" si="250"/>
        <v>95.013999999999996</v>
      </c>
      <c r="N246" s="2">
        <f t="shared" si="250"/>
        <v>51.794499999999992</v>
      </c>
      <c r="O246" s="2">
        <f t="shared" si="250"/>
        <v>93.561000000000007</v>
      </c>
      <c r="P246" s="2">
        <f t="shared" si="250"/>
        <v>51.794000000000004</v>
      </c>
      <c r="Q246" s="2">
        <f t="shared" si="250"/>
        <v>3.5049999999999999</v>
      </c>
      <c r="S246" s="2">
        <f>AVERAGE(S240:S245)</f>
        <v>76.559999999999988</v>
      </c>
      <c r="T246" s="2">
        <f t="shared" ref="T246:AH246" si="251">AVERAGE(T240:T245)</f>
        <v>94.969999999999985</v>
      </c>
      <c r="U246" s="2">
        <f t="shared" si="251"/>
        <v>10.881666666666666</v>
      </c>
      <c r="V246" s="2">
        <f t="shared" si="251"/>
        <v>16.718333333333334</v>
      </c>
      <c r="W246" s="2">
        <f t="shared" si="251"/>
        <v>95.306666666666672</v>
      </c>
      <c r="X246" s="2">
        <f t="shared" si="251"/>
        <v>11.023333333333333</v>
      </c>
      <c r="Y246" s="2">
        <f t="shared" si="251"/>
        <v>17.878333333333334</v>
      </c>
      <c r="Z246" s="2">
        <f t="shared" si="251"/>
        <v>39.234999999999999</v>
      </c>
      <c r="AA246" s="2">
        <f t="shared" si="251"/>
        <v>54.566666666666663</v>
      </c>
      <c r="AB246" s="2">
        <f t="shared" si="251"/>
        <v>76.260000000000005</v>
      </c>
      <c r="AC246" s="2">
        <f t="shared" si="251"/>
        <v>10.881666666666666</v>
      </c>
      <c r="AD246" s="2">
        <f t="shared" si="251"/>
        <v>98.256666666666675</v>
      </c>
      <c r="AE246" s="2">
        <f t="shared" si="251"/>
        <v>54.569166666666661</v>
      </c>
      <c r="AF246" s="2">
        <f t="shared" si="251"/>
        <v>87.376666666666665</v>
      </c>
      <c r="AG246" s="2">
        <f t="shared" si="251"/>
        <v>54.566666666666663</v>
      </c>
      <c r="AH246" s="2">
        <f t="shared" si="251"/>
        <v>12.996666666666668</v>
      </c>
    </row>
    <row r="247" spans="2:34" x14ac:dyDescent="0.25">
      <c r="B247">
        <v>85.43</v>
      </c>
      <c r="C247">
        <v>79.78</v>
      </c>
      <c r="D247">
        <v>86.3</v>
      </c>
      <c r="E247">
        <v>81.739999999999995</v>
      </c>
      <c r="F247">
        <v>80</v>
      </c>
      <c r="G247">
        <v>85.25</v>
      </c>
      <c r="H247">
        <v>82.54</v>
      </c>
      <c r="I247">
        <v>69.77</v>
      </c>
      <c r="J247">
        <v>72.39</v>
      </c>
      <c r="K247">
        <v>75.91</v>
      </c>
      <c r="L247">
        <v>86.3</v>
      </c>
      <c r="M247">
        <v>58.47</v>
      </c>
      <c r="N247">
        <f>(L247+M247)/2</f>
        <v>72.384999999999991</v>
      </c>
      <c r="O247">
        <v>27.83</v>
      </c>
      <c r="P247">
        <v>72.39</v>
      </c>
      <c r="Q247">
        <v>43.32</v>
      </c>
    </row>
    <row r="248" spans="2:34" x14ac:dyDescent="0.25">
      <c r="B248">
        <v>91.58</v>
      </c>
      <c r="C248">
        <v>74.81</v>
      </c>
      <c r="D248">
        <v>86.72</v>
      </c>
      <c r="E248">
        <v>78.14</v>
      </c>
      <c r="F248">
        <v>73.569999999999993</v>
      </c>
      <c r="G248">
        <v>84.43</v>
      </c>
      <c r="H248">
        <v>78.63</v>
      </c>
      <c r="I248">
        <v>60.88</v>
      </c>
      <c r="J248">
        <v>64.489999999999995</v>
      </c>
      <c r="K248">
        <v>82.65</v>
      </c>
      <c r="L248">
        <v>86.72</v>
      </c>
      <c r="M248">
        <v>42.27</v>
      </c>
      <c r="N248">
        <f t="shared" ref="N248:N256" si="252">(L248+M248)/2</f>
        <v>64.495000000000005</v>
      </c>
      <c r="O248">
        <v>44.45</v>
      </c>
      <c r="P248">
        <v>64.489999999999995</v>
      </c>
      <c r="Q248">
        <v>31.58</v>
      </c>
    </row>
    <row r="249" spans="2:34" x14ac:dyDescent="0.25">
      <c r="B249">
        <v>67.56</v>
      </c>
      <c r="C249">
        <v>64.27</v>
      </c>
      <c r="D249">
        <v>83.82</v>
      </c>
      <c r="E249">
        <v>69.78</v>
      </c>
      <c r="F249">
        <v>65.33</v>
      </c>
      <c r="G249">
        <v>82.8</v>
      </c>
      <c r="H249">
        <v>73.03</v>
      </c>
      <c r="I249">
        <v>58.63</v>
      </c>
      <c r="J249">
        <v>63.76</v>
      </c>
      <c r="K249">
        <v>70.819999999999993</v>
      </c>
      <c r="L249">
        <v>83.82</v>
      </c>
      <c r="M249">
        <v>43.71</v>
      </c>
      <c r="N249">
        <f t="shared" si="252"/>
        <v>63.765000000000001</v>
      </c>
      <c r="O249">
        <v>40.11</v>
      </c>
      <c r="P249">
        <v>63.76</v>
      </c>
      <c r="Q249">
        <v>25.96</v>
      </c>
    </row>
    <row r="250" spans="2:34" x14ac:dyDescent="0.25">
      <c r="B250">
        <v>90.55</v>
      </c>
      <c r="C250">
        <v>77.989999999999995</v>
      </c>
      <c r="D250">
        <v>79.88</v>
      </c>
      <c r="E250">
        <v>76.63</v>
      </c>
      <c r="F250">
        <v>77.05</v>
      </c>
      <c r="G250">
        <v>77.05</v>
      </c>
      <c r="H250">
        <v>77.05</v>
      </c>
      <c r="I250">
        <v>64.02</v>
      </c>
      <c r="J250">
        <v>68.27</v>
      </c>
      <c r="K250">
        <v>83.09</v>
      </c>
      <c r="L250">
        <v>79.88</v>
      </c>
      <c r="M250">
        <v>56.66</v>
      </c>
      <c r="N250">
        <f t="shared" si="252"/>
        <v>68.27</v>
      </c>
      <c r="O250">
        <v>23.22</v>
      </c>
      <c r="P250">
        <v>68.27</v>
      </c>
      <c r="Q250">
        <v>35.47</v>
      </c>
    </row>
    <row r="251" spans="2:34" x14ac:dyDescent="0.25">
      <c r="B251">
        <v>69.88</v>
      </c>
      <c r="C251">
        <v>64.930000000000007</v>
      </c>
      <c r="D251">
        <v>73.81</v>
      </c>
      <c r="E251">
        <v>64.97</v>
      </c>
      <c r="F251">
        <v>65.34</v>
      </c>
      <c r="G251">
        <v>73.25</v>
      </c>
      <c r="H251">
        <v>69.069999999999993</v>
      </c>
      <c r="I251">
        <v>57.25</v>
      </c>
      <c r="J251">
        <v>63.06</v>
      </c>
      <c r="K251">
        <v>73.400000000000006</v>
      </c>
      <c r="L251">
        <v>73.81</v>
      </c>
      <c r="M251">
        <v>52.32</v>
      </c>
      <c r="N251">
        <f t="shared" si="252"/>
        <v>63.064999999999998</v>
      </c>
      <c r="O251">
        <v>21.49</v>
      </c>
      <c r="P251">
        <v>63.06</v>
      </c>
      <c r="Q251">
        <v>24.79</v>
      </c>
      <c r="S251">
        <v>74.510000000000005</v>
      </c>
      <c r="T251">
        <v>100</v>
      </c>
      <c r="U251">
        <v>4.37</v>
      </c>
      <c r="V251">
        <v>8.1</v>
      </c>
      <c r="W251">
        <v>100</v>
      </c>
      <c r="X251">
        <v>4.5199999999999996</v>
      </c>
      <c r="Y251">
        <v>8.66</v>
      </c>
      <c r="Z251">
        <v>31.95</v>
      </c>
      <c r="AA251">
        <v>52.19</v>
      </c>
      <c r="AB251">
        <v>65.7</v>
      </c>
      <c r="AC251">
        <v>4.37</v>
      </c>
      <c r="AD251">
        <v>100</v>
      </c>
      <c r="AE251">
        <f>(AC251+AD251)/2</f>
        <v>52.185000000000002</v>
      </c>
      <c r="AF251">
        <v>95.63</v>
      </c>
      <c r="AG251">
        <v>52.19</v>
      </c>
      <c r="AH251">
        <v>10.95</v>
      </c>
    </row>
    <row r="252" spans="2:34" x14ac:dyDescent="0.25">
      <c r="B252">
        <v>62.09</v>
      </c>
      <c r="C252">
        <v>54.15</v>
      </c>
      <c r="D252">
        <v>73.849999999999994</v>
      </c>
      <c r="E252">
        <v>71.739999999999995</v>
      </c>
      <c r="F252">
        <v>58.18</v>
      </c>
      <c r="G252">
        <v>78.69</v>
      </c>
      <c r="H252">
        <v>66.900000000000006</v>
      </c>
      <c r="I252">
        <v>56.22</v>
      </c>
      <c r="J252">
        <v>60.18</v>
      </c>
      <c r="K252">
        <v>67.599999999999994</v>
      </c>
      <c r="L252">
        <v>73.849999999999994</v>
      </c>
      <c r="M252">
        <v>46.51</v>
      </c>
      <c r="N252">
        <f t="shared" si="252"/>
        <v>60.179999999999993</v>
      </c>
      <c r="O252">
        <v>27.35</v>
      </c>
      <c r="P252">
        <v>60.18</v>
      </c>
      <c r="Q252">
        <v>20.97</v>
      </c>
      <c r="S252">
        <v>70.09</v>
      </c>
      <c r="T252">
        <v>91.67</v>
      </c>
      <c r="U252">
        <v>5.88</v>
      </c>
      <c r="V252">
        <v>10.56</v>
      </c>
      <c r="W252">
        <v>93.33</v>
      </c>
      <c r="X252">
        <v>6.33</v>
      </c>
      <c r="Y252">
        <v>11.86</v>
      </c>
      <c r="Z252">
        <v>33.270000000000003</v>
      </c>
      <c r="AA252">
        <v>52.66</v>
      </c>
      <c r="AB252">
        <v>58.7</v>
      </c>
      <c r="AC252">
        <v>5.88</v>
      </c>
      <c r="AD252">
        <v>99.43</v>
      </c>
      <c r="AE252">
        <f t="shared" ref="AE252:AE256" si="253">(AC252+AD252)/2</f>
        <v>52.655000000000001</v>
      </c>
      <c r="AF252">
        <v>93.55</v>
      </c>
      <c r="AG252">
        <v>52.66</v>
      </c>
      <c r="AH252">
        <v>11.23</v>
      </c>
    </row>
    <row r="253" spans="2:34" x14ac:dyDescent="0.25">
      <c r="B253">
        <v>90.62</v>
      </c>
      <c r="C253">
        <v>80.14</v>
      </c>
      <c r="D253">
        <v>81.81</v>
      </c>
      <c r="E253">
        <v>78.72</v>
      </c>
      <c r="F253">
        <v>79.34</v>
      </c>
      <c r="G253">
        <v>78.69</v>
      </c>
      <c r="H253">
        <v>79.010000000000005</v>
      </c>
      <c r="I253">
        <v>67.13</v>
      </c>
      <c r="J253">
        <v>71.64</v>
      </c>
      <c r="K253">
        <v>83.3</v>
      </c>
      <c r="L253">
        <v>81.81</v>
      </c>
      <c r="M253">
        <v>61.46</v>
      </c>
      <c r="N253">
        <f t="shared" si="252"/>
        <v>71.635000000000005</v>
      </c>
      <c r="O253">
        <v>20.350000000000001</v>
      </c>
      <c r="P253">
        <v>71.64</v>
      </c>
      <c r="Q253">
        <v>41.64</v>
      </c>
      <c r="S253">
        <v>62.41</v>
      </c>
      <c r="T253">
        <v>85</v>
      </c>
      <c r="U253">
        <v>2.42</v>
      </c>
      <c r="V253">
        <v>16.71</v>
      </c>
      <c r="W253">
        <v>71.430000000000007</v>
      </c>
      <c r="X253">
        <v>3.27</v>
      </c>
      <c r="Y253">
        <v>6.25</v>
      </c>
      <c r="Z253">
        <v>34.24</v>
      </c>
      <c r="AA253">
        <v>50.06</v>
      </c>
      <c r="AB253">
        <v>65.84</v>
      </c>
      <c r="AC253">
        <v>2.42</v>
      </c>
      <c r="AD253">
        <v>97.69</v>
      </c>
      <c r="AE253">
        <f t="shared" si="253"/>
        <v>50.055</v>
      </c>
      <c r="AF253">
        <v>95.27</v>
      </c>
      <c r="AG253">
        <v>50.06</v>
      </c>
      <c r="AH253">
        <v>0.22</v>
      </c>
    </row>
    <row r="254" spans="2:34" x14ac:dyDescent="0.25">
      <c r="B254">
        <v>68.31</v>
      </c>
      <c r="C254">
        <v>66.56</v>
      </c>
      <c r="D254">
        <v>70.41</v>
      </c>
      <c r="E254">
        <v>64.739999999999995</v>
      </c>
      <c r="F254">
        <v>66.27</v>
      </c>
      <c r="G254">
        <v>71.34</v>
      </c>
      <c r="H254">
        <v>68.709999999999994</v>
      </c>
      <c r="I254">
        <v>58.88</v>
      </c>
      <c r="J254">
        <v>62.87</v>
      </c>
      <c r="K254">
        <v>71.95</v>
      </c>
      <c r="L254">
        <v>70.41</v>
      </c>
      <c r="M254">
        <v>55.32</v>
      </c>
      <c r="N254">
        <f t="shared" si="252"/>
        <v>62.864999999999995</v>
      </c>
      <c r="O254">
        <v>15.09</v>
      </c>
      <c r="P254">
        <v>62.87</v>
      </c>
      <c r="Q254">
        <v>25.68</v>
      </c>
      <c r="S254">
        <v>71.13</v>
      </c>
      <c r="T254">
        <v>90.62</v>
      </c>
      <c r="U254">
        <v>8.9</v>
      </c>
      <c r="V254">
        <v>15.52</v>
      </c>
      <c r="W254">
        <v>91.67</v>
      </c>
      <c r="X254">
        <v>9.9499999999999993</v>
      </c>
      <c r="Y254">
        <v>17.96</v>
      </c>
      <c r="Z254">
        <v>35.979999999999997</v>
      </c>
      <c r="AA254">
        <v>53.64</v>
      </c>
      <c r="AB254">
        <v>61.16</v>
      </c>
      <c r="AC254">
        <v>8.9</v>
      </c>
      <c r="AD254">
        <v>98.39</v>
      </c>
      <c r="AE254">
        <f t="shared" si="253"/>
        <v>53.645000000000003</v>
      </c>
      <c r="AF254">
        <v>89.49</v>
      </c>
      <c r="AG254">
        <v>53.64</v>
      </c>
      <c r="AH254">
        <v>11.16</v>
      </c>
    </row>
    <row r="255" spans="2:34" x14ac:dyDescent="0.25">
      <c r="B255">
        <v>67.52</v>
      </c>
      <c r="C255">
        <v>60.96</v>
      </c>
      <c r="D255">
        <v>78.680000000000007</v>
      </c>
      <c r="E255">
        <v>67.61</v>
      </c>
      <c r="F255">
        <v>63.69</v>
      </c>
      <c r="G255">
        <v>81.97</v>
      </c>
      <c r="H255">
        <v>71.680000000000007</v>
      </c>
      <c r="I255">
        <v>65.040000000000006</v>
      </c>
      <c r="J255">
        <v>67.25</v>
      </c>
      <c r="K255">
        <v>73.48</v>
      </c>
      <c r="L255">
        <v>78.680000000000007</v>
      </c>
      <c r="M255">
        <v>55.81</v>
      </c>
      <c r="N255">
        <f t="shared" si="252"/>
        <v>67.245000000000005</v>
      </c>
      <c r="O255">
        <v>22.87</v>
      </c>
      <c r="P255">
        <v>67.25</v>
      </c>
      <c r="Q255">
        <v>34.89</v>
      </c>
      <c r="S255">
        <v>61.49</v>
      </c>
      <c r="T255">
        <v>91.67</v>
      </c>
      <c r="U255">
        <v>6.33</v>
      </c>
      <c r="V255">
        <v>10.94</v>
      </c>
      <c r="W255">
        <v>84.62</v>
      </c>
      <c r="X255">
        <v>7.19</v>
      </c>
      <c r="Y255">
        <v>13.25</v>
      </c>
      <c r="Z255">
        <v>38.159999999999997</v>
      </c>
      <c r="AA255">
        <v>52.56</v>
      </c>
      <c r="AB255">
        <v>62.9</v>
      </c>
      <c r="AC255">
        <v>6.33</v>
      </c>
      <c r="AD255">
        <v>98.78</v>
      </c>
      <c r="AE255">
        <f t="shared" si="253"/>
        <v>52.555</v>
      </c>
      <c r="AF255">
        <v>92.46</v>
      </c>
      <c r="AG255">
        <v>52.56</v>
      </c>
      <c r="AH255">
        <v>9.07</v>
      </c>
    </row>
    <row r="256" spans="2:34" x14ac:dyDescent="0.25">
      <c r="B256">
        <v>71.63</v>
      </c>
      <c r="C256">
        <v>58.7</v>
      </c>
      <c r="D256">
        <v>85.87</v>
      </c>
      <c r="E256">
        <v>67.84</v>
      </c>
      <c r="F256">
        <v>59.36</v>
      </c>
      <c r="G256">
        <v>87.75</v>
      </c>
      <c r="H256">
        <v>70.81</v>
      </c>
      <c r="I256">
        <v>59.46</v>
      </c>
      <c r="J256">
        <v>64.88</v>
      </c>
      <c r="K256">
        <v>74.430000000000007</v>
      </c>
      <c r="L256">
        <v>85.87</v>
      </c>
      <c r="M256">
        <v>43.89</v>
      </c>
      <c r="N256">
        <f t="shared" si="252"/>
        <v>64.88</v>
      </c>
      <c r="O256">
        <v>41.98</v>
      </c>
      <c r="P256">
        <v>64.88</v>
      </c>
      <c r="Q256">
        <v>32.93</v>
      </c>
      <c r="S256">
        <v>59.2</v>
      </c>
      <c r="T256">
        <v>100</v>
      </c>
      <c r="U256">
        <v>2.14</v>
      </c>
      <c r="V256">
        <v>3.95</v>
      </c>
      <c r="W256">
        <v>100</v>
      </c>
      <c r="X256">
        <v>2.73</v>
      </c>
      <c r="Y256">
        <v>5.31</v>
      </c>
      <c r="Z256">
        <v>34.47</v>
      </c>
      <c r="AA256">
        <v>51.07</v>
      </c>
      <c r="AB256">
        <v>56.76</v>
      </c>
      <c r="AC256">
        <v>2.14</v>
      </c>
      <c r="AD256">
        <v>100</v>
      </c>
      <c r="AE256">
        <f t="shared" si="253"/>
        <v>51.07</v>
      </c>
      <c r="AF256">
        <v>97.86</v>
      </c>
      <c r="AG256">
        <v>51.07</v>
      </c>
      <c r="AH256">
        <v>5.31</v>
      </c>
    </row>
    <row r="257" spans="2:34" x14ac:dyDescent="0.25">
      <c r="B257" s="2">
        <f>AVERAGE(B247:B256)</f>
        <v>76.516999999999996</v>
      </c>
      <c r="C257" s="2">
        <f t="shared" ref="C257:Q257" si="254">AVERAGE(C247:C256)</f>
        <v>68.229000000000013</v>
      </c>
      <c r="D257" s="2">
        <f t="shared" si="254"/>
        <v>80.114999999999995</v>
      </c>
      <c r="E257" s="2">
        <f t="shared" si="254"/>
        <v>72.191000000000003</v>
      </c>
      <c r="F257" s="2">
        <f t="shared" si="254"/>
        <v>68.813000000000002</v>
      </c>
      <c r="G257" s="2">
        <f t="shared" si="254"/>
        <v>80.122000000000014</v>
      </c>
      <c r="H257" s="2">
        <f t="shared" si="254"/>
        <v>73.743000000000009</v>
      </c>
      <c r="I257" s="2">
        <f t="shared" si="254"/>
        <v>61.727999999999994</v>
      </c>
      <c r="J257" s="2">
        <f t="shared" si="254"/>
        <v>65.878999999999991</v>
      </c>
      <c r="K257" s="2">
        <f t="shared" si="254"/>
        <v>75.663000000000011</v>
      </c>
      <c r="L257" s="2">
        <f t="shared" si="254"/>
        <v>80.114999999999995</v>
      </c>
      <c r="M257" s="2">
        <f t="shared" si="254"/>
        <v>51.641999999999996</v>
      </c>
      <c r="N257" s="2">
        <f t="shared" si="254"/>
        <v>65.878500000000003</v>
      </c>
      <c r="O257" s="2">
        <f t="shared" si="254"/>
        <v>28.474</v>
      </c>
      <c r="P257" s="2">
        <f t="shared" si="254"/>
        <v>65.878999999999991</v>
      </c>
      <c r="Q257" s="2">
        <f t="shared" si="254"/>
        <v>31.723000000000003</v>
      </c>
      <c r="S257" s="2">
        <f>AVERAGE(S251:S256)</f>
        <v>66.471666666666664</v>
      </c>
      <c r="T257" s="2">
        <f t="shared" ref="T257:AH257" si="255">AVERAGE(T251:T256)</f>
        <v>93.160000000000011</v>
      </c>
      <c r="U257" s="2">
        <f t="shared" si="255"/>
        <v>5.0066666666666668</v>
      </c>
      <c r="V257" s="2">
        <f t="shared" si="255"/>
        <v>10.963333333333333</v>
      </c>
      <c r="W257" s="2">
        <f t="shared" si="255"/>
        <v>90.174999999999997</v>
      </c>
      <c r="X257" s="2">
        <f t="shared" si="255"/>
        <v>5.665</v>
      </c>
      <c r="Y257" s="2">
        <f t="shared" si="255"/>
        <v>10.548333333333334</v>
      </c>
      <c r="Z257" s="2">
        <f t="shared" si="255"/>
        <v>34.678333333333335</v>
      </c>
      <c r="AA257" s="2">
        <f t="shared" si="255"/>
        <v>52.03</v>
      </c>
      <c r="AB257" s="2">
        <f t="shared" si="255"/>
        <v>61.843333333333334</v>
      </c>
      <c r="AC257" s="2">
        <f t="shared" si="255"/>
        <v>5.0066666666666668</v>
      </c>
      <c r="AD257" s="2">
        <f t="shared" si="255"/>
        <v>99.048333333333332</v>
      </c>
      <c r="AE257" s="2">
        <f t="shared" si="255"/>
        <v>52.027500000000003</v>
      </c>
      <c r="AF257" s="2">
        <f t="shared" si="255"/>
        <v>94.043333333333337</v>
      </c>
      <c r="AG257" s="2">
        <f t="shared" si="255"/>
        <v>52.03</v>
      </c>
      <c r="AH257" s="2">
        <f t="shared" si="255"/>
        <v>7.9900000000000011</v>
      </c>
    </row>
    <row r="259" spans="2:34" x14ac:dyDescent="0.25">
      <c r="B259" s="2">
        <f>AVERAGE(B235,B246,B257)</f>
        <v>72.066333333333333</v>
      </c>
      <c r="C259" s="2">
        <f t="shared" ref="C259" si="256">AVERAGE(C235,C246,C257)</f>
        <v>84.272666666666666</v>
      </c>
      <c r="D259" s="2">
        <f t="shared" ref="D259" si="257">AVERAGE(D235,D246,D257)</f>
        <v>33.892333333333333</v>
      </c>
      <c r="E259" s="2">
        <f t="shared" ref="E259" si="258">AVERAGE(E235,E246,E257)</f>
        <v>35.231999999999999</v>
      </c>
      <c r="F259" s="2">
        <f t="shared" ref="F259" si="259">AVERAGE(F235,F246,F257)</f>
        <v>83.99466666666666</v>
      </c>
      <c r="G259" s="2">
        <f t="shared" ref="G259" si="260">AVERAGE(G235,G246,G257)</f>
        <v>34.144666666666673</v>
      </c>
      <c r="H259" s="2">
        <f t="shared" ref="H259" si="261">AVERAGE(H235,H246,H257)</f>
        <v>34.13033333333334</v>
      </c>
      <c r="I259" s="2">
        <f t="shared" ref="I259" si="262">AVERAGE(I235,I246,I257)</f>
        <v>43.863999999999997</v>
      </c>
      <c r="J259" s="2">
        <f t="shared" ref="J259" si="263">AVERAGE(J235,J246,J257)</f>
        <v>57.221000000000004</v>
      </c>
      <c r="K259" s="2">
        <f t="shared" ref="K259" si="264">AVERAGE(K235,K246,K257)</f>
        <v>69.569000000000003</v>
      </c>
      <c r="L259" s="2">
        <f t="shared" ref="L259" si="265">AVERAGE(L235,L246,L257)</f>
        <v>33.892333333333333</v>
      </c>
      <c r="M259" s="2">
        <f t="shared" ref="M259" si="266">AVERAGE(M235,M246,M257)</f>
        <v>80.55</v>
      </c>
      <c r="N259" s="2">
        <f t="shared" ref="N259" si="267">AVERAGE(N235,N246,N257)</f>
        <v>57.221166666666669</v>
      </c>
      <c r="O259" s="2">
        <f t="shared" ref="O259" si="268">AVERAGE(O235,O246,O257)</f>
        <v>68.012999999999991</v>
      </c>
      <c r="P259" s="2">
        <f t="shared" ref="P259" si="269">AVERAGE(P235,P246,P257)</f>
        <v>57.221000000000004</v>
      </c>
      <c r="Q259" s="2">
        <f t="shared" ref="Q259" si="270">AVERAGE(Q235,Q246,Q257)</f>
        <v>15.332333333333333</v>
      </c>
      <c r="S259" s="2">
        <f>AVERAGE(S235,S246,S257)</f>
        <v>72.75333333333333</v>
      </c>
      <c r="T259" s="2">
        <f t="shared" ref="T259" si="271">AVERAGE(T235,T246,T257)</f>
        <v>84.941666666666663</v>
      </c>
      <c r="U259" s="2">
        <f t="shared" ref="U259" si="272">AVERAGE(U235,U246,U257)</f>
        <v>33.474444444444437</v>
      </c>
      <c r="V259" s="2">
        <f t="shared" ref="V259" si="273">AVERAGE(V235,V246,V257)</f>
        <v>33.692777777777778</v>
      </c>
      <c r="W259" s="2">
        <f t="shared" ref="W259" si="274">AVERAGE(W235,W246,W257)</f>
        <v>84.26722222222223</v>
      </c>
      <c r="X259" s="2">
        <f t="shared" ref="X259" si="275">AVERAGE(X235,X246,X257)</f>
        <v>33.888888888888893</v>
      </c>
      <c r="Y259" s="2">
        <f t="shared" ref="Y259" si="276">AVERAGE(Y235,Y246,Y257)</f>
        <v>34.478888888888889</v>
      </c>
      <c r="Z259" s="2">
        <f t="shared" ref="Z259" si="277">AVERAGE(Z235,Z246,Z257)</f>
        <v>46.188333333333333</v>
      </c>
      <c r="AA259" s="2">
        <f t="shared" ref="AA259" si="278">AVERAGE(AA235,AA246,AA257)</f>
        <v>57.693333333333328</v>
      </c>
      <c r="AB259" s="2">
        <f t="shared" ref="AB259" si="279">AVERAGE(AB235,AB246,AB257)</f>
        <v>70.801666666666662</v>
      </c>
      <c r="AC259" s="2">
        <f t="shared" ref="AC259" si="280">AVERAGE(AC235,AC246,AC257)</f>
        <v>33.474444444444437</v>
      </c>
      <c r="AD259" s="2">
        <f t="shared" ref="AD259" si="281">AVERAGE(AD235,AD246,AD257)</f>
        <v>81.910000000000011</v>
      </c>
      <c r="AE259" s="2">
        <f>AVERAGE(AE235,AE246,AE257)</f>
        <v>57.69222222222222</v>
      </c>
      <c r="AF259" s="2">
        <f t="shared" ref="AF259" si="282">AVERAGE(AF235,AF246,AF257)</f>
        <v>72.51055555555557</v>
      </c>
      <c r="AG259" s="2">
        <f t="shared" ref="AG259" si="283">AVERAGE(AG235,AG246,AG257)</f>
        <v>57.693333333333328</v>
      </c>
      <c r="AH259" s="2">
        <f t="shared" ref="AH259" si="284">AVERAGE(AH235,AH246,AH257)</f>
        <v>18.548333333333336</v>
      </c>
    </row>
    <row r="260" spans="2:34" x14ac:dyDescent="0.25">
      <c r="B260" s="2">
        <f>_xlfn.STDEV.S(B235,B246,B257)</f>
        <v>4.6911194115406305</v>
      </c>
      <c r="C260" s="2">
        <f t="shared" ref="C260:Q260" si="285">_xlfn.STDEV.S(C235,C246,C257)</f>
        <v>14.940080399158976</v>
      </c>
      <c r="D260" s="2">
        <f t="shared" si="285"/>
        <v>40.090742339514414</v>
      </c>
      <c r="E260" s="2">
        <f t="shared" si="285"/>
        <v>33.166780323088339</v>
      </c>
      <c r="F260" s="2">
        <f t="shared" si="285"/>
        <v>14.550987675526878</v>
      </c>
      <c r="G260" s="2">
        <f t="shared" si="285"/>
        <v>39.904367509501185</v>
      </c>
      <c r="H260" s="2">
        <f t="shared" si="285"/>
        <v>34.855478899784657</v>
      </c>
      <c r="I260" s="2">
        <f t="shared" si="285"/>
        <v>15.731544139085656</v>
      </c>
      <c r="J260" s="2">
        <f t="shared" si="285"/>
        <v>7.5780160332371436</v>
      </c>
      <c r="K260" s="2">
        <f t="shared" si="285"/>
        <v>6.9845008411482103</v>
      </c>
      <c r="L260" s="2">
        <f t="shared" si="285"/>
        <v>40.090742339514414</v>
      </c>
      <c r="M260" s="2">
        <f t="shared" si="285"/>
        <v>25.035064369799443</v>
      </c>
      <c r="N260" s="2">
        <f t="shared" si="285"/>
        <v>7.5774447760002133</v>
      </c>
      <c r="O260" s="2">
        <f t="shared" si="285"/>
        <v>34.725933435978376</v>
      </c>
      <c r="P260" s="2">
        <f t="shared" si="285"/>
        <v>7.5780160332371436</v>
      </c>
      <c r="Q260" s="2">
        <f t="shared" si="285"/>
        <v>14.652026799502291</v>
      </c>
      <c r="S260" s="2">
        <f>_xlfn.STDEV.S(S235,S246,S257)</f>
        <v>5.4806784352953146</v>
      </c>
      <c r="T260" s="2">
        <f t="shared" ref="T260:AH260" si="286">_xlfn.STDEV.S(T235,T246,T257)</f>
        <v>15.827970758544367</v>
      </c>
      <c r="U260" s="2">
        <f t="shared" si="286"/>
        <v>44.31719933029931</v>
      </c>
      <c r="V260" s="2">
        <f t="shared" si="286"/>
        <v>34.504769248988246</v>
      </c>
      <c r="W260" s="2">
        <f t="shared" si="286"/>
        <v>14.899320671811916</v>
      </c>
      <c r="X260" s="2">
        <f t="shared" si="286"/>
        <v>44.325798743612729</v>
      </c>
      <c r="Y260" s="2">
        <f t="shared" si="286"/>
        <v>35.291790134901433</v>
      </c>
      <c r="Z260" s="2">
        <f t="shared" si="286"/>
        <v>16.151217016408111</v>
      </c>
      <c r="AA260" s="2">
        <f t="shared" si="286"/>
        <v>7.7173016297437167</v>
      </c>
      <c r="AB260" s="2">
        <f t="shared" si="286"/>
        <v>7.8196911348495384</v>
      </c>
      <c r="AC260" s="2">
        <f t="shared" si="286"/>
        <v>44.31719933029931</v>
      </c>
      <c r="AD260" s="2">
        <f t="shared" si="286"/>
        <v>29.001562074787909</v>
      </c>
      <c r="AE260" s="2">
        <f t="shared" si="286"/>
        <v>7.7158146727883352</v>
      </c>
      <c r="AF260" s="2">
        <f t="shared" si="286"/>
        <v>31.698114224199035</v>
      </c>
      <c r="AG260" s="2">
        <f t="shared" si="286"/>
        <v>7.7173016297437167</v>
      </c>
      <c r="AH260" s="2">
        <f t="shared" si="286"/>
        <v>14.174475396916025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plot_pic</vt:lpstr>
      <vt:lpstr>chest_CE_C3</vt:lpstr>
      <vt:lpstr>chest_CE</vt:lpstr>
      <vt:lpstr>gene_CE_C3</vt:lpstr>
      <vt:lpstr>gene_CE</vt:lpstr>
      <vt:lpstr>ae_001_000_010_100</vt:lpstr>
      <vt:lpstr>param_lamda_a_b_ER</vt:lpstr>
      <vt:lpstr>param_r_ER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冯莹莹</dc:creator>
  <cp:lastModifiedBy>莹莹 冯</cp:lastModifiedBy>
  <dcterms:created xsi:type="dcterms:W3CDTF">2023-05-12T11:15:00Z</dcterms:created>
  <dcterms:modified xsi:type="dcterms:W3CDTF">2026-06-02T01:25:59Z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F884EB2CF28A4543827D33D99FA75ABF_12</vt:lpwstr>
  </property>
  <property fmtid="{D5CDD505-2E9C-101B-9397-08002B2CF9AE}" pid="4" name="CalculationRule">
    <vt:i4>0</vt:i4>
  </property>
</Properties>
</file>